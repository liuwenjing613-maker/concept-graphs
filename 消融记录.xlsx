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八景汇总" sheetId="1" state="visible" r:id="rId2"/>
    <sheet name="逐景主指标" sheetId="2" state="visible" r:id="rId3"/>
    <sheet name="改善与退化" sheetId="3" state="visible" r:id="rId4"/>
    <sheet name="辅助诊断" sheetId="4" state="visible" r:id="rId5"/>
    <sheet name="耗时记录" sheetId="5" state="visible" r:id="rId6"/>
    <sheet name="结果路径" sheetId="6" state="visible" r:id="rId7"/>
    <sheet name="实验说明" sheetId="7" state="visible" r:id="rId8"/>
  </sheets>
  <definedNames>
    <definedName function="false" hidden="false" localSheetId="0" name="_xlnm.Print_Area" vbProcedure="false">八景汇总!$A$1:$K$23</definedName>
    <definedName function="false" hidden="false" localSheetId="6" name="_xlnm.Print_Area" vbProcedure="false">实验说明!$A$1:$B$26</definedName>
    <definedName function="false" hidden="false" localSheetId="6" name="_xlnm.Print_Titles" vbProcedure="false">实验说明!$4:$4</definedName>
    <definedName function="false" hidden="false" localSheetId="2" name="_xlnm.Print_Area" vbProcedure="false">改善与退化!$A$1:$K$29</definedName>
    <definedName function="false" hidden="false" localSheetId="5" name="_xlnm.Print_Area" vbProcedure="false">结果路径!$A$1:$E$84</definedName>
    <definedName function="false" hidden="false" localSheetId="5" name="_xlnm.Print_Titles" vbProcedure="false">结果路径!$4:$4</definedName>
    <definedName function="false" hidden="true" localSheetId="5" name="_xlnm._FilterDatabase" vbProcedure="false">结果路径!$A$4:$E$84</definedName>
    <definedName function="false" hidden="false" localSheetId="4" name="_xlnm.Print_Area" vbProcedure="false">耗时记录!$A$1:$J$28</definedName>
    <definedName function="false" hidden="false" localSheetId="4" name="_xlnm.Print_Titles" vbProcedure="false">耗时记录!$4:$4</definedName>
    <definedName function="false" hidden="true" localSheetId="4" name="_xlnm._FilterDatabase" vbProcedure="false">耗时记录!$A$4:$J$28</definedName>
    <definedName function="false" hidden="false" localSheetId="3" name="_xlnm.Print_Area" vbProcedure="false">辅助诊断!$A$1:$O$28</definedName>
    <definedName function="false" hidden="false" localSheetId="3" name="_xlnm.Print_Titles" vbProcedure="false">辅助诊断!$4:$4</definedName>
    <definedName function="false" hidden="true" localSheetId="3" name="_xlnm._FilterDatabase" vbProcedure="false">辅助诊断!$A$4:$O$28</definedName>
    <definedName function="false" hidden="false" localSheetId="1" name="_xlnm.Print_Area" vbProcedure="false">逐景主指标!$A$1:$K$28</definedName>
    <definedName function="false" hidden="false" localSheetId="1" name="_xlnm.Print_Titles" vbProcedure="false">逐景主指标!$4:$4</definedName>
    <definedName function="false" hidden="true" localSheetId="1" name="_xlnm._FilterDatabase" vbProcedure="false">逐景主指标!$A$4:$K$28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<sst xmlns="http://schemas.openxmlformats.org/spreadsheetml/2006/main" count="749" uniqueCount="241">
  <si>
    <t xml:space="preserve">消融记录：八场景汇总</t>
  </si>
  <si>
    <t xml:space="preserve">Replica 8 场景，每景 400 帧；固定 unified_fullmesh_v2_20260910。所有比率以百分数显示。</t>
  </si>
  <si>
    <t xml:space="preserve">方法</t>
  </si>
  <si>
    <t xml:space="preserve">场景数</t>
  </si>
  <si>
    <t xml:space="preserve">实例 mIoU
每GT最佳</t>
  </si>
  <si>
    <t xml:space="preserve">实例 AP25</t>
  </si>
  <si>
    <t xml:space="preserve">实例 AP50</t>
  </si>
  <si>
    <t xml:space="preserve">实例 AP75</t>
  </si>
  <si>
    <t xml:space="preserve">语义 mIoU</t>
  </si>
  <si>
    <t xml:space="preserve">语义 AP25</t>
  </si>
  <si>
    <t xml:space="preserve">语义 AP50</t>
  </si>
  <si>
    <t xml:space="preserve">mAcc</t>
  </si>
  <si>
    <t xml:space="preserve">物体覆盖率
5cm</t>
  </si>
  <si>
    <t xml:space="preserve">A  ali-my baseline</t>
  </si>
  <si>
    <t xml:space="preserve">B  baseline＋原图</t>
  </si>
  <si>
    <t xml:space="preserve">C  baseline＋原图＋CLIP</t>
  </si>
  <si>
    <t xml:space="preserve">相邻消融增益：正值为改善，负值为退化，单位为百分点。</t>
  </si>
  <si>
    <t xml:space="preserve">增益比较</t>
  </si>
  <si>
    <t xml:space="preserve">B − A：原图输入</t>
  </si>
  <si>
    <t xml:space="preserve">C − B：CLIP改进</t>
  </si>
  <si>
    <t xml:space="preserve">联合 AP 重新积分；语义合并混淆矩阵；实例 mIoU 按 GT 数量加权；覆盖率按 GT 顶点数加权。</t>
  </si>
  <si>
    <t xml:space="preserve">场景等权平均（下表为辅助汇总，不是联合 AP）：</t>
  </si>
  <si>
    <t xml:space="preserve">主实例 mIoU 为每 GT 最佳匹配；一对一实例 mIoU、F1、TP/FP/FN 另见“辅助诊断”。</t>
  </si>
  <si>
    <t xml:space="preserve">单次八景实验，不等于统计显著性证明。计时边界不同，不计算方法速度倍率。</t>
  </si>
  <si>
    <t xml:space="preserve">逐景主指标</t>
  </si>
  <si>
    <t xml:space="preserve">每行一组完整场景。A 复用历史地图，B/C 从空地图重新构建，全部关闭 VLM。</t>
  </si>
  <si>
    <t xml:space="preserve">场景</t>
  </si>
  <si>
    <t xml:space="preserve">room0</t>
  </si>
  <si>
    <t xml:space="preserve">room1</t>
  </si>
  <si>
    <t xml:space="preserve">room2</t>
  </si>
  <si>
    <t xml:space="preserve">office0</t>
  </si>
  <si>
    <t xml:space="preserve">office1</t>
  </si>
  <si>
    <t xml:space="preserve">office2</t>
  </si>
  <si>
    <t xml:space="preserve">office3</t>
  </si>
  <si>
    <t xml:space="preserve">office4</t>
  </si>
  <si>
    <t xml:space="preserve">逐景改善与退化</t>
  </si>
  <si>
    <t xml:space="preserve">差值单位：百分点；全部八景均保留。B−A 衡量原图输入，C−B 衡量 CLIP 融合。</t>
  </si>
  <si>
    <t xml:space="preserve">比较</t>
  </si>
  <si>
    <t xml:space="preserve">B − A</t>
  </si>
  <si>
    <t xml:space="preserve">C − B</t>
  </si>
  <si>
    <t xml:space="preserve">结果</t>
  </si>
  <si>
    <t xml:space="preserve">改善场景数</t>
  </si>
  <si>
    <t xml:space="preserve">退化场景数</t>
  </si>
  <si>
    <t xml:space="preserve">持平场景数</t>
  </si>
  <si>
    <t xml:space="preserve">辅助诊断</t>
  </si>
  <si>
    <t xml:space="preserve">保留对象数量、覆盖、匹配失败及语义口径诊断；不能替换预先固定的主指标。</t>
  </si>
  <si>
    <t xml:space="preserve">组</t>
  </si>
  <si>
    <t xml:space="preserve">一对一
实例mIoU</t>
  </si>
  <si>
    <t xml:space="preserve">F1@0.5</t>
  </si>
  <si>
    <t xml:space="preserve">TP@0.5</t>
  </si>
  <si>
    <t xml:space="preserve">FP@0.5</t>
  </si>
  <si>
    <t xml:space="preserve">FN@0.5</t>
  </si>
  <si>
    <t xml:space="preserve">Precision@0.5</t>
  </si>
  <si>
    <t xml:space="preserve">Recall@0.5</t>
  </si>
  <si>
    <t xml:space="preserve">语义mIoU
union诊断</t>
  </si>
  <si>
    <t xml:space="preserve">语义面覆盖</t>
  </si>
  <si>
    <t xml:space="preserve">全网格覆盖</t>
  </si>
  <si>
    <t xml:space="preserve">地图对象数</t>
  </si>
  <si>
    <t xml:space="preserve">零支持对象</t>
  </si>
  <si>
    <t xml:space="preserve">小支持对象</t>
  </si>
  <si>
    <t xml:space="preserve">A</t>
  </si>
  <si>
    <t xml:space="preserve">B</t>
  </si>
  <si>
    <t xml:space="preserve">C</t>
  </si>
  <si>
    <t xml:space="preserve">耗时与运行边界</t>
  </si>
  <si>
    <t xml:space="preserve">秒；空白表示无可靠记录，不是 0。并发运行非独占 GPU benchmark，评估耗时单列。</t>
  </si>
  <si>
    <t xml:space="preserve">GPU</t>
  </si>
  <si>
    <t xml:space="preserve">帧数</t>
  </si>
  <si>
    <t xml:space="preserve">VLM调用</t>
  </si>
  <si>
    <t xml:space="preserve">本次进程
墙钟秒</t>
  </si>
  <si>
    <t xml:space="preserve">bbox准备秒</t>
  </si>
  <si>
    <t xml:space="preserve">完整端到端秒</t>
  </si>
  <si>
    <t xml:space="preserve">本次评估秒</t>
  </si>
  <si>
    <t xml:space="preserve">计时边界</t>
  </si>
  <si>
    <t xml:space="preserve">历史</t>
  </si>
  <si>
    <t xml:space="preserve">No verified wall-clock timing retained in map folder; missing, not zero</t>
  </si>
  <si>
    <t xml:space="preserve">6</t>
  </si>
  <si>
    <t xml:space="preserve">online mapping from same-mask cache; bbox CLIP preparation separate; common YOLO/SAM already produced by C and not counted again</t>
  </si>
  <si>
    <t xml:space="preserve">fresh YOLO+SAM+fused CLIP + online mapping + final audit; concurrent GPU execution</t>
  </si>
  <si>
    <t xml:space="preserve">1</t>
  </si>
  <si>
    <t xml:space="preserve">7</t>
  </si>
  <si>
    <t xml:space="preserve">cached frame-local original-input fused detections + online mapping + final audit; historical detection time unavailable</t>
  </si>
  <si>
    <t xml:space="preserve">可追溯结果路径</t>
  </si>
  <si>
    <t xml:space="preserve">均为服务器绝对路径。地图、统一评估、日志和输入缓存分别保存。</t>
  </si>
  <si>
    <t xml:space="preserve">产物</t>
  </si>
  <si>
    <t xml:space="preserve">路径</t>
  </si>
  <si>
    <t xml:space="preserve">地图 SHA256</t>
  </si>
  <si>
    <t xml:space="preserve">最终地图</t>
  </si>
  <si>
    <t xml:space="preserve">/home/chenkejun/beauty/conceptgraphs/data/Replica/room0/exps/ali_my_paper_main_aligned_room0_400f_stride5_bff233f_20260821/pcd_ali_my_paper_main_aligned_room0_400f_stride5_bff233f_20260821.pkl.gz</t>
  </si>
  <si>
    <t xml:space="preserve">64ccdb3b6e77f93fe776b0c62673ac41fe86c831a8937f3284d54decf8004dcb</t>
  </si>
  <si>
    <t xml:space="preserve">统一指标</t>
  </si>
  <si>
    <t xml:space="preserve">/data/chenkejun/paper_ablation_20260911/evaluation/results/A_ali_my_baseline/room0/result.json</t>
  </si>
  <si>
    <t xml:space="preserve">/data/chenkejun/paper_ablation_20260911/runs/B_baseline_original_rgb/Replica/room0/exps/B_baseline_original_rgb_room0/pcd_B_baseline_original_rgb_room0.pkl.gz</t>
  </si>
  <si>
    <t xml:space="preserve">1badfb2f0b5438167a9263bee79b9ecf7ea171d07069bc5747413c23c8c4c0e7</t>
  </si>
  <si>
    <t xml:space="preserve">/data/chenkejun/paper_ablation_20260911/evaluation/results/B_baseline_original_rgb/room0/result.json</t>
  </si>
  <si>
    <t xml:space="preserve">运行日志</t>
  </si>
  <si>
    <t xml:space="preserve">/data/chenkejun/paper_ablation_20260911/logs/B_baseline_original_rgb_room0.log</t>
  </si>
  <si>
    <t xml:space="preserve">检测缓存</t>
  </si>
  <si>
    <t xml:space="preserve">/data/chenkejun/paper_ablation_20260911/runs/B_baseline_original_rgb/Replica/room0/exps/B_baseline_original_rgb_room0_detections</t>
  </si>
  <si>
    <t xml:space="preserve">/data/chenkejun/paper_ablation_20260911/runs/C_baseline_original_rgb_clip/Replica/room0/exps/C_baseline_original_rgb_clip_room0/pcd_C_baseline_original_rgb_clip_room0.pkl.gz</t>
  </si>
  <si>
    <t xml:space="preserve">fd2294b20b2b2d78cced215882d054d20acf2ff8bb17bebc7a100f1126e39aeb</t>
  </si>
  <si>
    <t xml:space="preserve">/data/chenkejun/paper_ablation_20260911/evaluation/results/C_baseline_original_rgb_clip/room0/result.json</t>
  </si>
  <si>
    <t xml:space="preserve">/data/chenkejun/paper_ablation_20260911/logs/C_baseline_original_rgb_clip_room0.log</t>
  </si>
  <si>
    <t xml:space="preserve">/data/chenkejun/paper_ablation_20260911/runs/C_baseline_original_rgb_clip/Replica/room0/exps/C_baseline_original_rgb_clip_room0_detections</t>
  </si>
  <si>
    <t xml:space="preserve">/home/chenkejun/beauty/conceptgraphs/data/Replica/room1/exps/ali_my_paper_main_aligned_room1_400f_stride5_bff233f_20260821/pcd_ali_my_paper_main_aligned_room1_400f_stride5_bff233f_20260821.pkl.gz</t>
  </si>
  <si>
    <t xml:space="preserve">d11d531e379da88f1ab3b5e762f06c67e664e48b2e3c612ee29db8025e782e2c</t>
  </si>
  <si>
    <t xml:space="preserve">/data/chenkejun/paper_ablation_20260911/evaluation/results/A_ali_my_baseline/room1/result.json</t>
  </si>
  <si>
    <t xml:space="preserve">/data/chenkejun/paper_ablation_20260911/runs/B_baseline_original_rgb/Replica/room1/exps/B_baseline_original_rgb_room1/pcd_B_baseline_original_rgb_room1.pkl.gz</t>
  </si>
  <si>
    <t xml:space="preserve">8d666a2385ac26f7231ce87b1886c88ff6d625f65fc5ad6157e1e768d1c21723</t>
  </si>
  <si>
    <t xml:space="preserve">/data/chenkejun/paper_ablation_20260911/evaluation/results/B_baseline_original_rgb/room1/result.json</t>
  </si>
  <si>
    <t xml:space="preserve">/data/chenkejun/paper_ablation_20260911/logs/B_baseline_original_rgb_room1.log</t>
  </si>
  <si>
    <t xml:space="preserve">/data/chenkejun/paper_ablation_20260911/runs/B_baseline_original_rgb/Replica/room1/exps/B_baseline_original_rgb_room1_detections</t>
  </si>
  <si>
    <t xml:space="preserve">/data/chenkejun/paper_ablation_20260911/runs/C_baseline_original_rgb_clip/Replica/room1/exps/C_baseline_original_rgb_clip_room1/pcd_C_baseline_original_rgb_clip_room1.pkl.gz</t>
  </si>
  <si>
    <t xml:space="preserve">e0707e1bbe0c2a5d0f67bd06213a941f5f4cf0a71cfc8803922b3eb57632f869</t>
  </si>
  <si>
    <t xml:space="preserve">/data/chenkejun/paper_ablation_20260911/evaluation/results/C_baseline_original_rgb_clip/room1/result.json</t>
  </si>
  <si>
    <t xml:space="preserve">/data/chenkejun/paper_ablation_20260911/logs/C_baseline_original_rgb_clip_room1.log</t>
  </si>
  <si>
    <t xml:space="preserve">/data/chenkejun/paper_ablation_20260911/runs/C_baseline_original_rgb_clip/Replica/room1/exps/C_baseline_original_rgb_clip_room1_detections</t>
  </si>
  <si>
    <t xml:space="preserve">/home/chenkejun/beauty/conceptgraphs/data/Replica/room2/exps/ali_my_paper_main_aligned_room2_400f_stride5_bff233f_20260821/pcd_ali_my_paper_main_aligned_room2_400f_stride5_bff233f_20260821.pkl.gz</t>
  </si>
  <si>
    <t xml:space="preserve">1dfd9ddc1010d659f7d1453044c2035122094ab10e41148e3727ea8ae9a7dd81</t>
  </si>
  <si>
    <t xml:space="preserve">/data/chenkejun/paper_ablation_20260911/evaluation/results/A_ali_my_baseline/room2/result.json</t>
  </si>
  <si>
    <t xml:space="preserve">/data/chenkejun/paper_ablation_20260911/runs/B_baseline_original_rgb/Replica/room2/exps/B_baseline_original_rgb_room2/pcd_B_baseline_original_rgb_room2.pkl.gz</t>
  </si>
  <si>
    <t xml:space="preserve">1083611a9b7fe6fdce86359057f78c5b8855071c9db2cc52c7f5af7b25e591d4</t>
  </si>
  <si>
    <t xml:space="preserve">/data/chenkejun/paper_ablation_20260911/evaluation/results/B_baseline_original_rgb/room2/result.json</t>
  </si>
  <si>
    <t xml:space="preserve">/data/chenkejun/paper_ablation_20260911/logs/B_baseline_original_rgb_room2.log</t>
  </si>
  <si>
    <t xml:space="preserve">/data/chenkejun/paper_ablation_20260911/runs/B_baseline_original_rgb/Replica/room2/exps/B_baseline_original_rgb_room2_detections</t>
  </si>
  <si>
    <t xml:space="preserve">/data/chenkejun/paper_ablation_20260911/runs/C_baseline_original_rgb_clip/Replica/room2/exps/C_baseline_original_rgb_clip_room2/pcd_C_baseline_original_rgb_clip_room2.pkl.gz</t>
  </si>
  <si>
    <t xml:space="preserve">851cbfa100c5235e27c0729b1d72d0963cbdffe9fc254b0607023f5339b2060c</t>
  </si>
  <si>
    <t xml:space="preserve">/data/chenkejun/paper_ablation_20260911/evaluation/results/C_baseline_original_rgb_clip/room2/result.json</t>
  </si>
  <si>
    <t xml:space="preserve">/data/chenkejun/paper_ablation_20260911/logs/C_baseline_original_rgb_clip_room2.log</t>
  </si>
  <si>
    <t xml:space="preserve">/data/chenkejun/paper_ablation_20260911/runs/C_baseline_original_rgb_clip/Replica/room2/exps/C_baseline_original_rgb_clip_room2_detections</t>
  </si>
  <si>
    <t xml:space="preserve">/home/chenkejun/beauty/conceptgraphs/data/Replica/office0/exps/ali_my_paper_main_aligned_office0_400f_stride5_bff233f_20260821/pcd_ali_my_paper_main_aligned_office0_400f_stride5_bff233f_20260821.pkl.gz</t>
  </si>
  <si>
    <t xml:space="preserve">6ff2c625b9f58ba733b4d7af7bafd0098502a93a60a5c63c9f8437fc2fbcf30a</t>
  </si>
  <si>
    <t xml:space="preserve">/data/chenkejun/paper_ablation_20260911/evaluation/results/A_ali_my_baseline/office0/result.json</t>
  </si>
  <si>
    <t xml:space="preserve">/data/chenkejun/paper_ablation_20260911/runs/B_baseline_original_rgb/Replica/office0/exps/B_baseline_original_rgb_office0/pcd_B_baseline_original_rgb_office0.pkl.gz</t>
  </si>
  <si>
    <t xml:space="preserve">0ba60a2a32179d8345edc7bced805f8b4054fea9b2787c8a5add12f87a3afdee</t>
  </si>
  <si>
    <t xml:space="preserve">/data/chenkejun/paper_ablation_20260911/evaluation/results/B_baseline_original_rgb/office0/result.json</t>
  </si>
  <si>
    <t xml:space="preserve">/data/chenkejun/paper_ablation_20260911/logs/B_baseline_original_rgb_office0.log</t>
  </si>
  <si>
    <t xml:space="preserve">/data/chenkejun/paper_ablation_20260911/runs/B_baseline_original_rgb/Replica/office0/exps/B_baseline_original_rgb_office0_detections</t>
  </si>
  <si>
    <t xml:space="preserve">/data/chenkejun/paper_ablation_20260911/runs/C_baseline_original_rgb_clip/Replica/office0/exps/C_baseline_original_rgb_clip_office0/pcd_C_baseline_original_rgb_clip_office0.pkl.gz</t>
  </si>
  <si>
    <t xml:space="preserve">7cc9304bd693960517417358447a18b954c1622598c8e47427e7d33e0357e097</t>
  </si>
  <si>
    <t xml:space="preserve">/data/chenkejun/paper_ablation_20260911/evaluation/results/C_baseline_original_rgb_clip/office0/result.json</t>
  </si>
  <si>
    <t xml:space="preserve">/data/chenkejun/paper_ablation_20260911/logs/C_baseline_original_rgb_clip_office0.log</t>
  </si>
  <si>
    <t xml:space="preserve">/data/chenkejun/paper_ablation_20260911/runs/C_baseline_original_rgb_clip/Replica/office0/exps/C_baseline_original_rgb_clip_office0_detections</t>
  </si>
  <si>
    <t xml:space="preserve">/home/chenkejun/beauty/conceptgraphs/data/Replica/office1/exps/ali_my_paper_main_aligned_office1_400f_stride5_bff233f_20260821/pcd_ali_my_paper_main_aligned_office1_400f_stride5_bff233f_20260821.pkl.gz</t>
  </si>
  <si>
    <t xml:space="preserve">4147081de28173ff0727af0f264e534781eed1c0adae2a83f20b1600f32cc771</t>
  </si>
  <si>
    <t xml:space="preserve">/data/chenkejun/paper_ablation_20260911/evaluation/results/A_ali_my_baseline/office1/result.json</t>
  </si>
  <si>
    <t xml:space="preserve">/data/chenkejun/paper_ablation_20260911/runs/B_baseline_original_rgb/Replica/office1/exps/B_baseline_original_rgb_office1/pcd_B_baseline_original_rgb_office1.pkl.gz</t>
  </si>
  <si>
    <t xml:space="preserve">331a9911c0de27044ab6b58ea10bff8f7b07e4c4f636fdf49349e1f36d92cd8e</t>
  </si>
  <si>
    <t xml:space="preserve">/data/chenkejun/paper_ablation_20260911/evaluation/results/B_baseline_original_rgb/office1/result.json</t>
  </si>
  <si>
    <t xml:space="preserve">/data/chenkejun/paper_ablation_20260911/logs/B_baseline_original_rgb_office1.log</t>
  </si>
  <si>
    <t xml:space="preserve">/data/chenkejun/paper_ablation_20260911/runs/B_baseline_original_rgb/Replica/office1/exps/B_baseline_original_rgb_office1_detections</t>
  </si>
  <si>
    <t xml:space="preserve">/data/chenkejun/paper_ablation_20260911/runs/C_baseline_original_rgb_clip/Replica/office1/exps/C_baseline_original_rgb_clip_office1/pcd_C_baseline_original_rgb_clip_office1.pkl.gz</t>
  </si>
  <si>
    <t xml:space="preserve">e37fd85e14002e5a6fa773a7e5bc3ef0b6850065073882f0f153c4d2347b5184</t>
  </si>
  <si>
    <t xml:space="preserve">/data/chenkejun/paper_ablation_20260911/evaluation/results/C_baseline_original_rgb_clip/office1/result.json</t>
  </si>
  <si>
    <t xml:space="preserve">/data/chenkejun/paper_ablation_20260911/logs/C_baseline_original_rgb_clip_office1.log</t>
  </si>
  <si>
    <t xml:space="preserve">/data/chenkejun/paper_ablation_20260911/runs/C_baseline_original_rgb_clip/Replica/office1/exps/C_baseline_original_rgb_clip_office1_detections</t>
  </si>
  <si>
    <t xml:space="preserve">/home/chenkejun/beauty/conceptgraphs/data/Replica/office2/exps/ali_my_paper_main_aligned_office2_400f_stride5_bff233f_20260821/pcd_ali_my_paper_main_aligned_office2_400f_stride5_bff233f_20260821.pkl.gz</t>
  </si>
  <si>
    <t xml:space="preserve">3dca1a9a223f92fdb71bb3dfe56fff2bcd47122fa66f554df91d8bbf34a99d50</t>
  </si>
  <si>
    <t xml:space="preserve">/data/chenkejun/paper_ablation_20260911/evaluation/results/A_ali_my_baseline/office2/result.json</t>
  </si>
  <si>
    <t xml:space="preserve">/data/chenkejun/paper_ablation_20260911/runs/B_baseline_original_rgb/Replica/office2/exps/B_baseline_original_rgb_office2/pcd_B_baseline_original_rgb_office2.pkl.gz</t>
  </si>
  <si>
    <t xml:space="preserve">72f1ac49847365957946373b4483e8627036c7e2c790c29263dce074d8bfc3bc</t>
  </si>
  <si>
    <t xml:space="preserve">/data/chenkejun/paper_ablation_20260911/evaluation/results/B_baseline_original_rgb/office2/result.json</t>
  </si>
  <si>
    <t xml:space="preserve">/data/chenkejun/paper_ablation_20260911/logs/B_baseline_original_rgb_office2.log</t>
  </si>
  <si>
    <t xml:space="preserve">/data/chenkejun/paper_ablation_20260911/runs/B_baseline_original_rgb/Replica/office2/exps/B_baseline_original_rgb_office2_detections</t>
  </si>
  <si>
    <t xml:space="preserve">/data/chenkejun/paper_ablation_20260911/runs/C_baseline_original_rgb_clip/Replica/office2/exps/C_baseline_original_rgb_clip_office2/pcd_C_baseline_original_rgb_clip_office2.pkl.gz</t>
  </si>
  <si>
    <t xml:space="preserve">e04ec533d3a18cc70519fee39adc7cf38084ce18f5d08631cf9cf23f26a30d4c</t>
  </si>
  <si>
    <t xml:space="preserve">/data/chenkejun/paper_ablation_20260911/evaluation/results/C_baseline_original_rgb_clip/office2/result.json</t>
  </si>
  <si>
    <t xml:space="preserve">/data/chenkejun/paper_ablation_20260911/logs/C_baseline_original_rgb_clip_office2.log</t>
  </si>
  <si>
    <t xml:space="preserve">/data/chenkejun/paper_ablation_20260911/runs/C_baseline_original_rgb_clip/Replica/office2/exps/C_baseline_original_rgb_clip_office2_detections</t>
  </si>
  <si>
    <t xml:space="preserve">/home/chenkejun/beauty/conceptgraphs/data/Replica/office3/exps/ali_my_paper_main_aligned_office3_400f_stride5_bff233f_20260821/pcd_ali_my_paper_main_aligned_office3_400f_stride5_bff233f_20260821.pkl.gz</t>
  </si>
  <si>
    <t xml:space="preserve">8112ad48bb55ca2341695cbc0736e6e65cc7b6730b99adb5571d79ed923fa2bf</t>
  </si>
  <si>
    <t xml:space="preserve">/data/chenkejun/paper_ablation_20260911/evaluation/results/A_ali_my_baseline/office3/result.json</t>
  </si>
  <si>
    <t xml:space="preserve">/data/chenkejun/paper_ablation_20260911/runs/B_baseline_original_rgb/Replica/office3/exps/B_baseline_original_rgb_office3/pcd_B_baseline_original_rgb_office3.pkl.gz</t>
  </si>
  <si>
    <t xml:space="preserve">b796e10695d4016ce28174b243b5d8bb61124271f2f4f8c88e008124e8ffc535</t>
  </si>
  <si>
    <t xml:space="preserve">/data/chenkejun/paper_ablation_20260911/evaluation/results/B_baseline_original_rgb/office3/result.json</t>
  </si>
  <si>
    <t xml:space="preserve">/data/chenkejun/paper_ablation_20260911/logs/B_baseline_original_rgb_office3.log</t>
  </si>
  <si>
    <t xml:space="preserve">/data/chenkejun/paper_ablation_20260911/runs/B_baseline_original_rgb/Replica/office3/exps/B_baseline_original_rgb_office3_detections</t>
  </si>
  <si>
    <t xml:space="preserve">/data/chenkejun/paper_ablation_20260911/runs/C_baseline_original_rgb_clip/Replica/office3/exps/C_baseline_original_rgb_clip_office3/pcd_C_baseline_original_rgb_clip_office3.pkl.gz</t>
  </si>
  <si>
    <t xml:space="preserve">0f15b76bf256013a99574d6f1cdeed64845199be199a476753ff98d05466fc18</t>
  </si>
  <si>
    <t xml:space="preserve">/data/chenkejun/paper_ablation_20260911/evaluation/results/C_baseline_original_rgb_clip/office3/result.json</t>
  </si>
  <si>
    <t xml:space="preserve">/data/chenkejun/paper_ablation_20260911/logs/C_baseline_original_rgb_clip_office3.log</t>
  </si>
  <si>
    <t xml:space="preserve">/data/chenkejun/paper_ablation_20260911/runs/C_baseline_original_rgb_clip/Replica/office3/exps/C_baseline_original_rgb_clip_office3_detections</t>
  </si>
  <si>
    <t xml:space="preserve">/home/chenkejun/beauty/conceptgraphs/data/Replica/office4/exps/ali_my_paper_main_aligned_office4_400f_stride5_bff233f_20260821/pcd_ali_my_paper_main_aligned_office4_400f_stride5_bff233f_20260821.pkl.gz</t>
  </si>
  <si>
    <t xml:space="preserve">6e9e281eaa4609fe3a67a90a4f648666e3dbb6e8f6094c2168797177f8c7cb55</t>
  </si>
  <si>
    <t xml:space="preserve">/data/chenkejun/paper_ablation_20260911/evaluation/results/A_ali_my_baseline/office4/result.json</t>
  </si>
  <si>
    <t xml:space="preserve">/data/chenkejun/paper_ablation_20260911/runs/B_baseline_original_rgb/Replica/office4/exps/B_baseline_original_rgb_office4/pcd_B_baseline_original_rgb_office4.pkl.gz</t>
  </si>
  <si>
    <t xml:space="preserve">eec18ee7399839dbb96a10002803e19f4d7d135b0a7b2b6a8c053df725a1bd89</t>
  </si>
  <si>
    <t xml:space="preserve">/data/chenkejun/paper_ablation_20260911/evaluation/results/B_baseline_original_rgb/office4/result.json</t>
  </si>
  <si>
    <t xml:space="preserve">/data/chenkejun/paper_ablation_20260911/logs/B_baseline_original_rgb_office4.log</t>
  </si>
  <si>
    <t xml:space="preserve">/data/chenkejun/paper_ablation_20260911/runs/B_baseline_original_rgb/Replica/office4/exps/B_baseline_original_rgb_office4_detections</t>
  </si>
  <si>
    <t xml:space="preserve">/data/chenkejun/paper_ablation_20260911/runs/C_baseline_original_rgb_clip/Replica/office4/exps/C_baseline_original_rgb_clip_office4/pcd_C_baseline_original_rgb_clip_office4.pkl.gz</t>
  </si>
  <si>
    <t xml:space="preserve">ffb154baa90847c0a424aedee28de2830213b85f7a14c87981a317ea07f2c89c</t>
  </si>
  <si>
    <t xml:space="preserve">/data/chenkejun/paper_ablation_20260911/evaluation/results/C_baseline_original_rgb_clip/office4/result.json</t>
  </si>
  <si>
    <t xml:space="preserve">/data/chenkejun/paper_ablation_20260911/logs/C_baseline_original_rgb_clip_office4.log</t>
  </si>
  <si>
    <t xml:space="preserve">/data/chenkejun/paper_ablation_20260911/runs/C_baseline_original_rgb_clip/Replica/office4/exps/C_baseline_original_rgb_clip_office4_detections</t>
  </si>
  <si>
    <t xml:space="preserve">实验定义、验证与限制</t>
  </si>
  <si>
    <t xml:space="preserve">用户确认：以 ali-my bff233f 为 baseline，C 全部关闭 VLM；本工作簿不等同于官方 main 论文表。</t>
  </si>
  <si>
    <t xml:space="preserve">项目</t>
  </si>
  <si>
    <t xml:space="preserve">说明</t>
  </si>
  <si>
    <t xml:space="preserve">A 基线</t>
  </si>
  <si>
    <t xml:space="preserve">ali-my bff233ff004939d2ecf4ac5546f87cb7b7b16e60；八景历史地图与统一 v2 结果哈希核验一致后复用。</t>
  </si>
  <si>
    <t xml:space="preserve">B 原图输入</t>
  </si>
  <si>
    <t xml:space="preserve">v7_CLIP off，YOLO imgsz=1200，实际张量1216×704，RGB/depth/内参1200×680。使用 bff233f 原 bbox CLIP 函数，无VLM或VLM包含率强制合并。</t>
  </si>
  <si>
    <t xml:space="preserve">C 原图＋CLIP</t>
  </si>
  <si>
    <t xml:space="preserve">同B建图规则及逐帧检测；CLIP bbox与softmask各0.5。背景系数0.1，模糊半径3，bbox padding20。VLM全部关闭。</t>
  </si>
  <si>
    <t xml:space="preserve">版本</t>
  </si>
  <si>
    <t xml:space="preserve">v7_CLIP 235e16c995fefb905fd3b21c11ad4fd1e8d3bbe4；冻结代码与配置SHA保存于audit/frozen_code_sha256.json。</t>
  </si>
  <si>
    <t xml:space="preserve">对齐实测</t>
  </si>
  <si>
    <t xml:space="preserve">room0、office2各20采样帧，两组分别与冻结ali-my代码对照。四对逐帧trace、对象成员、点云、包围盒和CLIP特征完全相同，最大差0。旧bbox函数与权重0在232个真实检测上完全一致。</t>
  </si>
  <si>
    <t xml:space="preserve">固定样本</t>
  </si>
  <si>
    <t xml:space="preserve">Replica room0/1/2、office0/1/2/3/4；0:2000:5，每景400帧；不调参，不按结果排除场景。</t>
  </si>
  <si>
    <t xml:space="preserve">在线边界</t>
  </si>
  <si>
    <t xml:space="preserve">B/C都从空地图按帧序列重建。缓存只包含单帧RGB检测及特征，不用旧地图、GT或未来物体状态决定当前更新。B/C框、mask、类别及置信度逐帧SHA一致。</t>
  </si>
  <si>
    <t xml:space="preserve">room0旧缓存经2026-09-10截图确认清理删除，其余七景仍在。本次前六景已生成新缓存；office3/4复用通过完整RGB哈希和检测合同核验的旧缓存。</t>
  </si>
  <si>
    <t xml:space="preserve">评估协议</t>
  </si>
  <si>
    <t xml:space="preserve">unified_fullmesh_v2_20260910；固定完整GT网格，51语义类、48物体类；已分配预测点的全局精确最近邻，距离严格&lt;5cm才接收。</t>
  </si>
  <si>
    <t xml:space="preserve">实例mIoU</t>
  </si>
  <si>
    <t xml:space="preserve">主值：每GT独立最佳IoU，GT至少10点，不按预测大小过滤。一对一、至少100点的mIoU另作辅助，两者不可混称。</t>
  </si>
  <si>
    <t xml:space="preserve">AP</t>
  </si>
  <si>
    <t xml:space="preserve">实例AP25/50/75为类别无关AP；语义AP25/50要求正确语义。AP使用严格IoU&gt;阈值，100点门槛，联合八景重新积分；不是F1。</t>
  </si>
  <si>
    <t xml:space="preserve">语义与覆盖</t>
  </si>
  <si>
    <t xml:space="preserve">主语义mIoU/mAcc按GT存在类别平均，不是exclude6；union-present另列诊断。主覆盖率分母为48类GT物体表面，未观测区域保留在分母。</t>
  </si>
  <si>
    <t xml:space="preserve">汇总</t>
  </si>
  <si>
    <t xml:space="preserve">联合AP重新积分；语义累计混淆矩阵；实例mIoU按GT数加权；覆盖按GT顶点数加权。场景等权平均单列。</t>
  </si>
  <si>
    <t xml:space="preserve">运行时间</t>
  </si>
  <si>
    <t xml:space="preserve">多GPU并发非独占性能测试。B的bbox准备与缓存建图分记；C office3/4历史检测时间缺失；A历史耗时缺失。空白不表示零，不计算速度倍率。</t>
  </si>
  <si>
    <t xml:space="preserve">审计失败记录</t>
  </si>
  <si>
    <t xml:space="preserve">pilot bbox room0地图完成后，旧帧号正则误读运行ID内随机字符。本次副本修正token边界，原证据只读重审通过，原地图与失败记录保留。这不是模型能力提升。</t>
  </si>
  <si>
    <t xml:space="preserve">完整性</t>
  </si>
  <si>
    <t xml:space="preserve">正式每景必须400帧、最终地图SHA一致、严格审计通过、VLM调用0。所有成功、退化和失败均保留；未完成结果不加入八景联合值。</t>
  </si>
  <si>
    <t xml:space="preserve">局限</t>
  </si>
  <si>
    <t xml:space="preserve">一次八景实验，无多种子或统计显著性证明。改善/退化是本次数据的数值比较；不能声称全面优于其他方法或跨数据集普适。</t>
  </si>
  <si>
    <t xml:space="preserve">总入口</t>
  </si>
  <si>
    <t xml:space="preserve">/data/chenkejun/paper_ablation_20260911</t>
  </si>
  <si>
    <t xml:space="preserve">实验协议</t>
  </si>
  <si>
    <t xml:space="preserve">/data/chenkejun/paper_ablation_20260911/PROTOCOL_CN.md</t>
  </si>
  <si>
    <t xml:space="preserve">对齐证据</t>
  </si>
  <si>
    <t xml:space="preserve">/data/chenkejun/paper_ablation_20260911/audit/pilot_map_parity.json</t>
  </si>
  <si>
    <t xml:space="preserve">原始评估代码</t>
  </si>
  <si>
    <t xml:space="preserve">/data/chenkejun/paper_ablation_20260911/evaluation/code/evaluate_unified.py</t>
  </si>
  <si>
    <t xml:space="preserve">原始指标</t>
  </si>
  <si>
    <t xml:space="preserve">/data/chenkejun/paper_ablation_20260911/evaluation/results/comparison.json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</si>
</sst>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\+0.00;\-0.00;0.00"/>
    <numFmt numFmtId="167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384D"/>
      <name val="Noto Sans CJK SC"/>
      <family val="0"/>
      <charset val="1"/>
    </font>
    <font>
      <sz val="10"/>
      <color rgb="FF182838"/>
      <name val="Noto Sans CJK SC"/>
      <family val="0"/>
      <charset val="1"/>
    </font>
    <font>
      <b val="true"/>
      <sz val="10"/>
      <color rgb="FFFFFFFF"/>
      <name val="Noto Sans CJK S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384D"/>
        <bgColor rgb="FF182838"/>
      </patternFill>
    </fill>
    <fill>
      <patternFill patternType="solid">
        <fgColor rgb="FFF3F6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A63236"/>
      </font>
    </dxf>
    <dxf>
      <font>
        <color rgb="FF216144"/>
      </font>
    </dxf>
    <dxf>
      <fill>
        <patternFill patternType="solid">
          <fgColor rgb="FF24384D"/>
        </patternFill>
      </fill>
    </dxf>
    <dxf>
      <fill>
        <patternFill patternType="solid">
          <fgColor rgb="FFF3F6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82838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6144"/>
      <rgbColor rgb="FFC0C0C0"/>
      <rgbColor rgb="FF808080"/>
      <rgbColor rgb="FF9999FF"/>
      <rgbColor rgb="FFA63236"/>
      <rgbColor rgb="FFF3F6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2838"/>
      <rgbColor rgb="FF339966"/>
      <rgbColor rgb="FF003300"/>
      <rgbColor rgb="FF333300"/>
      <rgbColor rgb="FF993300"/>
      <rgbColor rgb="FF993366"/>
      <rgbColor rgb="FF333399"/>
      <rgbColor rgb="FF24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8.99"/>
    <col collapsed="false" customWidth="true" hidden="false" outlineLevel="0" max="2" min="2" style="0" width="10"/>
    <col collapsed="false" customWidth="true" hidden="false" outlineLevel="0" max="11" min="3" style="0" width="15"/>
  </cols>
  <sheetData>
    <row r="1" customFormat="false" ht="27" hidden="false" customHeight="true" outlineLevel="0" collapsed="false">
      <c r="A1" s="1" t="s">
        <v>0</v>
      </c>
    </row>
    <row r="2" customFormat="false" ht="22.5" hidden="false" customHeight="true" outlineLevel="0" collapsed="false">
      <c r="A2" s="2" t="s">
        <v>1</v>
      </c>
    </row>
    <row r="4" customFormat="false" ht="37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7.75" hidden="false" customHeight="true" outlineLevel="0" collapsed="false">
      <c r="A5" s="4" t="s">
        <v>13</v>
      </c>
      <c r="B5" s="5" t="n">
        <v>8</v>
      </c>
      <c r="C5" s="6" t="n">
        <v>0.345654716925016</v>
      </c>
      <c r="D5" s="6" t="n">
        <v>0.491012702541091</v>
      </c>
      <c r="E5" s="6" t="n">
        <v>0.187961801117229</v>
      </c>
      <c r="F5" s="6" t="n">
        <v>0.0174600890462121</v>
      </c>
      <c r="G5" s="6" t="n">
        <v>0.121171992328891</v>
      </c>
      <c r="H5" s="6" t="n">
        <v>0.170787678609362</v>
      </c>
      <c r="I5" s="6" t="n">
        <v>0.142103550587652</v>
      </c>
      <c r="J5" s="6" t="n">
        <v>0.246741359194821</v>
      </c>
      <c r="K5" s="6" t="n">
        <v>0.635099176083346</v>
      </c>
    </row>
    <row r="6" customFormat="false" ht="27.75" hidden="false" customHeight="true" outlineLevel="0" collapsed="false">
      <c r="A6" s="7" t="s">
        <v>14</v>
      </c>
      <c r="B6" s="8" t="n">
        <v>8</v>
      </c>
      <c r="C6" s="9" t="n">
        <v>0.425895084450002</v>
      </c>
      <c r="D6" s="9" t="n">
        <v>0.598787920174685</v>
      </c>
      <c r="E6" s="9" t="n">
        <v>0.242367773001401</v>
      </c>
      <c r="F6" s="9" t="n">
        <v>0.0440012277717326</v>
      </c>
      <c r="G6" s="9" t="n">
        <v>0.125175834943801</v>
      </c>
      <c r="H6" s="9" t="n">
        <v>0.216488771320066</v>
      </c>
      <c r="I6" s="9" t="n">
        <v>0.154104471326914</v>
      </c>
      <c r="J6" s="9" t="n">
        <v>0.261325648224241</v>
      </c>
      <c r="K6" s="9" t="n">
        <v>0.7064098178272</v>
      </c>
    </row>
    <row r="7" customFormat="false" ht="27.75" hidden="false" customHeight="true" outlineLevel="0" collapsed="false">
      <c r="A7" s="4" t="s">
        <v>15</v>
      </c>
      <c r="B7" s="5" t="n">
        <v>8</v>
      </c>
      <c r="C7" s="6" t="n">
        <v>0.427829317855841</v>
      </c>
      <c r="D7" s="6" t="n">
        <v>0.600845718693436</v>
      </c>
      <c r="E7" s="6" t="n">
        <v>0.258759637578917</v>
      </c>
      <c r="F7" s="6" t="n">
        <v>0.047850001214539</v>
      </c>
      <c r="G7" s="6" t="n">
        <v>0.127740258163264</v>
      </c>
      <c r="H7" s="6" t="n">
        <v>0.201741404439365</v>
      </c>
      <c r="I7" s="6" t="n">
        <v>0.13427806803473</v>
      </c>
      <c r="J7" s="6" t="n">
        <v>0.240625297368909</v>
      </c>
      <c r="K7" s="6" t="n">
        <v>0.706388044352568</v>
      </c>
    </row>
    <row r="9" customFormat="false" ht="24" hidden="false" customHeight="true" outlineLevel="0" collapsed="false">
      <c r="A9" s="2" t="s">
        <v>16</v>
      </c>
    </row>
    <row r="10" customFormat="false" ht="37.5" hidden="false" customHeight="true" outlineLevel="0" collapsed="false">
      <c r="A10" s="3" t="s">
        <v>17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11</v>
      </c>
      <c r="K10" s="3" t="s">
        <v>12</v>
      </c>
    </row>
    <row r="11" customFormat="false" ht="27.75" hidden="false" customHeight="true" outlineLevel="0" collapsed="false">
      <c r="A11" s="4" t="s">
        <v>18</v>
      </c>
      <c r="B11" s="5" t="n">
        <v>8</v>
      </c>
      <c r="C11" s="10" t="n">
        <f aca="false">IF(AND(ISNUMBER(C6),ISNUMBER(C5)),(C6-C5)*100,"")</f>
        <v>8.02403675249858</v>
      </c>
      <c r="D11" s="10" t="n">
        <f aca="false">IF(AND(ISNUMBER(D6),ISNUMBER(D5)),(D6-D5)*100,"")</f>
        <v>10.7775217633595</v>
      </c>
      <c r="E11" s="10" t="n">
        <f aca="false">IF(AND(ISNUMBER(E6),ISNUMBER(E5)),(E6-E5)*100,"")</f>
        <v>5.44059718841716</v>
      </c>
      <c r="F11" s="10" t="n">
        <f aca="false">IF(AND(ISNUMBER(F6),ISNUMBER(F5)),(F6-F5)*100,"")</f>
        <v>2.65411387255205</v>
      </c>
      <c r="G11" s="10" t="n">
        <f aca="false">IF(AND(ISNUMBER(G6),ISNUMBER(G5)),(G6-G5)*100,"")</f>
        <v>0.400384261490978</v>
      </c>
      <c r="H11" s="10" t="n">
        <f aca="false">IF(AND(ISNUMBER(H6),ISNUMBER(H5)),(H6-H5)*100,"")</f>
        <v>4.57010927107041</v>
      </c>
      <c r="I11" s="10" t="n">
        <f aca="false">IF(AND(ISNUMBER(I6),ISNUMBER(I5)),(I6-I5)*100,"")</f>
        <v>1.20009207392624</v>
      </c>
      <c r="J11" s="10" t="n">
        <f aca="false">IF(AND(ISNUMBER(J6),ISNUMBER(J5)),(J6-J5)*100,"")</f>
        <v>1.45842890294207</v>
      </c>
      <c r="K11" s="10" t="n">
        <f aca="false">IF(AND(ISNUMBER(K6),ISNUMBER(K5)),(K6-K5)*100,"")</f>
        <v>7.13106417438543</v>
      </c>
    </row>
    <row r="12" customFormat="false" ht="27.75" hidden="false" customHeight="true" outlineLevel="0" collapsed="false">
      <c r="A12" s="7" t="s">
        <v>19</v>
      </c>
      <c r="B12" s="8" t="n">
        <v>8</v>
      </c>
      <c r="C12" s="11" t="n">
        <f aca="false">IF(AND(ISNUMBER(C7),ISNUMBER(C6)),(C7-C6)*100,"")</f>
        <v>0.193423340583959</v>
      </c>
      <c r="D12" s="11" t="n">
        <f aca="false">IF(AND(ISNUMBER(D7),ISNUMBER(D6)),(D7-D6)*100,"")</f>
        <v>0.205779851875032</v>
      </c>
      <c r="E12" s="11" t="n">
        <f aca="false">IF(AND(ISNUMBER(E7),ISNUMBER(E6)),(E7-E6)*100,"")</f>
        <v>1.63918645775161</v>
      </c>
      <c r="F12" s="11" t="n">
        <f aca="false">IF(AND(ISNUMBER(F7),ISNUMBER(F6)),(F7-F6)*100,"")</f>
        <v>0.38487734428064</v>
      </c>
      <c r="G12" s="11" t="n">
        <f aca="false">IF(AND(ISNUMBER(G7),ISNUMBER(G6)),(G7-G6)*100,"")</f>
        <v>0.256442321946271</v>
      </c>
      <c r="H12" s="11" t="n">
        <f aca="false">IF(AND(ISNUMBER(H7),ISNUMBER(H6)),(H7-H6)*100,"")</f>
        <v>-1.47473668807003</v>
      </c>
      <c r="I12" s="11" t="n">
        <f aca="false">IF(AND(ISNUMBER(I7),ISNUMBER(I6)),(I7-I6)*100,"")</f>
        <v>-1.98264032921838</v>
      </c>
      <c r="J12" s="11" t="n">
        <f aca="false">IF(AND(ISNUMBER(J7),ISNUMBER(J6)),(J7-J6)*100,"")</f>
        <v>-2.07003508553321</v>
      </c>
      <c r="K12" s="11" t="n">
        <f aca="false">IF(AND(ISNUMBER(K7),ISNUMBER(K6)),(K7-K6)*100,"")</f>
        <v>-0.00217734746319476</v>
      </c>
    </row>
    <row r="14" customFormat="false" ht="24" hidden="false" customHeight="true" outlineLevel="0" collapsed="false">
      <c r="A14" s="2" t="s">
        <v>20</v>
      </c>
    </row>
    <row r="16" customFormat="false" ht="24" hidden="false" customHeight="true" outlineLevel="0" collapsed="false">
      <c r="A16" s="2" t="s">
        <v>21</v>
      </c>
    </row>
    <row r="17" customFormat="false" ht="37.5" hidden="false" customHeight="true" outlineLevel="0" collapsed="false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11</v>
      </c>
      <c r="K17" s="3" t="s">
        <v>12</v>
      </c>
    </row>
    <row r="18" customFormat="false" ht="27.75" hidden="false" customHeight="true" outlineLevel="0" collapsed="false">
      <c r="A18" s="7" t="s">
        <v>13</v>
      </c>
      <c r="B18" s="8" t="n">
        <v>8</v>
      </c>
      <c r="C18" s="12" t="n">
        <f aca="false">IF(COUNT(逐景主指标!C5,逐景主指标!C8,逐景主指标!C11,逐景主指标!C14,逐景主指标!C17,逐景主指标!C20,逐景主指标!C23,逐景主指标!C26)=8,AVERAGE(逐景主指标!C5,逐景主指标!C8,逐景主指标!C11,逐景主指标!C14,逐景主指标!C17,逐景主指标!C20,逐景主指标!C23,逐景主指标!C26),"")</f>
        <v>0.350091067806224</v>
      </c>
      <c r="D18" s="12" t="n">
        <f aca="false">IF(COUNT(逐景主指标!D5,逐景主指标!D8,逐景主指标!D11,逐景主指标!D14,逐景主指标!D17,逐景主指标!D20,逐景主指标!D23,逐景主指标!D26)=8,AVERAGE(逐景主指标!D5,逐景主指标!D8,逐景主指标!D11,逐景主指标!D14,逐景主指标!D17,逐景主指标!D20,逐景主指标!D23,逐景主指标!D26),"")</f>
        <v>0.516959404212217</v>
      </c>
      <c r="E18" s="12" t="n">
        <f aca="false">IF(COUNT(逐景主指标!E5,逐景主指标!E8,逐景主指标!E11,逐景主指标!E14,逐景主指标!E17,逐景主指标!E20,逐景主指标!E23,逐景主指标!E26)=8,AVERAGE(逐景主指标!E5,逐景主指标!E8,逐景主指标!E11,逐景主指标!E14,逐景主指标!E17,逐景主指标!E20,逐景主指标!E23,逐景主指标!E26),"")</f>
        <v>0.208566232737106</v>
      </c>
      <c r="F18" s="12" t="n">
        <f aca="false">IF(COUNT(逐景主指标!F5,逐景主指标!F8,逐景主指标!F11,逐景主指标!F14,逐景主指标!F17,逐景主指标!F20,逐景主指标!F23,逐景主指标!F26)=8,AVERAGE(逐景主指标!F5,逐景主指标!F8,逐景主指标!F11,逐景主指标!F14,逐景主指标!F17,逐景主指标!F20,逐景主指标!F23,逐景主指标!F26),"")</f>
        <v>0.02847980615319</v>
      </c>
      <c r="G18" s="12" t="n">
        <f aca="false">IF(COUNT(逐景主指标!G5,逐景主指标!G8,逐景主指标!G11,逐景主指标!G14,逐景主指标!G17,逐景主指标!G20,逐景主指标!G23,逐景主指标!G26)=8,AVERAGE(逐景主指标!G5,逐景主指标!G8,逐景主指标!G11,逐景主指标!G14,逐景主指标!G17,逐景主指标!G20,逐景主指标!G23,逐景主指标!G26),"")</f>
        <v>0.142667295328065</v>
      </c>
      <c r="H18" s="12" t="n">
        <f aca="false">IF(COUNT(逐景主指标!H5,逐景主指标!H8,逐景主指标!H11,逐景主指标!H14,逐景主指标!H17,逐景主指标!H20,逐景主指标!H23,逐景主指标!H26)=8,AVERAGE(逐景主指标!H5,逐景主指标!H8,逐景主指标!H11,逐景主指标!H14,逐景主指标!H17,逐景主指标!H20,逐景主指标!H23,逐景主指标!H26),"")</f>
        <v>0.206267628395967</v>
      </c>
      <c r="I18" s="12" t="n">
        <f aca="false">IF(COUNT(逐景主指标!I5,逐景主指标!I8,逐景主指标!I11,逐景主指标!I14,逐景主指标!I17,逐景主指标!I20,逐景主指标!I23,逐景主指标!I26)=8,AVERAGE(逐景主指标!I5,逐景主指标!I8,逐景主指标!I11,逐景主指标!I14,逐景主指标!I17,逐景主指标!I20,逐景主指标!I23,逐景主指标!I26),"")</f>
        <v>0.163283285318763</v>
      </c>
      <c r="J18" s="12" t="n">
        <f aca="false">IF(COUNT(逐景主指标!J5,逐景主指标!J8,逐景主指标!J11,逐景主指标!J14,逐景主指标!J17,逐景主指标!J20,逐景主指标!J23,逐景主指标!J26)=8,AVERAGE(逐景主指标!J5,逐景主指标!J8,逐景主指标!J11,逐景主指标!J14,逐景主指标!J17,逐景主指标!J20,逐景主指标!J23,逐景主指标!J26),"")</f>
        <v>0.227193044825264</v>
      </c>
      <c r="K18" s="12" t="n">
        <f aca="false">IF(COUNT(逐景主指标!K5,逐景主指标!K8,逐景主指标!K11,逐景主指标!K14,逐景主指标!K17,逐景主指标!K20,逐景主指标!K23,逐景主指标!K26)=8,AVERAGE(逐景主指标!K5,逐景主指标!K8,逐景主指标!K11,逐景主指标!K14,逐景主指标!K17,逐景主指标!K20,逐景主指标!K23,逐景主指标!K26),"")</f>
        <v>0.630580946515291</v>
      </c>
    </row>
    <row r="19" customFormat="false" ht="27.75" hidden="false" customHeight="true" outlineLevel="0" collapsed="false">
      <c r="A19" s="4" t="s">
        <v>14</v>
      </c>
      <c r="B19" s="5" t="n">
        <v>8</v>
      </c>
      <c r="C19" s="13" t="n">
        <f aca="false">IF(COUNT(逐景主指标!C6,逐景主指标!C9,逐景主指标!C12,逐景主指标!C15,逐景主指标!C18,逐景主指标!C21,逐景主指标!C24,逐景主指标!C27)=8,AVERAGE(逐景主指标!C6,逐景主指标!C9,逐景主指标!C12,逐景主指标!C15,逐景主指标!C18,逐景主指标!C21,逐景主指标!C24,逐景主指标!C27),"")</f>
        <v>0.425186859534395</v>
      </c>
      <c r="D19" s="13" t="n">
        <f aca="false">IF(COUNT(逐景主指标!D6,逐景主指标!D9,逐景主指标!D12,逐景主指标!D15,逐景主指标!D18,逐景主指标!D21,逐景主指标!D24,逐景主指标!D27)=8,AVERAGE(逐景主指标!D6,逐景主指标!D9,逐景主指标!D12,逐景主指标!D15,逐景主指标!D18,逐景主指标!D21,逐景主指标!D24,逐景主指标!D27),"")</f>
        <v>0.612896296890133</v>
      </c>
      <c r="E19" s="13" t="n">
        <f aca="false">IF(COUNT(逐景主指标!E6,逐景主指标!E9,逐景主指标!E12,逐景主指标!E15,逐景主指标!E18,逐景主指标!E21,逐景主指标!E24,逐景主指标!E27)=8,AVERAGE(逐景主指标!E6,逐景主指标!E9,逐景主指标!E12,逐景主指标!E15,逐景主指标!E18,逐景主指标!E21,逐景主指标!E24,逐景主指标!E27),"")</f>
        <v>0.260628008534628</v>
      </c>
      <c r="F19" s="13" t="n">
        <f aca="false">IF(COUNT(逐景主指标!F6,逐景主指标!F9,逐景主指标!F12,逐景主指标!F15,逐景主指标!F18,逐景主指标!F21,逐景主指标!F24,逐景主指标!F27)=8,AVERAGE(逐景主指标!F6,逐景主指标!F9,逐景主指标!F12,逐景主指标!F15,逐景主指标!F18,逐景主指标!F21,逐景主指标!F24,逐景主指标!F27),"")</f>
        <v>0.0638852127280659</v>
      </c>
      <c r="G19" s="13" t="n">
        <f aca="false">IF(COUNT(逐景主指标!G6,逐景主指标!G9,逐景主指标!G12,逐景主指标!G15,逐景主指标!G18,逐景主指标!G21,逐景主指标!G24,逐景主指标!G27)=8,AVERAGE(逐景主指标!G6,逐景主指标!G9,逐景主指标!G12,逐景主指标!G15,逐景主指标!G18,逐景主指标!G21,逐景主指标!G24,逐景主指标!G27),"")</f>
        <v>0.158023500479625</v>
      </c>
      <c r="H19" s="13" t="n">
        <f aca="false">IF(COUNT(逐景主指标!H6,逐景主指标!H9,逐景主指标!H12,逐景主指标!H15,逐景主指标!H18,逐景主指标!H21,逐景主指标!H24,逐景主指标!H27)=8,AVERAGE(逐景主指标!H6,逐景主指标!H9,逐景主指标!H12,逐景主指标!H15,逐景主指标!H18,逐景主指标!H21,逐景主指标!H24,逐景主指标!H27),"")</f>
        <v>0.250811817901136</v>
      </c>
      <c r="I19" s="13" t="n">
        <f aca="false">IF(COUNT(逐景主指标!I6,逐景主指标!I9,逐景主指标!I12,逐景主指标!I15,逐景主指标!I18,逐景主指标!I21,逐景主指标!I24,逐景主指标!I27)=8,AVERAGE(逐景主指标!I6,逐景主指标!I9,逐景主指标!I12,逐景主指标!I15,逐景主指标!I18,逐景主指标!I21,逐景主指标!I24,逐景主指标!I27),"")</f>
        <v>0.196969159349971</v>
      </c>
      <c r="J19" s="13" t="n">
        <f aca="false">IF(COUNT(逐景主指标!J6,逐景主指标!J9,逐景主指标!J12,逐景主指标!J15,逐景主指标!J18,逐景主指标!J21,逐景主指标!J24,逐景主指标!J27)=8,AVERAGE(逐景主指标!J6,逐景主指标!J9,逐景主指标!J12,逐景主指标!J15,逐景主指标!J18,逐景主指标!J21,逐景主指标!J24,逐景主指标!J27),"")</f>
        <v>0.254658671409769</v>
      </c>
      <c r="K19" s="13" t="n">
        <f aca="false">IF(COUNT(逐景主指标!K6,逐景主指标!K9,逐景主指标!K12,逐景主指标!K15,逐景主指标!K18,逐景主指标!K21,逐景主指标!K24,逐景主指标!K27)=8,AVERAGE(逐景主指标!K6,逐景主指标!K9,逐景主指标!K12,逐景主指标!K15,逐景主指标!K18,逐景主指标!K21,逐景主指标!K24,逐景主指标!K27),"")</f>
        <v>0.702705818434945</v>
      </c>
    </row>
    <row r="20" customFormat="false" ht="27.75" hidden="false" customHeight="true" outlineLevel="0" collapsed="false">
      <c r="A20" s="7" t="s">
        <v>15</v>
      </c>
      <c r="B20" s="8" t="n">
        <v>8</v>
      </c>
      <c r="C20" s="12" t="n">
        <f aca="false">IF(COUNT(逐景主指标!C7,逐景主指标!C10,逐景主指标!C13,逐景主指标!C16,逐景主指标!C19,逐景主指标!C22,逐景主指标!C25,逐景主指标!C28)=8,AVERAGE(逐景主指标!C7,逐景主指标!C10,逐景主指标!C13,逐景主指标!C16,逐景主指标!C19,逐景主指标!C22,逐景主指标!C25,逐景主指标!C28),"")</f>
        <v>0.426923268628475</v>
      </c>
      <c r="D20" s="12" t="n">
        <f aca="false">IF(COUNT(逐景主指标!D7,逐景主指标!D10,逐景主指标!D13,逐景主指标!D16,逐景主指标!D19,逐景主指标!D22,逐景主指标!D25,逐景主指标!D28)=8,AVERAGE(逐景主指标!D7,逐景主指标!D10,逐景主指标!D13,逐景主指标!D16,逐景主指标!D19,逐景主指标!D22,逐景主指标!D25,逐景主指标!D28),"")</f>
        <v>0.61525315232679</v>
      </c>
      <c r="E20" s="12" t="n">
        <f aca="false">IF(COUNT(逐景主指标!E7,逐景主指标!E10,逐景主指标!E13,逐景主指标!E16,逐景主指标!E19,逐景主指标!E22,逐景主指标!E25,逐景主指标!E28)=8,AVERAGE(逐景主指标!E7,逐景主指标!E10,逐景主指标!E13,逐景主指标!E16,逐景主指标!E19,逐景主指标!E22,逐景主指标!E25,逐景主指标!E28),"")</f>
        <v>0.273099297240389</v>
      </c>
      <c r="F20" s="12" t="n">
        <f aca="false">IF(COUNT(逐景主指标!F7,逐景主指标!F10,逐景主指标!F13,逐景主指标!F16,逐景主指标!F19,逐景主指标!F22,逐景主指标!F25,逐景主指标!F28)=8,AVERAGE(逐景主指标!F7,逐景主指标!F10,逐景主指标!F13,逐景主指标!F16,逐景主指标!F19,逐景主指标!F22,逐景主指标!F25,逐景主指标!F28),"")</f>
        <v>0.0652195259496635</v>
      </c>
      <c r="G20" s="12" t="n">
        <f aca="false">IF(COUNT(逐景主指标!G7,逐景主指标!G10,逐景主指标!G13,逐景主指标!G16,逐景主指标!G19,逐景主指标!G22,逐景主指标!G25,逐景主指标!G28)=8,AVERAGE(逐景主指标!G7,逐景主指标!G10,逐景主指标!G13,逐景主指标!G16,逐景主指标!G19,逐景主指标!G22,逐景主指标!G25,逐景主指标!G28),"")</f>
        <v>0.136958208031067</v>
      </c>
      <c r="H20" s="12" t="n">
        <f aca="false">IF(COUNT(逐景主指标!H7,逐景主指标!H10,逐景主指标!H13,逐景主指标!H16,逐景主指标!H19,逐景主指标!H22,逐景主指标!H25,逐景主指标!H28)=8,AVERAGE(逐景主指标!H7,逐景主指标!H10,逐景主指标!H13,逐景主指标!H16,逐景主指标!H19,逐景主指标!H22,逐景主指标!H25,逐景主指标!H28),"")</f>
        <v>0.238589559254142</v>
      </c>
      <c r="I20" s="12" t="n">
        <f aca="false">IF(COUNT(逐景主指标!I7,逐景主指标!I10,逐景主指标!I13,逐景主指标!I16,逐景主指标!I19,逐景主指标!I22,逐景主指标!I25,逐景主指标!I28)=8,AVERAGE(逐景主指标!I7,逐景主指标!I10,逐景主指标!I13,逐景主指标!I16,逐景主指标!I19,逐景主指标!I22,逐景主指标!I25,逐景主指标!I28),"")</f>
        <v>0.173480209208016</v>
      </c>
      <c r="J20" s="12" t="n">
        <f aca="false">IF(COUNT(逐景主指标!J7,逐景主指标!J10,逐景主指标!J13,逐景主指标!J16,逐景主指标!J19,逐景主指标!J22,逐景主指标!J25,逐景主指标!J28)=8,AVERAGE(逐景主指标!J7,逐景主指标!J10,逐景主指标!J13,逐景主指标!J16,逐景主指标!J19,逐景主指标!J22,逐景主指标!J25,逐景主指标!J28),"")</f>
        <v>0.232206700526087</v>
      </c>
      <c r="K20" s="12" t="n">
        <f aca="false">IF(COUNT(逐景主指标!K7,逐景主指标!K10,逐景主指标!K13,逐景主指标!K16,逐景主指标!K19,逐景主指标!K22,逐景主指标!K25,逐景主指标!K28)=8,AVERAGE(逐景主指标!K7,逐景主指标!K10,逐景主指标!K13,逐景主指标!K16,逐景主指标!K19,逐景主指标!K22,逐景主指标!K25,逐景主指标!K28),"")</f>
        <v>0.702686909662693</v>
      </c>
    </row>
    <row r="22" customFormat="false" ht="24" hidden="false" customHeight="true" outlineLevel="0" collapsed="false">
      <c r="A22" s="2" t="s">
        <v>22</v>
      </c>
    </row>
    <row r="23" customFormat="false" ht="24" hidden="false" customHeight="true" outlineLevel="0" collapsed="false">
      <c r="A23" s="2" t="s">
        <v>23</v>
      </c>
    </row>
  </sheetData>
  <conditionalFormatting sqref="C11:K12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28.99"/>
    <col collapsed="false" customWidth="true" hidden="false" outlineLevel="0" max="11" min="3" style="0" width="15"/>
  </cols>
  <sheetData>
    <row r="1" customFormat="false" ht="27" hidden="false" customHeight="true" outlineLevel="0" collapsed="false">
      <c r="A1" s="1" t="s">
        <v>24</v>
      </c>
    </row>
    <row r="2" customFormat="false" ht="22.5" hidden="false" customHeight="true" outlineLevel="0" collapsed="false">
      <c r="A2" s="2" t="s">
        <v>25</v>
      </c>
    </row>
    <row r="4" customFormat="false" ht="37.5" hidden="false" customHeight="true" outlineLevel="0" collapsed="false">
      <c r="A4" s="3" t="s">
        <v>26</v>
      </c>
      <c r="B4" s="3" t="s">
        <v>2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7.75" hidden="false" customHeight="true" outlineLevel="0" collapsed="false">
      <c r="A5" s="4" t="s">
        <v>27</v>
      </c>
      <c r="B5" s="4" t="s">
        <v>13</v>
      </c>
      <c r="C5" s="6" t="n">
        <v>0.363740259064912</v>
      </c>
      <c r="D5" s="6" t="n">
        <v>0.425746107383899</v>
      </c>
      <c r="E5" s="6" t="n">
        <v>0.271648086267742</v>
      </c>
      <c r="F5" s="6" t="n">
        <v>0.0314682925198842</v>
      </c>
      <c r="G5" s="6" t="n">
        <v>0.156573970583644</v>
      </c>
      <c r="H5" s="6" t="n">
        <v>0.192274305555556</v>
      </c>
      <c r="I5" s="6" t="n">
        <v>0.190972222222222</v>
      </c>
      <c r="J5" s="6" t="n">
        <v>0.257511563934352</v>
      </c>
      <c r="K5" s="6" t="n">
        <v>0.680321956034777</v>
      </c>
    </row>
    <row r="6" customFormat="false" ht="27.75" hidden="false" customHeight="true" outlineLevel="0" collapsed="false">
      <c r="A6" s="7" t="s">
        <v>27</v>
      </c>
      <c r="B6" s="7" t="s">
        <v>14</v>
      </c>
      <c r="C6" s="9" t="n">
        <v>0.456268419485919</v>
      </c>
      <c r="D6" s="9" t="n">
        <v>0.627103865625469</v>
      </c>
      <c r="E6" s="9" t="n">
        <v>0.303352542706152</v>
      </c>
      <c r="F6" s="9" t="n">
        <v>0.0495704851920924</v>
      </c>
      <c r="G6" s="9" t="n">
        <v>0.180114021191902</v>
      </c>
      <c r="H6" s="9" t="n">
        <v>0.281498015873016</v>
      </c>
      <c r="I6" s="9" t="n">
        <v>0.245039682539683</v>
      </c>
      <c r="J6" s="9" t="n">
        <v>0.304069793613917</v>
      </c>
      <c r="K6" s="9" t="n">
        <v>0.794252763180522</v>
      </c>
    </row>
    <row r="7" customFormat="false" ht="27.75" hidden="false" customHeight="true" outlineLevel="0" collapsed="false">
      <c r="A7" s="4" t="s">
        <v>27</v>
      </c>
      <c r="B7" s="4" t="s">
        <v>15</v>
      </c>
      <c r="C7" s="6" t="n">
        <v>0.456681885557456</v>
      </c>
      <c r="D7" s="6" t="n">
        <v>0.639974051382969</v>
      </c>
      <c r="E7" s="6" t="n">
        <v>0.310707587565953</v>
      </c>
      <c r="F7" s="6" t="n">
        <v>0.0504068299919415</v>
      </c>
      <c r="G7" s="6" t="n">
        <v>0.146911079995008</v>
      </c>
      <c r="H7" s="6" t="n">
        <v>0.249751984126984</v>
      </c>
      <c r="I7" s="6" t="n">
        <v>0.228174603174603</v>
      </c>
      <c r="J7" s="6" t="n">
        <v>0.235854646973188</v>
      </c>
      <c r="K7" s="6" t="n">
        <v>0.794246063207545</v>
      </c>
    </row>
    <row r="8" customFormat="false" ht="27.75" hidden="false" customHeight="true" outlineLevel="0" collapsed="false">
      <c r="A8" s="7" t="s">
        <v>28</v>
      </c>
      <c r="B8" s="7" t="s">
        <v>13</v>
      </c>
      <c r="C8" s="9" t="n">
        <v>0.405770482418601</v>
      </c>
      <c r="D8" s="9" t="n">
        <v>0.538590146065035</v>
      </c>
      <c r="E8" s="9" t="n">
        <v>0.160770517011309</v>
      </c>
      <c r="F8" s="9" t="n">
        <v>0.0320554680205415</v>
      </c>
      <c r="G8" s="9" t="n">
        <v>0.200093175185648</v>
      </c>
      <c r="H8" s="9" t="n">
        <v>0.306704260651629</v>
      </c>
      <c r="I8" s="9" t="n">
        <v>0.243107769423559</v>
      </c>
      <c r="J8" s="9" t="n">
        <v>0.347432914933377</v>
      </c>
      <c r="K8" s="9" t="n">
        <v>0.762213388848188</v>
      </c>
    </row>
    <row r="9" customFormat="false" ht="27.75" hidden="false" customHeight="true" outlineLevel="0" collapsed="false">
      <c r="A9" s="4" t="s">
        <v>28</v>
      </c>
      <c r="B9" s="4" t="s">
        <v>14</v>
      </c>
      <c r="C9" s="6" t="n">
        <v>0.416564867041898</v>
      </c>
      <c r="D9" s="6" t="n">
        <v>0.557620411627763</v>
      </c>
      <c r="E9" s="6" t="n">
        <v>0.1665911359008</v>
      </c>
      <c r="F9" s="6" t="n">
        <v>0.036617445054945</v>
      </c>
      <c r="G9" s="6" t="n">
        <v>0.225606698911497</v>
      </c>
      <c r="H9" s="6" t="n">
        <v>0.37578320802005</v>
      </c>
      <c r="I9" s="6" t="n">
        <v>0.206923558897243</v>
      </c>
      <c r="J9" s="6" t="n">
        <v>0.401144339020566</v>
      </c>
      <c r="K9" s="6" t="n">
        <v>0.763736662290278</v>
      </c>
    </row>
    <row r="10" customFormat="false" ht="27.75" hidden="false" customHeight="true" outlineLevel="0" collapsed="false">
      <c r="A10" s="7" t="s">
        <v>28</v>
      </c>
      <c r="B10" s="7" t="s">
        <v>15</v>
      </c>
      <c r="C10" s="9" t="n">
        <v>0.41811983055604</v>
      </c>
      <c r="D10" s="9" t="n">
        <v>0.557620411627763</v>
      </c>
      <c r="E10" s="9" t="n">
        <v>0.1665911359008</v>
      </c>
      <c r="F10" s="9" t="n">
        <v>0.036617445054945</v>
      </c>
      <c r="G10" s="9" t="n">
        <v>0.179234439028026</v>
      </c>
      <c r="H10" s="9" t="n">
        <v>0.347587719298246</v>
      </c>
      <c r="I10" s="9" t="n">
        <v>0.196271929824561</v>
      </c>
      <c r="J10" s="9" t="n">
        <v>0.364201839728439</v>
      </c>
      <c r="K10" s="9" t="n">
        <v>0.763725781765691</v>
      </c>
    </row>
    <row r="11" customFormat="false" ht="27.75" hidden="false" customHeight="true" outlineLevel="0" collapsed="false">
      <c r="A11" s="4" t="s">
        <v>29</v>
      </c>
      <c r="B11" s="4" t="s">
        <v>13</v>
      </c>
      <c r="C11" s="6" t="n">
        <v>0.306658770742888</v>
      </c>
      <c r="D11" s="6" t="n">
        <v>0.446862505475103</v>
      </c>
      <c r="E11" s="6" t="n">
        <v>0.119333649391498</v>
      </c>
      <c r="F11" s="6" t="n">
        <v>0</v>
      </c>
      <c r="G11" s="6" t="n">
        <v>0.151133518135406</v>
      </c>
      <c r="H11" s="6" t="n">
        <v>0.187825520833333</v>
      </c>
      <c r="I11" s="6" t="n">
        <v>0.135416666666667</v>
      </c>
      <c r="J11" s="6" t="n">
        <v>0.282528824685095</v>
      </c>
      <c r="K11" s="6" t="n">
        <v>0.645806909226861</v>
      </c>
    </row>
    <row r="12" customFormat="false" ht="27.75" hidden="false" customHeight="true" outlineLevel="0" collapsed="false">
      <c r="A12" s="7" t="s">
        <v>29</v>
      </c>
      <c r="B12" s="7" t="s">
        <v>14</v>
      </c>
      <c r="C12" s="9" t="n">
        <v>0.387554612473897</v>
      </c>
      <c r="D12" s="9" t="n">
        <v>0.524298945612149</v>
      </c>
      <c r="E12" s="9" t="n">
        <v>0.151558446721798</v>
      </c>
      <c r="F12" s="9" t="n">
        <v>0.0035081053698075</v>
      </c>
      <c r="G12" s="9" t="n">
        <v>0.175286626488004</v>
      </c>
      <c r="H12" s="9" t="n">
        <v>0.19140625</v>
      </c>
      <c r="I12" s="9" t="n">
        <v>0.13671875</v>
      </c>
      <c r="J12" s="9" t="n">
        <v>0.290294976758335</v>
      </c>
      <c r="K12" s="9" t="n">
        <v>0.681603930159995</v>
      </c>
    </row>
    <row r="13" customFormat="false" ht="27.75" hidden="false" customHeight="true" outlineLevel="0" collapsed="false">
      <c r="A13" s="4" t="s">
        <v>29</v>
      </c>
      <c r="B13" s="4" t="s">
        <v>15</v>
      </c>
      <c r="C13" s="6" t="n">
        <v>0.384095729445009</v>
      </c>
      <c r="D13" s="6" t="n">
        <v>0.507443421441093</v>
      </c>
      <c r="E13" s="6" t="n">
        <v>0.153153387731717</v>
      </c>
      <c r="F13" s="6" t="n">
        <v>0.0035081053698075</v>
      </c>
      <c r="G13" s="6" t="n">
        <v>0.12976942093953</v>
      </c>
      <c r="H13" s="6" t="n">
        <v>0.217708333333333</v>
      </c>
      <c r="I13" s="6" t="n">
        <v>0.129166666666667</v>
      </c>
      <c r="J13" s="6" t="n">
        <v>0.257508648691441</v>
      </c>
      <c r="K13" s="6" t="n">
        <v>0.681603930159995</v>
      </c>
    </row>
    <row r="14" customFormat="false" ht="27.75" hidden="false" customHeight="true" outlineLevel="0" collapsed="false">
      <c r="A14" s="7" t="s">
        <v>30</v>
      </c>
      <c r="B14" s="7" t="s">
        <v>13</v>
      </c>
      <c r="C14" s="9" t="n">
        <v>0.313358407776691</v>
      </c>
      <c r="D14" s="9" t="n">
        <v>0.595544822179884</v>
      </c>
      <c r="E14" s="9" t="n">
        <v>0.198148583442701</v>
      </c>
      <c r="F14" s="9" t="n">
        <v>0.0592657342657343</v>
      </c>
      <c r="G14" s="9" t="n">
        <v>0.129494143558133</v>
      </c>
      <c r="H14" s="9" t="n">
        <v>0.25</v>
      </c>
      <c r="I14" s="9" t="n">
        <v>0.15</v>
      </c>
      <c r="J14" s="9" t="n">
        <v>0.238533384904717</v>
      </c>
      <c r="K14" s="9" t="n">
        <v>0.585434342218746</v>
      </c>
    </row>
    <row r="15" customFormat="false" ht="27.75" hidden="false" customHeight="true" outlineLevel="0" collapsed="false">
      <c r="A15" s="4" t="s">
        <v>30</v>
      </c>
      <c r="B15" s="4" t="s">
        <v>14</v>
      </c>
      <c r="C15" s="6" t="n">
        <v>0.340858498943108</v>
      </c>
      <c r="D15" s="6" t="n">
        <v>0.591856137528722</v>
      </c>
      <c r="E15" s="6" t="n">
        <v>0.188267302188707</v>
      </c>
      <c r="F15" s="6" t="n">
        <v>0.0657081668959497</v>
      </c>
      <c r="G15" s="6" t="n">
        <v>0.19550292956476</v>
      </c>
      <c r="H15" s="6" t="n">
        <v>0.325</v>
      </c>
      <c r="I15" s="6" t="n">
        <v>0.225</v>
      </c>
      <c r="J15" s="6" t="n">
        <v>0.273408672037422</v>
      </c>
      <c r="K15" s="6" t="n">
        <v>0.643969753494996</v>
      </c>
    </row>
    <row r="16" customFormat="false" ht="27.75" hidden="false" customHeight="true" outlineLevel="0" collapsed="false">
      <c r="A16" s="7" t="s">
        <v>30</v>
      </c>
      <c r="B16" s="7" t="s">
        <v>15</v>
      </c>
      <c r="C16" s="9" t="n">
        <v>0.336365524182633</v>
      </c>
      <c r="D16" s="9" t="n">
        <v>0.562706627495507</v>
      </c>
      <c r="E16" s="9" t="n">
        <v>0.189838928502896</v>
      </c>
      <c r="F16" s="9" t="n">
        <v>0.0661716535726717</v>
      </c>
      <c r="G16" s="9" t="n">
        <v>0.147935571172336</v>
      </c>
      <c r="H16" s="9" t="n">
        <v>0.25</v>
      </c>
      <c r="I16" s="9" t="n">
        <v>0.15</v>
      </c>
      <c r="J16" s="9" t="n">
        <v>0.227517269582856</v>
      </c>
      <c r="K16" s="9" t="n">
        <v>0.643961730549371</v>
      </c>
    </row>
    <row r="17" customFormat="false" ht="27.75" hidden="false" customHeight="true" outlineLevel="0" collapsed="false">
      <c r="A17" s="4" t="s">
        <v>31</v>
      </c>
      <c r="B17" s="4" t="s">
        <v>13</v>
      </c>
      <c r="C17" s="6" t="n">
        <v>0.378515926750063</v>
      </c>
      <c r="D17" s="6" t="n">
        <v>0.52</v>
      </c>
      <c r="E17" s="6" t="n">
        <v>0.327889665889666</v>
      </c>
      <c r="F17" s="6" t="n">
        <v>0.0586688311688312</v>
      </c>
      <c r="G17" s="6" t="n">
        <v>0.143835203793609</v>
      </c>
      <c r="H17" s="6" t="n">
        <v>0.294117647058823</v>
      </c>
      <c r="I17" s="6" t="n">
        <v>0.25</v>
      </c>
      <c r="J17" s="6" t="n">
        <v>0.233396430434321</v>
      </c>
      <c r="K17" s="6" t="n">
        <v>0.580198668390944</v>
      </c>
    </row>
    <row r="18" customFormat="false" ht="27.75" hidden="false" customHeight="true" outlineLevel="0" collapsed="false">
      <c r="A18" s="7" t="s">
        <v>31</v>
      </c>
      <c r="B18" s="7" t="s">
        <v>14</v>
      </c>
      <c r="C18" s="9" t="n">
        <v>0.457500779262028</v>
      </c>
      <c r="D18" s="9" t="n">
        <v>0.632841503267974</v>
      </c>
      <c r="E18" s="9" t="n">
        <v>0.526003333268039</v>
      </c>
      <c r="F18" s="9" t="n">
        <v>0.182698412698413</v>
      </c>
      <c r="G18" s="9" t="n">
        <v>0.142390332383718</v>
      </c>
      <c r="H18" s="9" t="n">
        <v>0.281862745098039</v>
      </c>
      <c r="I18" s="9" t="n">
        <v>0.281862745098039</v>
      </c>
      <c r="J18" s="9" t="n">
        <v>0.232702454143658</v>
      </c>
      <c r="K18" s="9" t="n">
        <v>0.708525573331677</v>
      </c>
    </row>
    <row r="19" customFormat="false" ht="27.75" hidden="false" customHeight="true" outlineLevel="0" collapsed="false">
      <c r="A19" s="4" t="s">
        <v>31</v>
      </c>
      <c r="B19" s="4" t="s">
        <v>15</v>
      </c>
      <c r="C19" s="6" t="n">
        <v>0.457495455600281</v>
      </c>
      <c r="D19" s="6" t="n">
        <v>0.632841503267974</v>
      </c>
      <c r="E19" s="6" t="n">
        <v>0.526003333268039</v>
      </c>
      <c r="F19" s="6" t="n">
        <v>0.182698412698413</v>
      </c>
      <c r="G19" s="6" t="n">
        <v>0.145864602018408</v>
      </c>
      <c r="H19" s="6" t="n">
        <v>0.25</v>
      </c>
      <c r="I19" s="6" t="n">
        <v>0.25</v>
      </c>
      <c r="J19" s="6" t="n">
        <v>0.232693924486038</v>
      </c>
      <c r="K19" s="6" t="n">
        <v>0.708531220528691</v>
      </c>
    </row>
    <row r="20" customFormat="false" ht="27.75" hidden="false" customHeight="true" outlineLevel="0" collapsed="false">
      <c r="A20" s="7" t="s">
        <v>32</v>
      </c>
      <c r="B20" s="7" t="s">
        <v>13</v>
      </c>
      <c r="C20" s="9" t="n">
        <v>0.311224636528897</v>
      </c>
      <c r="D20" s="9" t="n">
        <v>0.458186643260383</v>
      </c>
      <c r="E20" s="9" t="n">
        <v>0.117639658135982</v>
      </c>
      <c r="F20" s="9" t="n">
        <v>0.00658700980392157</v>
      </c>
      <c r="G20" s="9" t="n">
        <v>0.118113548763906</v>
      </c>
      <c r="H20" s="9" t="n">
        <v>0.158823529411765</v>
      </c>
      <c r="I20" s="9" t="n">
        <v>0.129411764705882</v>
      </c>
      <c r="J20" s="9" t="n">
        <v>0.139715831522719</v>
      </c>
      <c r="K20" s="9" t="n">
        <v>0.587088087154692</v>
      </c>
    </row>
    <row r="21" customFormat="false" ht="27.75" hidden="false" customHeight="true" outlineLevel="0" collapsed="false">
      <c r="A21" s="4" t="s">
        <v>32</v>
      </c>
      <c r="B21" s="4" t="s">
        <v>14</v>
      </c>
      <c r="C21" s="6" t="n">
        <v>0.42489316908024</v>
      </c>
      <c r="D21" s="6" t="n">
        <v>0.600852033582505</v>
      </c>
      <c r="E21" s="6" t="n">
        <v>0.225445431159283</v>
      </c>
      <c r="F21" s="6" t="n">
        <v>0.0529919511670084</v>
      </c>
      <c r="G21" s="6" t="n">
        <v>0.124204504211322</v>
      </c>
      <c r="H21" s="6" t="n">
        <v>0.188235294117647</v>
      </c>
      <c r="I21" s="6" t="n">
        <v>0.188235294117647</v>
      </c>
      <c r="J21" s="6" t="n">
        <v>0.163558351153733</v>
      </c>
      <c r="K21" s="6" t="n">
        <v>0.655442307900014</v>
      </c>
    </row>
    <row r="22" customFormat="false" ht="27.75" hidden="false" customHeight="true" outlineLevel="0" collapsed="false">
      <c r="A22" s="7" t="s">
        <v>32</v>
      </c>
      <c r="B22" s="7" t="s">
        <v>15</v>
      </c>
      <c r="C22" s="9" t="n">
        <v>0.427421312312624</v>
      </c>
      <c r="D22" s="9" t="n">
        <v>0.602975295886854</v>
      </c>
      <c r="E22" s="9" t="n">
        <v>0.25311195301072</v>
      </c>
      <c r="F22" s="9" t="n">
        <v>0.0526131891435095</v>
      </c>
      <c r="G22" s="9" t="n">
        <v>0.0892640531935443</v>
      </c>
      <c r="H22" s="9" t="n">
        <v>0.149019607843137</v>
      </c>
      <c r="I22" s="9" t="n">
        <v>0.0950980392156863</v>
      </c>
      <c r="J22" s="9" t="n">
        <v>0.133021219738761</v>
      </c>
      <c r="K22" s="9" t="n">
        <v>0.655402705222873</v>
      </c>
    </row>
    <row r="23" customFormat="false" ht="27.75" hidden="false" customHeight="true" outlineLevel="0" collapsed="false">
      <c r="A23" s="4" t="s">
        <v>33</v>
      </c>
      <c r="B23" s="4" t="s">
        <v>13</v>
      </c>
      <c r="C23" s="6" t="n">
        <v>0.303192046464105</v>
      </c>
      <c r="D23" s="6" t="n">
        <v>0.442652219118297</v>
      </c>
      <c r="E23" s="6" t="n">
        <v>0.15923944047255</v>
      </c>
      <c r="F23" s="6" t="n">
        <v>0.0179517562860675</v>
      </c>
      <c r="G23" s="6" t="n">
        <v>0.105248666158973</v>
      </c>
      <c r="H23" s="6" t="n">
        <v>0.13731884057971</v>
      </c>
      <c r="I23" s="6" t="n">
        <v>0.130434782608696</v>
      </c>
      <c r="J23" s="6" t="n">
        <v>0.15214468951768</v>
      </c>
      <c r="K23" s="6" t="n">
        <v>0.599075414606175</v>
      </c>
    </row>
    <row r="24" customFormat="false" ht="27.75" hidden="false" customHeight="true" outlineLevel="0" collapsed="false">
      <c r="A24" s="7" t="s">
        <v>33</v>
      </c>
      <c r="B24" s="7" t="s">
        <v>14</v>
      </c>
      <c r="C24" s="9" t="n">
        <v>0.43248450072225</v>
      </c>
      <c r="D24" s="9" t="n">
        <v>0.636432462921049</v>
      </c>
      <c r="E24" s="9" t="n">
        <v>0.258954879496422</v>
      </c>
      <c r="F24" s="9" t="n">
        <v>0.0391863520977909</v>
      </c>
      <c r="G24" s="9" t="n">
        <v>0.083186455481815</v>
      </c>
      <c r="H24" s="9" t="n">
        <v>0.193478260869565</v>
      </c>
      <c r="I24" s="9" t="n">
        <v>0.130434782608696</v>
      </c>
      <c r="J24" s="9" t="n">
        <v>0.19980055601123</v>
      </c>
      <c r="K24" s="9" t="n">
        <v>0.653804140493381</v>
      </c>
    </row>
    <row r="25" customFormat="false" ht="27.75" hidden="false" customHeight="true" outlineLevel="0" collapsed="false">
      <c r="A25" s="4" t="s">
        <v>33</v>
      </c>
      <c r="B25" s="4" t="s">
        <v>15</v>
      </c>
      <c r="C25" s="6" t="n">
        <v>0.442346531339686</v>
      </c>
      <c r="D25" s="6" t="n">
        <v>0.649642041508946</v>
      </c>
      <c r="E25" s="6" t="n">
        <v>0.324183381822177</v>
      </c>
      <c r="F25" s="6" t="n">
        <v>0.0497550482084185</v>
      </c>
      <c r="G25" s="6" t="n">
        <v>0.113172386401436</v>
      </c>
      <c r="H25" s="6" t="n">
        <v>0.23695652173913</v>
      </c>
      <c r="I25" s="6" t="n">
        <v>0.139130434782609</v>
      </c>
      <c r="J25" s="6" t="n">
        <v>0.228381501593925</v>
      </c>
      <c r="K25" s="6" t="n">
        <v>0.653740163544039</v>
      </c>
    </row>
    <row r="26" customFormat="false" ht="27.75" hidden="false" customHeight="true" outlineLevel="0" collapsed="false">
      <c r="A26" s="7" t="s">
        <v>34</v>
      </c>
      <c r="B26" s="7" t="s">
        <v>13</v>
      </c>
      <c r="C26" s="9" t="n">
        <v>0.418268012703636</v>
      </c>
      <c r="D26" s="9" t="n">
        <v>0.708092790215135</v>
      </c>
      <c r="E26" s="9" t="n">
        <v>0.313860261285397</v>
      </c>
      <c r="F26" s="9" t="n">
        <v>0.0218413571605397</v>
      </c>
      <c r="G26" s="9" t="n">
        <v>0.136846136445202</v>
      </c>
      <c r="H26" s="9" t="n">
        <v>0.123076923076923</v>
      </c>
      <c r="I26" s="9" t="n">
        <v>0.0769230769230769</v>
      </c>
      <c r="J26" s="9" t="n">
        <v>0.166280718669851</v>
      </c>
      <c r="K26" s="9" t="n">
        <v>0.60450880564195</v>
      </c>
    </row>
    <row r="27" customFormat="false" ht="27.75" hidden="false" customHeight="true" outlineLevel="0" collapsed="false">
      <c r="A27" s="4" t="s">
        <v>34</v>
      </c>
      <c r="B27" s="4" t="s">
        <v>14</v>
      </c>
      <c r="C27" s="6" t="n">
        <v>0.485370029265821</v>
      </c>
      <c r="D27" s="6" t="n">
        <v>0.732165014955431</v>
      </c>
      <c r="E27" s="6" t="n">
        <v>0.264850996835827</v>
      </c>
      <c r="F27" s="6" t="n">
        <v>0.0808007833485206</v>
      </c>
      <c r="G27" s="6" t="n">
        <v>0.13789643560398</v>
      </c>
      <c r="H27" s="6" t="n">
        <v>0.169230769230769</v>
      </c>
      <c r="I27" s="6" t="n">
        <v>0.161538461538461</v>
      </c>
      <c r="J27" s="6" t="n">
        <v>0.172290228539291</v>
      </c>
      <c r="K27" s="6" t="n">
        <v>0.720311416628697</v>
      </c>
    </row>
    <row r="28" customFormat="false" ht="27.75" hidden="false" customHeight="true" outlineLevel="0" collapsed="false">
      <c r="A28" s="7" t="s">
        <v>34</v>
      </c>
      <c r="B28" s="7" t="s">
        <v>15</v>
      </c>
      <c r="C28" s="9" t="n">
        <v>0.49285988003407</v>
      </c>
      <c r="D28" s="9" t="n">
        <v>0.768821866003211</v>
      </c>
      <c r="E28" s="9" t="n">
        <v>0.261204670120812</v>
      </c>
      <c r="F28" s="9" t="n">
        <v>0.0799855235576016</v>
      </c>
      <c r="G28" s="9" t="n">
        <v>0.143514111500243</v>
      </c>
      <c r="H28" s="9" t="n">
        <v>0.207692307692308</v>
      </c>
      <c r="I28" s="9" t="n">
        <v>0.2</v>
      </c>
      <c r="J28" s="9" t="n">
        <v>0.178474553414049</v>
      </c>
      <c r="K28" s="9" t="n">
        <v>0.720283682323342</v>
      </c>
    </row>
  </sheetData>
  <autoFilter ref="A4:K28"/>
  <printOptions headings="false" gridLines="false" gridLinesSet="true" horizontalCentered="tru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8"/>
    <col collapsed="false" customWidth="true" hidden="false" outlineLevel="0" max="11" min="3" style="0" width="15"/>
  </cols>
  <sheetData>
    <row r="1" customFormat="false" ht="27" hidden="false" customHeight="true" outlineLevel="0" collapsed="false">
      <c r="A1" s="1" t="s">
        <v>35</v>
      </c>
    </row>
    <row r="2" customFormat="false" ht="22.5" hidden="false" customHeight="true" outlineLevel="0" collapsed="false">
      <c r="A2" s="2" t="s">
        <v>36</v>
      </c>
    </row>
    <row r="4" customFormat="false" ht="37.5" hidden="false" customHeight="true" outlineLevel="0" collapsed="false">
      <c r="A4" s="3" t="s">
        <v>26</v>
      </c>
      <c r="B4" s="3" t="s">
        <v>37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7.75" hidden="false" customHeight="true" outlineLevel="0" collapsed="false">
      <c r="A5" s="4" t="s">
        <v>27</v>
      </c>
      <c r="B5" s="4" t="s">
        <v>38</v>
      </c>
      <c r="C5" s="10" t="n">
        <f aca="false">IF(AND(ISNUMBER(逐景主指标!C6),ISNUMBER(逐景主指标!C5)),(逐景主指标!C6-逐景主指标!C5)*100,"")</f>
        <v>9.25281604210061</v>
      </c>
      <c r="D5" s="10" t="n">
        <f aca="false">IF(AND(ISNUMBER(逐景主指标!D6),ISNUMBER(逐景主指标!D5)),(逐景主指标!D6-逐景主指标!D5)*100,"")</f>
        <v>20.1357758241569</v>
      </c>
      <c r="E5" s="10" t="n">
        <f aca="false">IF(AND(ISNUMBER(逐景主指标!E6),ISNUMBER(逐景主指标!E5)),(逐景主指标!E6-逐景主指标!E5)*100,"")</f>
        <v>3.17044564384098</v>
      </c>
      <c r="F5" s="10" t="n">
        <f aca="false">IF(AND(ISNUMBER(逐景主指标!F6),ISNUMBER(逐景主指标!F5)),(逐景主指标!F6-逐景主指标!F5)*100,"")</f>
        <v>1.81021926722081</v>
      </c>
      <c r="G5" s="10" t="n">
        <f aca="false">IF(AND(ISNUMBER(逐景主指标!G6),ISNUMBER(逐景主指标!G5)),(逐景主指标!G6-逐景主指标!G5)*100,"")</f>
        <v>2.35400506082585</v>
      </c>
      <c r="H5" s="10" t="n">
        <f aca="false">IF(AND(ISNUMBER(逐景主指标!H6),ISNUMBER(逐景主指标!H5)),(逐景主指标!H6-逐景主指标!H5)*100,"")</f>
        <v>8.92237103174603</v>
      </c>
      <c r="I5" s="10" t="n">
        <f aca="false">IF(AND(ISNUMBER(逐景主指标!I6),ISNUMBER(逐景主指标!I5)),(逐景主指标!I6-逐景主指标!I5)*100,"")</f>
        <v>5.40674603174604</v>
      </c>
      <c r="J5" s="10" t="n">
        <f aca="false">IF(AND(ISNUMBER(逐景主指标!J6),ISNUMBER(逐景主指标!J5)),(逐景主指标!J6-逐景主指标!J5)*100,"")</f>
        <v>4.65582296795652</v>
      </c>
      <c r="K5" s="10" t="n">
        <f aca="false">IF(AND(ISNUMBER(逐景主指标!K6),ISNUMBER(逐景主指标!K5)),(逐景主指标!K6-逐景主指标!K5)*100,"")</f>
        <v>11.3930807145745</v>
      </c>
    </row>
    <row r="6" customFormat="false" ht="27.75" hidden="false" customHeight="true" outlineLevel="0" collapsed="false">
      <c r="A6" s="7" t="s">
        <v>28</v>
      </c>
      <c r="B6" s="7" t="s">
        <v>38</v>
      </c>
      <c r="C6" s="11" t="n">
        <f aca="false">IF(AND(ISNUMBER(逐景主指标!C9),ISNUMBER(逐景主指标!C8)),(逐景主指标!C9-逐景主指标!C8)*100,"")</f>
        <v>1.07943846232979</v>
      </c>
      <c r="D6" s="11" t="n">
        <f aca="false">IF(AND(ISNUMBER(逐景主指标!D9),ISNUMBER(逐景主指标!D8)),(逐景主指标!D9-逐景主指标!D8)*100,"")</f>
        <v>1.90302655627282</v>
      </c>
      <c r="E6" s="11" t="n">
        <f aca="false">IF(AND(ISNUMBER(逐景主指标!E9),ISNUMBER(逐景主指标!E8)),(逐景主指标!E9-逐景主指标!E8)*100,"")</f>
        <v>0.582061888949101</v>
      </c>
      <c r="F6" s="11" t="n">
        <f aca="false">IF(AND(ISNUMBER(逐景主指标!F9),ISNUMBER(逐景主指标!F8)),(逐景主指标!F9-逐景主指标!F8)*100,"")</f>
        <v>0.456197703440351</v>
      </c>
      <c r="G6" s="11" t="n">
        <f aca="false">IF(AND(ISNUMBER(逐景主指标!G9),ISNUMBER(逐景主指标!G8)),(逐景主指标!G9-逐景主指标!G8)*100,"")</f>
        <v>2.55135237258489</v>
      </c>
      <c r="H6" s="11" t="n">
        <f aca="false">IF(AND(ISNUMBER(逐景主指标!H9),ISNUMBER(逐景主指标!H8)),(逐景主指标!H9-逐景主指标!H8)*100,"")</f>
        <v>6.9078947368421</v>
      </c>
      <c r="I6" s="11" t="n">
        <f aca="false">IF(AND(ISNUMBER(逐景主指标!I9),ISNUMBER(逐景主指标!I8)),(逐景主指标!I9-逐景主指标!I8)*100,"")</f>
        <v>-3.61842105263158</v>
      </c>
      <c r="J6" s="11" t="n">
        <f aca="false">IF(AND(ISNUMBER(逐景主指标!J9),ISNUMBER(逐景主指标!J8)),(逐景主指标!J9-逐景主指标!J8)*100,"")</f>
        <v>5.37114240871893</v>
      </c>
      <c r="K6" s="11" t="n">
        <f aca="false">IF(AND(ISNUMBER(逐景主指标!K9),ISNUMBER(逐景主指标!K8)),(逐景主指标!K9-逐景主指标!K8)*100,"")</f>
        <v>0.152327344209025</v>
      </c>
    </row>
    <row r="7" customFormat="false" ht="27.75" hidden="false" customHeight="true" outlineLevel="0" collapsed="false">
      <c r="A7" s="4" t="s">
        <v>29</v>
      </c>
      <c r="B7" s="4" t="s">
        <v>38</v>
      </c>
      <c r="C7" s="10" t="n">
        <f aca="false">IF(AND(ISNUMBER(逐景主指标!C12),ISNUMBER(逐景主指标!C11)),(逐景主指标!C12-逐景主指标!C11)*100,"")</f>
        <v>8.08958417310086</v>
      </c>
      <c r="D7" s="10" t="n">
        <f aca="false">IF(AND(ISNUMBER(逐景主指标!D12),ISNUMBER(逐景主指标!D11)),(逐景主指标!D12-逐景主指标!D11)*100,"")</f>
        <v>7.74364401370459</v>
      </c>
      <c r="E7" s="10" t="n">
        <f aca="false">IF(AND(ISNUMBER(逐景主指标!E12),ISNUMBER(逐景主指标!E11)),(逐景主指标!E12-逐景主指标!E11)*100,"")</f>
        <v>3.22247973303001</v>
      </c>
      <c r="F7" s="10" t="n">
        <f aca="false">IF(AND(ISNUMBER(逐景主指标!F12),ISNUMBER(逐景主指标!F11)),(逐景主指标!F12-逐景主指标!F11)*100,"")</f>
        <v>0.35081053698075</v>
      </c>
      <c r="G7" s="10" t="n">
        <f aca="false">IF(AND(ISNUMBER(逐景主指标!G12),ISNUMBER(逐景主指标!G11)),(逐景主指标!G12-逐景主指标!G11)*100,"")</f>
        <v>2.41531083525982</v>
      </c>
      <c r="H7" s="10" t="n">
        <f aca="false">IF(AND(ISNUMBER(逐景主指标!H12),ISNUMBER(逐景主指标!H11)),(逐景主指标!H12-逐景主指标!H11)*100,"")</f>
        <v>0.358072916666671</v>
      </c>
      <c r="I7" s="10" t="n">
        <f aca="false">IF(AND(ISNUMBER(逐景主指标!I12),ISNUMBER(逐景主指标!I11)),(逐景主指标!I12-逐景主指标!I11)*100,"")</f>
        <v>0.130208333333329</v>
      </c>
      <c r="J7" s="10" t="n">
        <f aca="false">IF(AND(ISNUMBER(逐景主指标!J12),ISNUMBER(逐景主指标!J11)),(逐景主指标!J12-逐景主指标!J11)*100,"")</f>
        <v>0.776615207323966</v>
      </c>
      <c r="K7" s="10" t="n">
        <f aca="false">IF(AND(ISNUMBER(逐景主指标!K12),ISNUMBER(逐景主指标!K11)),(逐景主指标!K12-逐景主指标!K11)*100,"")</f>
        <v>3.57970209331334</v>
      </c>
    </row>
    <row r="8" customFormat="false" ht="27.75" hidden="false" customHeight="true" outlineLevel="0" collapsed="false">
      <c r="A8" s="7" t="s">
        <v>30</v>
      </c>
      <c r="B8" s="7" t="s">
        <v>38</v>
      </c>
      <c r="C8" s="11" t="n">
        <f aca="false">IF(AND(ISNUMBER(逐景主指标!C15),ISNUMBER(逐景主指标!C14)),(逐景主指标!C15-逐景主指标!C14)*100,"")</f>
        <v>2.75000911664173</v>
      </c>
      <c r="D8" s="11" t="n">
        <f aca="false">IF(AND(ISNUMBER(逐景主指标!D15),ISNUMBER(逐景主指标!D14)),(逐景主指标!D15-逐景主指标!D14)*100,"")</f>
        <v>-0.368868465116157</v>
      </c>
      <c r="E8" s="11" t="n">
        <f aca="false">IF(AND(ISNUMBER(逐景主指标!E15),ISNUMBER(逐景主指标!E14)),(逐景主指标!E15-逐景主指标!E14)*100,"")</f>
        <v>-0.988128125399418</v>
      </c>
      <c r="F8" s="11" t="n">
        <f aca="false">IF(AND(ISNUMBER(逐景主指标!F15),ISNUMBER(逐景主指标!F14)),(逐景主指标!F15-逐景主指标!F14)*100,"")</f>
        <v>0.644243263021543</v>
      </c>
      <c r="G8" s="11" t="n">
        <f aca="false">IF(AND(ISNUMBER(逐景主指标!G15),ISNUMBER(逐景主指标!G14)),(逐景主指标!G15-逐景主指标!G14)*100,"")</f>
        <v>6.60087860066269</v>
      </c>
      <c r="H8" s="11" t="n">
        <f aca="false">IF(AND(ISNUMBER(逐景主指标!H15),ISNUMBER(逐景主指标!H14)),(逐景主指标!H15-逐景主指标!H14)*100,"")</f>
        <v>7.5</v>
      </c>
      <c r="I8" s="11" t="n">
        <f aca="false">IF(AND(ISNUMBER(逐景主指标!I15),ISNUMBER(逐景主指标!I14)),(逐景主指标!I15-逐景主指标!I14)*100,"")</f>
        <v>7.5</v>
      </c>
      <c r="J8" s="11" t="n">
        <f aca="false">IF(AND(ISNUMBER(逐景主指标!J15),ISNUMBER(逐景主指标!J14)),(逐景主指标!J15-逐景主指标!J14)*100,"")</f>
        <v>3.48752871327047</v>
      </c>
      <c r="K8" s="11" t="n">
        <f aca="false">IF(AND(ISNUMBER(逐景主指标!K15),ISNUMBER(逐景主指标!K14)),(逐景主指标!K15-逐景主指标!K14)*100,"")</f>
        <v>5.85354112762501</v>
      </c>
    </row>
    <row r="9" customFormat="false" ht="27.75" hidden="false" customHeight="true" outlineLevel="0" collapsed="false">
      <c r="A9" s="4" t="s">
        <v>31</v>
      </c>
      <c r="B9" s="4" t="s">
        <v>38</v>
      </c>
      <c r="C9" s="10" t="n">
        <f aca="false">IF(AND(ISNUMBER(逐景主指标!C18),ISNUMBER(逐景主指标!C17)),(逐景主指标!C18-逐景主指标!C17)*100,"")</f>
        <v>7.89848525119642</v>
      </c>
      <c r="D9" s="10" t="n">
        <f aca="false">IF(AND(ISNUMBER(逐景主指标!D18),ISNUMBER(逐景主指标!D17)),(逐景主指标!D18-逐景主指标!D17)*100,"")</f>
        <v>11.2841503267974</v>
      </c>
      <c r="E9" s="10" t="n">
        <f aca="false">IF(AND(ISNUMBER(逐景主指标!E18),ISNUMBER(逐景主指标!E17)),(逐景主指标!E18-逐景主指标!E17)*100,"")</f>
        <v>19.8113667378373</v>
      </c>
      <c r="F9" s="10" t="n">
        <f aca="false">IF(AND(ISNUMBER(逐景主指标!F18),ISNUMBER(逐景主指标!F17)),(逐景主指标!F18-逐景主指标!F17)*100,"")</f>
        <v>12.4029581529582</v>
      </c>
      <c r="G9" s="10" t="n">
        <f aca="false">IF(AND(ISNUMBER(逐景主指标!G18),ISNUMBER(逐景主指标!G17)),(逐景主指标!G18-逐景主指标!G17)*100,"")</f>
        <v>-0.1444871409891</v>
      </c>
      <c r="H9" s="10" t="n">
        <f aca="false">IF(AND(ISNUMBER(逐景主指标!H18),ISNUMBER(逐景主指标!H17)),(逐景主指标!H18-逐景主指标!H17)*100,"")</f>
        <v>-1.22549019607843</v>
      </c>
      <c r="I9" s="10" t="n">
        <f aca="false">IF(AND(ISNUMBER(逐景主指标!I18),ISNUMBER(逐景主指标!I17)),(逐景主指标!I18-逐景主指标!I17)*100,"")</f>
        <v>3.18627450980392</v>
      </c>
      <c r="J9" s="10" t="n">
        <f aca="false">IF(AND(ISNUMBER(逐景主指标!J18),ISNUMBER(逐景主指标!J17)),(逐景主指标!J18-逐景主指标!J17)*100,"")</f>
        <v>-0.0693976290663617</v>
      </c>
      <c r="K9" s="10" t="n">
        <f aca="false">IF(AND(ISNUMBER(逐景主指标!K18),ISNUMBER(逐景主指标!K17)),(逐景主指标!K18-逐景主指标!K17)*100,"")</f>
        <v>12.8326904940733</v>
      </c>
    </row>
    <row r="10" customFormat="false" ht="27.75" hidden="false" customHeight="true" outlineLevel="0" collapsed="false">
      <c r="A10" s="7" t="s">
        <v>32</v>
      </c>
      <c r="B10" s="7" t="s">
        <v>38</v>
      </c>
      <c r="C10" s="11" t="n">
        <f aca="false">IF(AND(ISNUMBER(逐景主指标!C21),ISNUMBER(逐景主指标!C20)),(逐景主指标!C21-逐景主指标!C20)*100,"")</f>
        <v>11.3668532551342</v>
      </c>
      <c r="D10" s="11" t="n">
        <f aca="false">IF(AND(ISNUMBER(逐景主指标!D21),ISNUMBER(逐景主指标!D20)),(逐景主指标!D21-逐景主指标!D20)*100,"")</f>
        <v>14.2665390322122</v>
      </c>
      <c r="E10" s="11" t="n">
        <f aca="false">IF(AND(ISNUMBER(逐景主指标!E21),ISNUMBER(逐景主指标!E20)),(逐景主指标!E21-逐景主指标!E20)*100,"")</f>
        <v>10.7805773023301</v>
      </c>
      <c r="F10" s="11" t="n">
        <f aca="false">IF(AND(ISNUMBER(逐景主指标!F21),ISNUMBER(逐景主指标!F20)),(逐景主指标!F21-逐景主指标!F20)*100,"")</f>
        <v>4.64049413630868</v>
      </c>
      <c r="G10" s="11" t="n">
        <f aca="false">IF(AND(ISNUMBER(逐景主指标!G21),ISNUMBER(逐景主指标!G20)),(逐景主指标!G21-逐景主指标!G20)*100,"")</f>
        <v>0.609095544741639</v>
      </c>
      <c r="H10" s="11" t="n">
        <f aca="false">IF(AND(ISNUMBER(逐景主指标!H21),ISNUMBER(逐景主指标!H20)),(逐景主指标!H21-逐景主指标!H20)*100,"")</f>
        <v>2.94117647058824</v>
      </c>
      <c r="I10" s="11" t="n">
        <f aca="false">IF(AND(ISNUMBER(逐景主指标!I21),ISNUMBER(逐景主指标!I20)),(逐景主指标!I21-逐景主指标!I20)*100,"")</f>
        <v>5.88235294117647</v>
      </c>
      <c r="J10" s="11" t="n">
        <f aca="false">IF(AND(ISNUMBER(逐景主指标!J21),ISNUMBER(逐景主指标!J20)),(逐景主指标!J21-逐景主指标!J20)*100,"")</f>
        <v>2.38425196310139</v>
      </c>
      <c r="K10" s="11" t="n">
        <f aca="false">IF(AND(ISNUMBER(逐景主指标!K21),ISNUMBER(逐景主指标!K20)),(逐景主指标!K21-逐景主指标!K20)*100,"")</f>
        <v>6.83542207453224</v>
      </c>
    </row>
    <row r="11" customFormat="false" ht="27.75" hidden="false" customHeight="true" outlineLevel="0" collapsed="false">
      <c r="A11" s="4" t="s">
        <v>33</v>
      </c>
      <c r="B11" s="4" t="s">
        <v>38</v>
      </c>
      <c r="C11" s="10" t="n">
        <f aca="false">IF(AND(ISNUMBER(逐景主指标!C24),ISNUMBER(逐景主指标!C23)),(逐景主指标!C24-逐景主指标!C23)*100,"")</f>
        <v>12.9292454258145</v>
      </c>
      <c r="D11" s="10" t="n">
        <f aca="false">IF(AND(ISNUMBER(逐景主指标!D24),ISNUMBER(逐景主指标!D23)),(逐景主指标!D24-逐景主指标!D23)*100,"")</f>
        <v>19.3780243802752</v>
      </c>
      <c r="E11" s="10" t="n">
        <f aca="false">IF(AND(ISNUMBER(逐景主指标!E24),ISNUMBER(逐景主指标!E23)),(逐景主指标!E24-逐景主指标!E23)*100,"")</f>
        <v>9.97154390238727</v>
      </c>
      <c r="F11" s="10" t="n">
        <f aca="false">IF(AND(ISNUMBER(逐景主指标!F24),ISNUMBER(逐景主指标!F23)),(逐景主指标!F24-逐景主指标!F23)*100,"")</f>
        <v>2.12345958117234</v>
      </c>
      <c r="G11" s="10" t="n">
        <f aca="false">IF(AND(ISNUMBER(逐景主指标!G24),ISNUMBER(逐景主指标!G23)),(逐景主指标!G24-逐景主指标!G23)*100,"")</f>
        <v>-2.20622106771575</v>
      </c>
      <c r="H11" s="10" t="n">
        <f aca="false">IF(AND(ISNUMBER(逐景主指标!H24),ISNUMBER(逐景主指标!H23)),(逐景主指标!H24-逐景主指标!H23)*100,"")</f>
        <v>5.61594202898551</v>
      </c>
      <c r="I11" s="10" t="n">
        <f aca="false">IF(AND(ISNUMBER(逐景主指标!I24),ISNUMBER(逐景主指标!I23)),(逐景主指标!I24-逐景主指标!I23)*100,"")</f>
        <v>0</v>
      </c>
      <c r="J11" s="10" t="n">
        <f aca="false">IF(AND(ISNUMBER(逐景主指标!J24),ISNUMBER(逐景主指标!J23)),(逐景主指标!J24-逐景主指标!J23)*100,"")</f>
        <v>4.76558664935501</v>
      </c>
      <c r="K11" s="10" t="n">
        <f aca="false">IF(AND(ISNUMBER(逐景主指标!K24),ISNUMBER(逐景主指标!K23)),(逐景主指标!K24-逐景主指标!K23)*100,"")</f>
        <v>5.47287258872062</v>
      </c>
    </row>
    <row r="12" customFormat="false" ht="27.75" hidden="false" customHeight="true" outlineLevel="0" collapsed="false">
      <c r="A12" s="7" t="s">
        <v>34</v>
      </c>
      <c r="B12" s="7" t="s">
        <v>38</v>
      </c>
      <c r="C12" s="11" t="n">
        <f aca="false">IF(AND(ISNUMBER(逐景主指标!C27),ISNUMBER(逐景主指标!C26)),(逐景主指标!C27-逐景主指标!C26)*100,"")</f>
        <v>6.71020165621853</v>
      </c>
      <c r="D12" s="11" t="n">
        <f aca="false">IF(AND(ISNUMBER(逐景主指标!D27),ISNUMBER(逐景主指标!D26)),(逐景主指标!D27-逐景主指标!D26)*100,"")</f>
        <v>2.40722247402961</v>
      </c>
      <c r="E12" s="11" t="n">
        <f aca="false">IF(AND(ISNUMBER(逐景主指标!E27),ISNUMBER(逐景主指标!E26)),(逐景主指标!E27-逐景主指标!E26)*100,"")</f>
        <v>-4.90092644495706</v>
      </c>
      <c r="F12" s="11" t="n">
        <f aca="false">IF(AND(ISNUMBER(逐景主指标!F27),ISNUMBER(逐景主指标!F26)),(逐景主指标!F27-逐景主指标!F26)*100,"")</f>
        <v>5.8959426187981</v>
      </c>
      <c r="G12" s="11" t="n">
        <f aca="false">IF(AND(ISNUMBER(逐景主指标!G27),ISNUMBER(逐景主指标!G26)),(逐景主指标!G27-逐景主指标!G26)*100,"")</f>
        <v>0.10502991587783</v>
      </c>
      <c r="H12" s="11" t="n">
        <f aca="false">IF(AND(ISNUMBER(逐景主指标!H27),ISNUMBER(逐景主指标!H26)),(逐景主指标!H27-逐景主指标!H26)*100,"")</f>
        <v>4.61538461538461</v>
      </c>
      <c r="I12" s="11" t="n">
        <f aca="false">IF(AND(ISNUMBER(逐景主指标!I27),ISNUMBER(逐景主指标!I26)),(逐景主指标!I27-逐景主指标!I26)*100,"")</f>
        <v>8.46153846153846</v>
      </c>
      <c r="J12" s="11" t="n">
        <f aca="false">IF(AND(ISNUMBER(逐景主指标!J27),ISNUMBER(逐景主指标!J26)),(逐景主指标!J27-逐景主指标!J26)*100,"")</f>
        <v>0.600950986944071</v>
      </c>
      <c r="K12" s="11" t="n">
        <f aca="false">IF(AND(ISNUMBER(逐景主指标!K27),ISNUMBER(逐景主指标!K26)),(逐景主指标!K27-逐景主指标!K26)*100,"")</f>
        <v>11.5802610986747</v>
      </c>
    </row>
    <row r="13" customFormat="false" ht="27.75" hidden="false" customHeight="true" outlineLevel="0" collapsed="false">
      <c r="A13" s="4" t="s">
        <v>27</v>
      </c>
      <c r="B13" s="4" t="s">
        <v>39</v>
      </c>
      <c r="C13" s="10" t="n">
        <f aca="false">IF(AND(ISNUMBER(逐景主指标!C7),ISNUMBER(逐景主指标!C6)),(逐景主指标!C7-逐景主指标!C6)*100,"")</f>
        <v>0.0413466071537472</v>
      </c>
      <c r="D13" s="10" t="n">
        <f aca="false">IF(AND(ISNUMBER(逐景主指标!D7),ISNUMBER(逐景主指标!D6)),(逐景主指标!D7-逐景主指标!D6)*100,"")</f>
        <v>1.28701857575</v>
      </c>
      <c r="E13" s="10" t="n">
        <f aca="false">IF(AND(ISNUMBER(逐景主指标!E7),ISNUMBER(逐景主指标!E6)),(逐景主指标!E7-逐景主指标!E6)*100,"")</f>
        <v>0.735504485980148</v>
      </c>
      <c r="F13" s="10" t="n">
        <f aca="false">IF(AND(ISNUMBER(逐景主指标!F7),ISNUMBER(逐景主指标!F6)),(逐景主指标!F7-逐景主指标!F6)*100,"")</f>
        <v>0.0836344799849113</v>
      </c>
      <c r="G13" s="10" t="n">
        <f aca="false">IF(AND(ISNUMBER(逐景主指标!G7),ISNUMBER(逐景主指标!G6)),(逐景主指标!G7-逐景主指标!G6)*100,"")</f>
        <v>-3.32029411968939</v>
      </c>
      <c r="H13" s="10" t="n">
        <f aca="false">IF(AND(ISNUMBER(逐景主指标!H7),ISNUMBER(逐景主指标!H6)),(逐景主指标!H7-逐景主指标!H6)*100,"")</f>
        <v>-3.17460317460318</v>
      </c>
      <c r="I13" s="10" t="n">
        <f aca="false">IF(AND(ISNUMBER(逐景主指标!I7),ISNUMBER(逐景主指标!I6)),(逐景主指标!I7-逐景主指标!I6)*100,"")</f>
        <v>-1.68650793650794</v>
      </c>
      <c r="J13" s="10" t="n">
        <f aca="false">IF(AND(ISNUMBER(逐景主指标!J7),ISNUMBER(逐景主指标!J6)),(逐景主指标!J7-逐景主指标!J6)*100,"")</f>
        <v>-6.82151466407293</v>
      </c>
      <c r="K13" s="10" t="n">
        <f aca="false">IF(AND(ISNUMBER(逐景主指标!K7),ISNUMBER(逐景主指标!K6)),(逐景主指标!K7-逐景主指标!K6)*100,"")</f>
        <v>-0.000669997297675362</v>
      </c>
    </row>
    <row r="14" customFormat="false" ht="27.75" hidden="false" customHeight="true" outlineLevel="0" collapsed="false">
      <c r="A14" s="7" t="s">
        <v>28</v>
      </c>
      <c r="B14" s="7" t="s">
        <v>39</v>
      </c>
      <c r="C14" s="11" t="n">
        <f aca="false">IF(AND(ISNUMBER(逐景主指标!C10),ISNUMBER(逐景主指标!C9)),(逐景主指标!C10-逐景主指标!C9)*100,"")</f>
        <v>0.155496351414142</v>
      </c>
      <c r="D14" s="11" t="n">
        <f aca="false">IF(AND(ISNUMBER(逐景主指标!D10),ISNUMBER(逐景主指标!D9)),(逐景主指标!D10-逐景主指标!D9)*100,"")</f>
        <v>0</v>
      </c>
      <c r="E14" s="11" t="n">
        <f aca="false">IF(AND(ISNUMBER(逐景主指标!E10),ISNUMBER(逐景主指标!E9)),(逐景主指标!E10-逐景主指标!E9)*100,"")</f>
        <v>0</v>
      </c>
      <c r="F14" s="11" t="n">
        <f aca="false">IF(AND(ISNUMBER(逐景主指标!F10),ISNUMBER(逐景主指标!F9)),(逐景主指标!F10-逐景主指标!F9)*100,"")</f>
        <v>0</v>
      </c>
      <c r="G14" s="11" t="n">
        <f aca="false">IF(AND(ISNUMBER(逐景主指标!G10),ISNUMBER(逐景主指标!G9)),(逐景主指标!G10-逐景主指标!G9)*100,"")</f>
        <v>-4.63722598834703</v>
      </c>
      <c r="H14" s="11" t="n">
        <f aca="false">IF(AND(ISNUMBER(逐景主指标!H10),ISNUMBER(逐景主指标!H9)),(逐景主指标!H10-逐景主指标!H9)*100,"")</f>
        <v>-2.81954887218045</v>
      </c>
      <c r="I14" s="11" t="n">
        <f aca="false">IF(AND(ISNUMBER(逐景主指标!I10),ISNUMBER(逐景主指标!I9)),(逐景主指标!I10-逐景主指标!I9)*100,"")</f>
        <v>-1.06516290726817</v>
      </c>
      <c r="J14" s="11" t="n">
        <f aca="false">IF(AND(ISNUMBER(逐景主指标!J10),ISNUMBER(逐景主指标!J9)),(逐景主指标!J10-逐景主指标!J9)*100,"")</f>
        <v>-3.69424992921274</v>
      </c>
      <c r="K14" s="11" t="n">
        <f aca="false">IF(AND(ISNUMBER(逐景主指标!K10),ISNUMBER(逐景主指标!K9)),(逐景主指标!K10-逐景主指标!K9)*100,"")</f>
        <v>-0.00108805245864207</v>
      </c>
    </row>
    <row r="15" customFormat="false" ht="27.75" hidden="false" customHeight="true" outlineLevel="0" collapsed="false">
      <c r="A15" s="4" t="s">
        <v>29</v>
      </c>
      <c r="B15" s="4" t="s">
        <v>39</v>
      </c>
      <c r="C15" s="10" t="n">
        <f aca="false">IF(AND(ISNUMBER(逐景主指标!C13),ISNUMBER(逐景主指标!C12)),(逐景主指标!C13-逐景主指标!C12)*100,"")</f>
        <v>-0.345888302888842</v>
      </c>
      <c r="D15" s="10" t="n">
        <f aca="false">IF(AND(ISNUMBER(逐景主指标!D13),ISNUMBER(逐景主指标!D12)),(逐景主指标!D13-逐景主指标!D12)*100,"")</f>
        <v>-1.68555241710567</v>
      </c>
      <c r="E15" s="10" t="n">
        <f aca="false">IF(AND(ISNUMBER(逐景主指标!E13),ISNUMBER(逐景主指标!E12)),(逐景主指标!E13-逐景主指标!E12)*100,"")</f>
        <v>0.15949410099195</v>
      </c>
      <c r="F15" s="10" t="n">
        <f aca="false">IF(AND(ISNUMBER(逐景主指标!F13),ISNUMBER(逐景主指标!F12)),(逐景主指标!F13-逐景主指标!F12)*100,"")</f>
        <v>0</v>
      </c>
      <c r="G15" s="10" t="n">
        <f aca="false">IF(AND(ISNUMBER(逐景主指标!G13),ISNUMBER(逐景主指标!G12)),(逐景主指标!G13-逐景主指标!G12)*100,"")</f>
        <v>-4.55172055484746</v>
      </c>
      <c r="H15" s="10" t="n">
        <f aca="false">IF(AND(ISNUMBER(逐景主指标!H13),ISNUMBER(逐景主指标!H12)),(逐景主指标!H13-逐景主指标!H12)*100,"")</f>
        <v>2.63020833333333</v>
      </c>
      <c r="I15" s="10" t="n">
        <f aca="false">IF(AND(ISNUMBER(逐景主指标!I13),ISNUMBER(逐景主指标!I12)),(逐景主指标!I13-逐景主指标!I12)*100,"")</f>
        <v>-0.755208333333329</v>
      </c>
      <c r="J15" s="10" t="n">
        <f aca="false">IF(AND(ISNUMBER(逐景主指标!J13),ISNUMBER(逐景主指标!J12)),(逐景主指标!J13-逐景主指标!J12)*100,"")</f>
        <v>-3.27863280668943</v>
      </c>
      <c r="K15" s="10" t="n">
        <f aca="false">IF(AND(ISNUMBER(逐景主指标!K13),ISNUMBER(逐景主指标!K12)),(逐景主指标!K13-逐景主指标!K12)*100,"")</f>
        <v>0</v>
      </c>
    </row>
    <row r="16" customFormat="false" ht="27.75" hidden="false" customHeight="true" outlineLevel="0" collapsed="false">
      <c r="A16" s="7" t="s">
        <v>30</v>
      </c>
      <c r="B16" s="7" t="s">
        <v>39</v>
      </c>
      <c r="C16" s="11" t="n">
        <f aca="false">IF(AND(ISNUMBER(逐景主指标!C16),ISNUMBER(逐景主指标!C15)),(逐景主指标!C16-逐景主指标!C15)*100,"")</f>
        <v>-0.449297476047539</v>
      </c>
      <c r="D16" s="11" t="n">
        <f aca="false">IF(AND(ISNUMBER(逐景主指标!D16),ISNUMBER(逐景主指标!D15)),(逐景主指标!D16-逐景主指标!D15)*100,"")</f>
        <v>-2.91495100332154</v>
      </c>
      <c r="E16" s="11" t="n">
        <f aca="false">IF(AND(ISNUMBER(逐景主指标!E16),ISNUMBER(逐景主指标!E15)),(逐景主指标!E16-逐景主指标!E15)*100,"")</f>
        <v>0.15716263141892</v>
      </c>
      <c r="F16" s="11" t="n">
        <f aca="false">IF(AND(ISNUMBER(逐景主指标!F16),ISNUMBER(逐景主指标!F15)),(逐景主指标!F16-逐景主指标!F15)*100,"")</f>
        <v>0.0463486676721983</v>
      </c>
      <c r="G16" s="11" t="n">
        <f aca="false">IF(AND(ISNUMBER(逐景主指标!G16),ISNUMBER(逐景主指标!G15)),(逐景主指标!G16-逐景主指标!G15)*100,"")</f>
        <v>-4.75673583924235</v>
      </c>
      <c r="H16" s="11" t="n">
        <f aca="false">IF(AND(ISNUMBER(逐景主指标!H16),ISNUMBER(逐景主指标!H15)),(逐景主指标!H16-逐景主指标!H15)*100,"")</f>
        <v>-7.5</v>
      </c>
      <c r="I16" s="11" t="n">
        <f aca="false">IF(AND(ISNUMBER(逐景主指标!I16),ISNUMBER(逐景主指标!I15)),(逐景主指标!I16-逐景主指标!I15)*100,"")</f>
        <v>-7.5</v>
      </c>
      <c r="J16" s="11" t="n">
        <f aca="false">IF(AND(ISNUMBER(逐景主指标!J16),ISNUMBER(逐景主指标!J15)),(逐景主指标!J16-逐景主指标!J15)*100,"")</f>
        <v>-4.58914024545654</v>
      </c>
      <c r="K16" s="11" t="n">
        <f aca="false">IF(AND(ISNUMBER(逐景主指标!K16),ISNUMBER(逐景主指标!K15)),(逐景主指标!K16-逐景主指标!K15)*100,"")</f>
        <v>-0.000802294562440853</v>
      </c>
    </row>
    <row r="17" customFormat="false" ht="27.75" hidden="false" customHeight="true" outlineLevel="0" collapsed="false">
      <c r="A17" s="4" t="s">
        <v>31</v>
      </c>
      <c r="B17" s="4" t="s">
        <v>39</v>
      </c>
      <c r="C17" s="10" t="n">
        <f aca="false">IF(AND(ISNUMBER(逐景主指标!C19),ISNUMBER(逐景主指标!C18)),(逐景主指标!C19-逐景主指标!C18)*100,"")</f>
        <v>-0.000532366174688104</v>
      </c>
      <c r="D17" s="10" t="n">
        <f aca="false">IF(AND(ISNUMBER(逐景主指标!D19),ISNUMBER(逐景主指标!D18)),(逐景主指标!D19-逐景主指标!D18)*100,"")</f>
        <v>0</v>
      </c>
      <c r="E17" s="10" t="n">
        <f aca="false">IF(AND(ISNUMBER(逐景主指标!E19),ISNUMBER(逐景主指标!E18)),(逐景主指标!E19-逐景主指标!E18)*100,"")</f>
        <v>0</v>
      </c>
      <c r="F17" s="10" t="n">
        <f aca="false">IF(AND(ISNUMBER(逐景主指标!F19),ISNUMBER(逐景主指标!F18)),(逐景主指标!F19-逐景主指标!F18)*100,"")</f>
        <v>0</v>
      </c>
      <c r="G17" s="10" t="n">
        <f aca="false">IF(AND(ISNUMBER(逐景主指标!G19),ISNUMBER(逐景主指标!G18)),(逐景主指标!G19-逐景主指标!G18)*100,"")</f>
        <v>0.347426963469069</v>
      </c>
      <c r="H17" s="10" t="n">
        <f aca="false">IF(AND(ISNUMBER(逐景主指标!H19),ISNUMBER(逐景主指标!H18)),(逐景主指标!H19-逐景主指标!H18)*100,"")</f>
        <v>-3.18627450980392</v>
      </c>
      <c r="I17" s="10" t="n">
        <f aca="false">IF(AND(ISNUMBER(逐景主指标!I19),ISNUMBER(逐景主指标!I18)),(逐景主指标!I19-逐景主指标!I18)*100,"")</f>
        <v>-3.18627450980392</v>
      </c>
      <c r="J17" s="10" t="n">
        <f aca="false">IF(AND(ISNUMBER(逐景主指标!J19),ISNUMBER(逐景主指标!J18)),(逐景主指标!J19-逐景主指标!J18)*100,"")</f>
        <v>-0.000852965761949376</v>
      </c>
      <c r="K17" s="10" t="n">
        <f aca="false">IF(AND(ISNUMBER(逐景主指标!K19),ISNUMBER(逐景主指标!K18)),(逐景主指标!K19-逐景主指标!K18)*100,"")</f>
        <v>0.000564719701368066</v>
      </c>
    </row>
    <row r="18" customFormat="false" ht="27.75" hidden="false" customHeight="true" outlineLevel="0" collapsed="false">
      <c r="A18" s="7" t="s">
        <v>32</v>
      </c>
      <c r="B18" s="7" t="s">
        <v>39</v>
      </c>
      <c r="C18" s="11" t="n">
        <f aca="false">IF(AND(ISNUMBER(逐景主指标!C22),ISNUMBER(逐景主指标!C21)),(逐景主指标!C22-逐景主指标!C21)*100,"")</f>
        <v>0.252814323238387</v>
      </c>
      <c r="D18" s="11" t="n">
        <f aca="false">IF(AND(ISNUMBER(逐景主指标!D22),ISNUMBER(逐景主指标!D21)),(逐景主指标!D22-逐景主指标!D21)*100,"")</f>
        <v>0.2123262304349</v>
      </c>
      <c r="E18" s="11" t="n">
        <f aca="false">IF(AND(ISNUMBER(逐景主指标!E22),ISNUMBER(逐景主指标!E21)),(逐景主指标!E22-逐景主指标!E21)*100,"")</f>
        <v>2.76665218514371</v>
      </c>
      <c r="F18" s="11" t="n">
        <f aca="false">IF(AND(ISNUMBER(逐景主指标!F22),ISNUMBER(逐景主指标!F21)),(逐景主指标!F22-逐景主指标!F21)*100,"")</f>
        <v>-0.037876202349886</v>
      </c>
      <c r="G18" s="11" t="n">
        <f aca="false">IF(AND(ISNUMBER(逐景主指标!G22),ISNUMBER(逐景主指标!G21)),(逐景主指标!G22-逐景主指标!G21)*100,"")</f>
        <v>-3.49404510177777</v>
      </c>
      <c r="H18" s="11" t="n">
        <f aca="false">IF(AND(ISNUMBER(逐景主指标!H22),ISNUMBER(逐景主指标!H21)),(逐景主指标!H22-逐景主指标!H21)*100,"")</f>
        <v>-3.92156862745098</v>
      </c>
      <c r="I18" s="11" t="n">
        <f aca="false">IF(AND(ISNUMBER(逐景主指标!I22),ISNUMBER(逐景主指标!I21)),(逐景主指标!I22-逐景主指标!I21)*100,"")</f>
        <v>-9.31372549019608</v>
      </c>
      <c r="J18" s="11" t="n">
        <f aca="false">IF(AND(ISNUMBER(逐景主指标!J22),ISNUMBER(逐景主指标!J21)),(逐景主指标!J22-逐景主指标!J21)*100,"")</f>
        <v>-3.05371314149717</v>
      </c>
      <c r="K18" s="11" t="n">
        <f aca="false">IF(AND(ISNUMBER(逐景主指标!K22),ISNUMBER(逐景主指标!K21)),(逐景主指标!K22-逐景主指标!K21)*100,"")</f>
        <v>-0.00396026771409819</v>
      </c>
    </row>
    <row r="19" customFormat="false" ht="27.75" hidden="false" customHeight="true" outlineLevel="0" collapsed="false">
      <c r="A19" s="4" t="s">
        <v>33</v>
      </c>
      <c r="B19" s="4" t="s">
        <v>39</v>
      </c>
      <c r="C19" s="10" t="n">
        <f aca="false">IF(AND(ISNUMBER(逐景主指标!C25),ISNUMBER(逐景主指标!C24)),(逐景主指标!C25-逐景主指标!C24)*100,"")</f>
        <v>0.986203061743629</v>
      </c>
      <c r="D19" s="10" t="n">
        <f aca="false">IF(AND(ISNUMBER(逐景主指标!D25),ISNUMBER(逐景主指标!D24)),(逐景主指标!D25-逐景主指标!D24)*100,"")</f>
        <v>1.32095785878965</v>
      </c>
      <c r="E19" s="10" t="n">
        <f aca="false">IF(AND(ISNUMBER(逐景主指标!E25),ISNUMBER(逐景主指标!E24)),(逐景主指标!E25-逐景主指标!E24)*100,"")</f>
        <v>6.5228502325755</v>
      </c>
      <c r="F19" s="10" t="n">
        <f aca="false">IF(AND(ISNUMBER(逐景主指标!F25),ISNUMBER(逐景主指标!F24)),(逐景主指标!F25-逐景主指标!F24)*100,"")</f>
        <v>1.05686961106276</v>
      </c>
      <c r="G19" s="10" t="n">
        <f aca="false">IF(AND(ISNUMBER(逐景主指标!G25),ISNUMBER(逐景主指标!G24)),(逐景主指标!G25-逐景主指标!G24)*100,"")</f>
        <v>2.99859309196213</v>
      </c>
      <c r="H19" s="10" t="n">
        <f aca="false">IF(AND(ISNUMBER(逐景主指标!H25),ISNUMBER(逐景主指标!H24)),(逐景主指标!H25-逐景主指标!H24)*100,"")</f>
        <v>4.34782608695653</v>
      </c>
      <c r="I19" s="10" t="n">
        <f aca="false">IF(AND(ISNUMBER(逐景主指标!I25),ISNUMBER(逐景主指标!I24)),(逐景主指标!I25-逐景主指标!I24)*100,"")</f>
        <v>0.86956521739131</v>
      </c>
      <c r="J19" s="10" t="n">
        <f aca="false">IF(AND(ISNUMBER(逐景主指标!J25),ISNUMBER(逐景主指标!J24)),(逐景主指标!J25-逐景主指标!J24)*100,"")</f>
        <v>2.85809455826956</v>
      </c>
      <c r="K19" s="10" t="n">
        <f aca="false">IF(AND(ISNUMBER(逐景主指标!K25),ISNUMBER(逐景主指标!K24)),(逐景主指标!K25-逐景主指标!K24)*100,"")</f>
        <v>-0.00639769493421261</v>
      </c>
    </row>
    <row r="20" customFormat="false" ht="27.75" hidden="false" customHeight="true" outlineLevel="0" collapsed="false">
      <c r="A20" s="7" t="s">
        <v>34</v>
      </c>
      <c r="B20" s="7" t="s">
        <v>39</v>
      </c>
      <c r="C20" s="11" t="n">
        <f aca="false">IF(AND(ISNUMBER(逐景主指标!C28),ISNUMBER(逐景主指标!C27)),(逐景主指标!C28-逐景主指标!C27)*100,"")</f>
        <v>0.748985076824871</v>
      </c>
      <c r="D20" s="11" t="n">
        <f aca="false">IF(AND(ISNUMBER(逐景主指标!D28),ISNUMBER(逐景主指标!D27)),(逐景主指标!D28-逐景主指标!D27)*100,"")</f>
        <v>3.66568510477806</v>
      </c>
      <c r="E20" s="11" t="n">
        <f aca="false">IF(AND(ISNUMBER(逐景主指标!E28),ISNUMBER(逐景主指标!E27)),(逐景主指标!E28-逐景主指标!E27)*100,"")</f>
        <v>-0.364632671501491</v>
      </c>
      <c r="F20" s="11" t="n">
        <f aca="false">IF(AND(ISNUMBER(逐景主指标!F28),ISNUMBER(逐景主指标!F27)),(逐景主指标!F28-逐景主指标!F27)*100,"")</f>
        <v>-0.081525979091901</v>
      </c>
      <c r="G20" s="11" t="n">
        <f aca="false">IF(AND(ISNUMBER(逐景主指标!G28),ISNUMBER(逐景主指标!G27)),(逐景主指标!G28-逐景主指标!G27)*100,"")</f>
        <v>0.56176758962628</v>
      </c>
      <c r="H20" s="11" t="n">
        <f aca="false">IF(AND(ISNUMBER(逐景主指标!H28),ISNUMBER(逐景主指标!H27)),(逐景主指标!H28-逐景主指标!H27)*100,"")</f>
        <v>3.84615384615385</v>
      </c>
      <c r="I20" s="11" t="n">
        <f aca="false">IF(AND(ISNUMBER(逐景主指标!I28),ISNUMBER(逐景主指标!I27)),(逐景主指标!I28-逐景主指标!I27)*100,"")</f>
        <v>3.84615384615385</v>
      </c>
      <c r="J20" s="11" t="n">
        <f aca="false">IF(AND(ISNUMBER(逐景主指标!J28),ISNUMBER(逐景主指标!J27)),(逐景主指标!J28-逐景主指标!J27)*100,"")</f>
        <v>0.618432487475748</v>
      </c>
      <c r="K20" s="11" t="n">
        <f aca="false">IF(AND(ISNUMBER(逐景主指标!K28),ISNUMBER(逐景主指标!K27)),(逐景主指标!K28-逐景主指标!K27)*100,"")</f>
        <v>-0.0027734305354743</v>
      </c>
    </row>
    <row r="23" customFormat="false" ht="37.5" hidden="false" customHeight="true" outlineLevel="0" collapsed="false">
      <c r="A23" s="3" t="s">
        <v>37</v>
      </c>
      <c r="B23" s="3" t="s">
        <v>40</v>
      </c>
      <c r="C23" s="3" t="s">
        <v>4</v>
      </c>
      <c r="D23" s="3" t="s">
        <v>5</v>
      </c>
      <c r="E23" s="3" t="s">
        <v>6</v>
      </c>
      <c r="F23" s="3" t="s">
        <v>7</v>
      </c>
      <c r="G23" s="3" t="s">
        <v>8</v>
      </c>
      <c r="H23" s="3" t="s">
        <v>9</v>
      </c>
      <c r="I23" s="3" t="s">
        <v>10</v>
      </c>
      <c r="J23" s="3" t="s">
        <v>11</v>
      </c>
      <c r="K23" s="3" t="s">
        <v>12</v>
      </c>
    </row>
    <row r="24" customFormat="false" ht="27.75" hidden="false" customHeight="true" outlineLevel="0" collapsed="false">
      <c r="A24" s="7" t="s">
        <v>38</v>
      </c>
      <c r="B24" s="7" t="s">
        <v>41</v>
      </c>
      <c r="C24" s="7" t="n">
        <f aca="false">IF(COUNT(C5:C12)=8,COUNTIF(C5:C12,"&gt;0"),"")</f>
        <v>8</v>
      </c>
      <c r="D24" s="7" t="n">
        <f aca="false">IF(COUNT(D5:D12)=8,COUNTIF(D5:D12,"&gt;0"),"")</f>
        <v>7</v>
      </c>
      <c r="E24" s="7" t="n">
        <f aca="false">IF(COUNT(E5:E12)=8,COUNTIF(E5:E12,"&gt;0"),"")</f>
        <v>6</v>
      </c>
      <c r="F24" s="7" t="n">
        <f aca="false">IF(COUNT(F5:F12)=8,COUNTIF(F5:F12,"&gt;0"),"")</f>
        <v>8</v>
      </c>
      <c r="G24" s="7" t="n">
        <f aca="false">IF(COUNT(G5:G12)=8,COUNTIF(G5:G12,"&gt;0"),"")</f>
        <v>6</v>
      </c>
      <c r="H24" s="7" t="n">
        <f aca="false">IF(COUNT(H5:H12)=8,COUNTIF(H5:H12,"&gt;0"),"")</f>
        <v>7</v>
      </c>
      <c r="I24" s="7" t="n">
        <f aca="false">IF(COUNT(I5:I12)=8,COUNTIF(I5:I12,"&gt;0"),"")</f>
        <v>6</v>
      </c>
      <c r="J24" s="7" t="n">
        <f aca="false">IF(COUNT(J5:J12)=8,COUNTIF(J5:J12,"&gt;0"),"")</f>
        <v>7</v>
      </c>
      <c r="K24" s="7" t="n">
        <f aca="false">IF(COUNT(K5:K12)=8,COUNTIF(K5:K12,"&gt;0"),"")</f>
        <v>8</v>
      </c>
    </row>
    <row r="25" customFormat="false" ht="27.75" hidden="false" customHeight="true" outlineLevel="0" collapsed="false">
      <c r="A25" s="4" t="s">
        <v>38</v>
      </c>
      <c r="B25" s="4" t="s">
        <v>42</v>
      </c>
      <c r="C25" s="4" t="n">
        <f aca="false">IF(COUNT(C5:C12)=8,COUNTIF(C5:C12,"&lt;0"),"")</f>
        <v>0</v>
      </c>
      <c r="D25" s="4" t="n">
        <f aca="false">IF(COUNT(D5:D12)=8,COUNTIF(D5:D12,"&lt;0"),"")</f>
        <v>1</v>
      </c>
      <c r="E25" s="4" t="n">
        <f aca="false">IF(COUNT(E5:E12)=8,COUNTIF(E5:E12,"&lt;0"),"")</f>
        <v>2</v>
      </c>
      <c r="F25" s="4" t="n">
        <f aca="false">IF(COUNT(F5:F12)=8,COUNTIF(F5:F12,"&lt;0"),"")</f>
        <v>0</v>
      </c>
      <c r="G25" s="4" t="n">
        <f aca="false">IF(COUNT(G5:G12)=8,COUNTIF(G5:G12,"&lt;0"),"")</f>
        <v>2</v>
      </c>
      <c r="H25" s="4" t="n">
        <f aca="false">IF(COUNT(H5:H12)=8,COUNTIF(H5:H12,"&lt;0"),"")</f>
        <v>1</v>
      </c>
      <c r="I25" s="4" t="n">
        <f aca="false">IF(COUNT(I5:I12)=8,COUNTIF(I5:I12,"&lt;0"),"")</f>
        <v>1</v>
      </c>
      <c r="J25" s="4" t="n">
        <f aca="false">IF(COUNT(J5:J12)=8,COUNTIF(J5:J12,"&lt;0"),"")</f>
        <v>1</v>
      </c>
      <c r="K25" s="4" t="n">
        <f aca="false">IF(COUNT(K5:K12)=8,COUNTIF(K5:K12,"&lt;0"),"")</f>
        <v>0</v>
      </c>
    </row>
    <row r="26" customFormat="false" ht="27.75" hidden="false" customHeight="true" outlineLevel="0" collapsed="false">
      <c r="A26" s="7" t="s">
        <v>38</v>
      </c>
      <c r="B26" s="7" t="s">
        <v>43</v>
      </c>
      <c r="C26" s="7" t="n">
        <f aca="false">IF(COUNT(C5:C12)=8,COUNTIF(C5:C12,"=0"),"")</f>
        <v>0</v>
      </c>
      <c r="D26" s="7" t="n">
        <f aca="false">IF(COUNT(D5:D12)=8,COUNTIF(D5:D12,"=0"),"")</f>
        <v>0</v>
      </c>
      <c r="E26" s="7" t="n">
        <f aca="false">IF(COUNT(E5:E12)=8,COUNTIF(E5:E12,"=0"),"")</f>
        <v>0</v>
      </c>
      <c r="F26" s="7" t="n">
        <f aca="false">IF(COUNT(F5:F12)=8,COUNTIF(F5:F12,"=0"),"")</f>
        <v>0</v>
      </c>
      <c r="G26" s="7" t="n">
        <f aca="false">IF(COUNT(G5:G12)=8,COUNTIF(G5:G12,"=0"),"")</f>
        <v>0</v>
      </c>
      <c r="H26" s="7" t="n">
        <f aca="false">IF(COUNT(H5:H12)=8,COUNTIF(H5:H12,"=0"),"")</f>
        <v>0</v>
      </c>
      <c r="I26" s="7" t="n">
        <f aca="false">IF(COUNT(I5:I12)=8,COUNTIF(I5:I12,"=0"),"")</f>
        <v>1</v>
      </c>
      <c r="J26" s="7" t="n">
        <f aca="false">IF(COUNT(J5:J12)=8,COUNTIF(J5:J12,"=0"),"")</f>
        <v>0</v>
      </c>
      <c r="K26" s="7" t="n">
        <f aca="false">IF(COUNT(K5:K12)=8,COUNTIF(K5:K12,"=0"),"")</f>
        <v>0</v>
      </c>
    </row>
    <row r="27" customFormat="false" ht="27.75" hidden="false" customHeight="true" outlineLevel="0" collapsed="false">
      <c r="A27" s="4" t="s">
        <v>39</v>
      </c>
      <c r="B27" s="4" t="s">
        <v>41</v>
      </c>
      <c r="C27" s="4" t="n">
        <f aca="false">IF(COUNT(C13:C20)=8,COUNTIF(C13:C20,"&gt;0"),"")</f>
        <v>5</v>
      </c>
      <c r="D27" s="4" t="n">
        <f aca="false">IF(COUNT(D13:D20)=8,COUNTIF(D13:D20,"&gt;0"),"")</f>
        <v>4</v>
      </c>
      <c r="E27" s="4" t="n">
        <f aca="false">IF(COUNT(E13:E20)=8,COUNTIF(E13:E20,"&gt;0"),"")</f>
        <v>5</v>
      </c>
      <c r="F27" s="4" t="n">
        <f aca="false">IF(COUNT(F13:F20)=8,COUNTIF(F13:F20,"&gt;0"),"")</f>
        <v>3</v>
      </c>
      <c r="G27" s="4" t="n">
        <f aca="false">IF(COUNT(G13:G20)=8,COUNTIF(G13:G20,"&gt;0"),"")</f>
        <v>3</v>
      </c>
      <c r="H27" s="4" t="n">
        <f aca="false">IF(COUNT(H13:H20)=8,COUNTIF(H13:H20,"&gt;0"),"")</f>
        <v>3</v>
      </c>
      <c r="I27" s="4" t="n">
        <f aca="false">IF(COUNT(I13:I20)=8,COUNTIF(I13:I20,"&gt;0"),"")</f>
        <v>2</v>
      </c>
      <c r="J27" s="4" t="n">
        <f aca="false">IF(COUNT(J13:J20)=8,COUNTIF(J13:J20,"&gt;0"),"")</f>
        <v>2</v>
      </c>
      <c r="K27" s="4" t="n">
        <f aca="false">IF(COUNT(K13:K20)=8,COUNTIF(K13:K20,"&gt;0"),"")</f>
        <v>1</v>
      </c>
    </row>
    <row r="28" customFormat="false" ht="27.75" hidden="false" customHeight="true" outlineLevel="0" collapsed="false">
      <c r="A28" s="7" t="s">
        <v>39</v>
      </c>
      <c r="B28" s="7" t="s">
        <v>42</v>
      </c>
      <c r="C28" s="7" t="n">
        <f aca="false">IF(COUNT(C13:C20)=8,COUNTIF(C13:C20,"&lt;0"),"")</f>
        <v>3</v>
      </c>
      <c r="D28" s="7" t="n">
        <f aca="false">IF(COUNT(D13:D20)=8,COUNTIF(D13:D20,"&lt;0"),"")</f>
        <v>2</v>
      </c>
      <c r="E28" s="7" t="n">
        <f aca="false">IF(COUNT(E13:E20)=8,COUNTIF(E13:E20,"&lt;0"),"")</f>
        <v>1</v>
      </c>
      <c r="F28" s="7" t="n">
        <f aca="false">IF(COUNT(F13:F20)=8,COUNTIF(F13:F20,"&lt;0"),"")</f>
        <v>2</v>
      </c>
      <c r="G28" s="7" t="n">
        <f aca="false">IF(COUNT(G13:G20)=8,COUNTIF(G13:G20,"&lt;0"),"")</f>
        <v>5</v>
      </c>
      <c r="H28" s="7" t="n">
        <f aca="false">IF(COUNT(H13:H20)=8,COUNTIF(H13:H20,"&lt;0"),"")</f>
        <v>5</v>
      </c>
      <c r="I28" s="7" t="n">
        <f aca="false">IF(COUNT(I13:I20)=8,COUNTIF(I13:I20,"&lt;0"),"")</f>
        <v>6</v>
      </c>
      <c r="J28" s="7" t="n">
        <f aca="false">IF(COUNT(J13:J20)=8,COUNTIF(J13:J20,"&lt;0"),"")</f>
        <v>6</v>
      </c>
      <c r="K28" s="7" t="n">
        <f aca="false">IF(COUNT(K13:K20)=8,COUNTIF(K13:K20,"&lt;0"),"")</f>
        <v>6</v>
      </c>
    </row>
    <row r="29" customFormat="false" ht="27.75" hidden="false" customHeight="true" outlineLevel="0" collapsed="false">
      <c r="A29" s="4" t="s">
        <v>39</v>
      </c>
      <c r="B29" s="4" t="s">
        <v>43</v>
      </c>
      <c r="C29" s="4" t="n">
        <f aca="false">IF(COUNT(C13:C20)=8,COUNTIF(C13:C20,"=0"),"")</f>
        <v>0</v>
      </c>
      <c r="D29" s="4" t="n">
        <f aca="false">IF(COUNT(D13:D20)=8,COUNTIF(D13:D20,"=0"),"")</f>
        <v>2</v>
      </c>
      <c r="E29" s="4" t="n">
        <f aca="false">IF(COUNT(E13:E20)=8,COUNTIF(E13:E20,"=0"),"")</f>
        <v>2</v>
      </c>
      <c r="F29" s="4" t="n">
        <f aca="false">IF(COUNT(F13:F20)=8,COUNTIF(F13:F20,"=0"),"")</f>
        <v>3</v>
      </c>
      <c r="G29" s="4" t="n">
        <f aca="false">IF(COUNT(G13:G20)=8,COUNTIF(G13:G20,"=0"),"")</f>
        <v>0</v>
      </c>
      <c r="H29" s="4" t="n">
        <f aca="false">IF(COUNT(H13:H20)=8,COUNTIF(H13:H20,"=0"),"")</f>
        <v>0</v>
      </c>
      <c r="I29" s="4" t="n">
        <f aca="false">IF(COUNT(I13:I20)=8,COUNTIF(I13:I20,"=0"),"")</f>
        <v>0</v>
      </c>
      <c r="J29" s="4" t="n">
        <f aca="false">IF(COUNT(J13:J20)=8,COUNTIF(J13:J20,"=0"),"")</f>
        <v>0</v>
      </c>
      <c r="K29" s="4" t="n">
        <f aca="false">IF(COUNT(K13:K20)=8,COUNTIF(K13:K20,"=0"),"")</f>
        <v>1</v>
      </c>
    </row>
  </sheetData>
  <conditionalFormatting sqref="C5:K20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1.99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7" min="5" style="0" width="11.99"/>
    <col collapsed="false" customWidth="true" hidden="false" outlineLevel="0" max="9" min="8" style="0" width="16"/>
    <col collapsed="false" customWidth="true" hidden="false" outlineLevel="0" max="10" min="10" style="0" width="17"/>
    <col collapsed="false" customWidth="true" hidden="false" outlineLevel="0" max="12" min="11" style="0" width="16"/>
    <col collapsed="false" customWidth="true" hidden="false" outlineLevel="0" max="15" min="13" style="0" width="14.01"/>
  </cols>
  <sheetData>
    <row r="1" customFormat="false" ht="27" hidden="false" customHeight="true" outlineLevel="0" collapsed="false">
      <c r="A1" s="1" t="s">
        <v>44</v>
      </c>
    </row>
    <row r="2" customFormat="false" ht="22.5" hidden="false" customHeight="true" outlineLevel="0" collapsed="false">
      <c r="A2" s="2" t="s">
        <v>45</v>
      </c>
    </row>
    <row r="4" customFormat="false" ht="37.5" hidden="false" customHeight="true" outlineLevel="0" collapsed="false">
      <c r="A4" s="3" t="s">
        <v>26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</row>
    <row r="5" customFormat="false" ht="27.75" hidden="false" customHeight="true" outlineLevel="0" collapsed="false">
      <c r="A5" s="4" t="s">
        <v>27</v>
      </c>
      <c r="B5" s="4" t="s">
        <v>60</v>
      </c>
      <c r="C5" s="6" t="n">
        <v>0.339671179148747</v>
      </c>
      <c r="D5" s="6" t="n">
        <v>0.424242424242424</v>
      </c>
      <c r="E5" s="5" t="n">
        <v>28</v>
      </c>
      <c r="F5" s="5" t="n">
        <v>36</v>
      </c>
      <c r="G5" s="5" t="n">
        <v>40</v>
      </c>
      <c r="H5" s="6" t="n">
        <v>0.4375</v>
      </c>
      <c r="I5" s="6" t="n">
        <v>0.411764705882353</v>
      </c>
      <c r="J5" s="6" t="n">
        <v>0.12177975489839</v>
      </c>
      <c r="K5" s="6" t="n">
        <v>0.569113218695137</v>
      </c>
      <c r="L5" s="6" t="n">
        <v>0.571656965171002</v>
      </c>
      <c r="M5" s="5" t="n">
        <v>72</v>
      </c>
      <c r="N5" s="5" t="n">
        <v>0</v>
      </c>
      <c r="O5" s="5" t="n">
        <v>8</v>
      </c>
    </row>
    <row r="6" customFormat="false" ht="27.75" hidden="false" customHeight="true" outlineLevel="0" collapsed="false">
      <c r="A6" s="7" t="s">
        <v>27</v>
      </c>
      <c r="B6" s="7" t="s">
        <v>61</v>
      </c>
      <c r="C6" s="9" t="n">
        <v>0.444206512337283</v>
      </c>
      <c r="D6" s="9" t="n">
        <v>0.456375838926174</v>
      </c>
      <c r="E6" s="8" t="n">
        <v>34</v>
      </c>
      <c r="F6" s="8" t="n">
        <v>47</v>
      </c>
      <c r="G6" s="8" t="n">
        <v>34</v>
      </c>
      <c r="H6" s="9" t="n">
        <v>0.419753086419753</v>
      </c>
      <c r="I6" s="9" t="n">
        <v>0.5</v>
      </c>
      <c r="J6" s="9" t="n">
        <v>0.136302502523602</v>
      </c>
      <c r="K6" s="9" t="n">
        <v>0.702133056831838</v>
      </c>
      <c r="L6" s="9" t="n">
        <v>0.704458497294896</v>
      </c>
      <c r="M6" s="8" t="n">
        <v>90</v>
      </c>
      <c r="N6" s="8" t="n">
        <v>0</v>
      </c>
      <c r="O6" s="8" t="n">
        <v>9</v>
      </c>
    </row>
    <row r="7" customFormat="false" ht="27.75" hidden="false" customHeight="true" outlineLevel="0" collapsed="false">
      <c r="A7" s="4" t="s">
        <v>27</v>
      </c>
      <c r="B7" s="4" t="s">
        <v>62</v>
      </c>
      <c r="C7" s="6" t="n">
        <v>0.444748504700273</v>
      </c>
      <c r="D7" s="6" t="n">
        <v>0.462585034013606</v>
      </c>
      <c r="E7" s="5" t="n">
        <v>34</v>
      </c>
      <c r="F7" s="5" t="n">
        <v>45</v>
      </c>
      <c r="G7" s="5" t="n">
        <v>34</v>
      </c>
      <c r="H7" s="6" t="n">
        <v>0.430379746835443</v>
      </c>
      <c r="I7" s="6" t="n">
        <v>0.5</v>
      </c>
      <c r="J7" s="6" t="n">
        <v>0.114264173329451</v>
      </c>
      <c r="K7" s="6" t="n">
        <v>0.702143626460855</v>
      </c>
      <c r="L7" s="6" t="n">
        <v>0.704468974072072</v>
      </c>
      <c r="M7" s="5" t="n">
        <v>85</v>
      </c>
      <c r="N7" s="5" t="n">
        <v>0</v>
      </c>
      <c r="O7" s="5" t="n">
        <v>6</v>
      </c>
    </row>
    <row r="8" customFormat="false" ht="27.75" hidden="false" customHeight="true" outlineLevel="0" collapsed="false">
      <c r="A8" s="7" t="s">
        <v>28</v>
      </c>
      <c r="B8" s="7" t="s">
        <v>60</v>
      </c>
      <c r="C8" s="9" t="n">
        <v>0.337802390097366</v>
      </c>
      <c r="D8" s="9" t="n">
        <v>0.266666666666667</v>
      </c>
      <c r="E8" s="8" t="n">
        <v>12</v>
      </c>
      <c r="F8" s="8" t="n">
        <v>38</v>
      </c>
      <c r="G8" s="8" t="n">
        <v>28</v>
      </c>
      <c r="H8" s="9" t="n">
        <v>0.24</v>
      </c>
      <c r="I8" s="9" t="n">
        <v>0.3</v>
      </c>
      <c r="J8" s="9" t="n">
        <v>0.18470139247906</v>
      </c>
      <c r="K8" s="9" t="n">
        <v>0.662796418380399</v>
      </c>
      <c r="L8" s="9" t="n">
        <v>0.663543047999108</v>
      </c>
      <c r="M8" s="8" t="n">
        <v>54</v>
      </c>
      <c r="N8" s="8" t="n">
        <v>0</v>
      </c>
      <c r="O8" s="8" t="n">
        <v>4</v>
      </c>
    </row>
    <row r="9" customFormat="false" ht="27.75" hidden="false" customHeight="true" outlineLevel="0" collapsed="false">
      <c r="A9" s="4" t="s">
        <v>28</v>
      </c>
      <c r="B9" s="4" t="s">
        <v>61</v>
      </c>
      <c r="C9" s="6" t="n">
        <v>0.367477745630573</v>
      </c>
      <c r="D9" s="6" t="n">
        <v>0.297872340425532</v>
      </c>
      <c r="E9" s="5" t="n">
        <v>14</v>
      </c>
      <c r="F9" s="5" t="n">
        <v>40</v>
      </c>
      <c r="G9" s="5" t="n">
        <v>26</v>
      </c>
      <c r="H9" s="6" t="n">
        <v>0.259259259259259</v>
      </c>
      <c r="I9" s="6" t="n">
        <v>0.35</v>
      </c>
      <c r="J9" s="6" t="n">
        <v>0.20053928792133</v>
      </c>
      <c r="K9" s="6" t="n">
        <v>0.725090547879095</v>
      </c>
      <c r="L9" s="6" t="n">
        <v>0.725301775954591</v>
      </c>
      <c r="M9" s="5" t="n">
        <v>57</v>
      </c>
      <c r="N9" s="5" t="n">
        <v>0</v>
      </c>
      <c r="O9" s="5" t="n">
        <v>3</v>
      </c>
    </row>
    <row r="10" customFormat="false" ht="27.75" hidden="false" customHeight="true" outlineLevel="0" collapsed="false">
      <c r="A10" s="7" t="s">
        <v>28</v>
      </c>
      <c r="B10" s="7" t="s">
        <v>62</v>
      </c>
      <c r="C10" s="9" t="n">
        <v>0.368761908869343</v>
      </c>
      <c r="D10" s="9" t="n">
        <v>0.314606741573034</v>
      </c>
      <c r="E10" s="8" t="n">
        <v>14</v>
      </c>
      <c r="F10" s="8" t="n">
        <v>35</v>
      </c>
      <c r="G10" s="8" t="n">
        <v>26</v>
      </c>
      <c r="H10" s="9" t="n">
        <v>0.285714285714286</v>
      </c>
      <c r="I10" s="9" t="n">
        <v>0.35</v>
      </c>
      <c r="J10" s="9" t="n">
        <v>0.15362951916688</v>
      </c>
      <c r="K10" s="9" t="n">
        <v>0.725085862348482</v>
      </c>
      <c r="L10" s="9" t="n">
        <v>0.725297128480958</v>
      </c>
      <c r="M10" s="8" t="n">
        <v>50</v>
      </c>
      <c r="N10" s="8" t="n">
        <v>0</v>
      </c>
      <c r="O10" s="8" t="n">
        <v>1</v>
      </c>
    </row>
    <row r="11" customFormat="false" ht="27.75" hidden="false" customHeight="true" outlineLevel="0" collapsed="false">
      <c r="A11" s="4" t="s">
        <v>29</v>
      </c>
      <c r="B11" s="4" t="s">
        <v>60</v>
      </c>
      <c r="C11" s="6" t="n">
        <v>0.247728412517439</v>
      </c>
      <c r="D11" s="6" t="n">
        <v>0.252631578947368</v>
      </c>
      <c r="E11" s="5" t="n">
        <v>12</v>
      </c>
      <c r="F11" s="5" t="n">
        <v>36</v>
      </c>
      <c r="G11" s="5" t="n">
        <v>35</v>
      </c>
      <c r="H11" s="6" t="n">
        <v>0.25</v>
      </c>
      <c r="I11" s="6" t="n">
        <v>0.25531914893617</v>
      </c>
      <c r="J11" s="6" t="n">
        <v>0.113350138601555</v>
      </c>
      <c r="K11" s="6" t="n">
        <v>0.488046637387001</v>
      </c>
      <c r="L11" s="6" t="n">
        <v>0.496088559659846</v>
      </c>
      <c r="M11" s="5" t="n">
        <v>49</v>
      </c>
      <c r="N11" s="5" t="n">
        <v>0</v>
      </c>
      <c r="O11" s="5" t="n">
        <v>1</v>
      </c>
    </row>
    <row r="12" customFormat="false" ht="27.75" hidden="false" customHeight="true" outlineLevel="0" collapsed="false">
      <c r="A12" s="7" t="s">
        <v>29</v>
      </c>
      <c r="B12" s="7" t="s">
        <v>61</v>
      </c>
      <c r="C12" s="9" t="n">
        <v>0.303312857081446</v>
      </c>
      <c r="D12" s="9" t="n">
        <v>0.266666666666667</v>
      </c>
      <c r="E12" s="8" t="n">
        <v>14</v>
      </c>
      <c r="F12" s="8" t="n">
        <v>44</v>
      </c>
      <c r="G12" s="8" t="n">
        <v>33</v>
      </c>
      <c r="H12" s="9" t="n">
        <v>0.241379310344828</v>
      </c>
      <c r="I12" s="9" t="n">
        <v>0.297872340425532</v>
      </c>
      <c r="J12" s="9" t="n">
        <v>0.126931695043038</v>
      </c>
      <c r="K12" s="9" t="n">
        <v>0.650281495570067</v>
      </c>
      <c r="L12" s="9" t="n">
        <v>0.655707436442555</v>
      </c>
      <c r="M12" s="8" t="n">
        <v>62</v>
      </c>
      <c r="N12" s="8" t="n">
        <v>0</v>
      </c>
      <c r="O12" s="8" t="n">
        <v>4</v>
      </c>
    </row>
    <row r="13" customFormat="false" ht="27.75" hidden="false" customHeight="true" outlineLevel="0" collapsed="false">
      <c r="A13" s="4" t="s">
        <v>29</v>
      </c>
      <c r="B13" s="4" t="s">
        <v>62</v>
      </c>
      <c r="C13" s="6" t="n">
        <v>0.297378717067251</v>
      </c>
      <c r="D13" s="6" t="n">
        <v>0.271844660194175</v>
      </c>
      <c r="E13" s="5" t="n">
        <v>14</v>
      </c>
      <c r="F13" s="5" t="n">
        <v>42</v>
      </c>
      <c r="G13" s="5" t="n">
        <v>33</v>
      </c>
      <c r="H13" s="6" t="n">
        <v>0.25</v>
      </c>
      <c r="I13" s="6" t="n">
        <v>0.297872340425532</v>
      </c>
      <c r="J13" s="6" t="n">
        <v>0.0973270657046474</v>
      </c>
      <c r="K13" s="6" t="n">
        <v>0.650281495570067</v>
      </c>
      <c r="L13" s="6" t="n">
        <v>0.655707436442555</v>
      </c>
      <c r="M13" s="5" t="n">
        <v>60</v>
      </c>
      <c r="N13" s="5" t="n">
        <v>0</v>
      </c>
      <c r="O13" s="5" t="n">
        <v>4</v>
      </c>
    </row>
    <row r="14" customFormat="false" ht="27.75" hidden="false" customHeight="true" outlineLevel="0" collapsed="false">
      <c r="A14" s="7" t="s">
        <v>30</v>
      </c>
      <c r="B14" s="7" t="s">
        <v>60</v>
      </c>
      <c r="C14" s="9" t="n">
        <v>0.353995955802171</v>
      </c>
      <c r="D14" s="9" t="n">
        <v>0.305084745762712</v>
      </c>
      <c r="E14" s="8" t="n">
        <v>9</v>
      </c>
      <c r="F14" s="8" t="n">
        <v>24</v>
      </c>
      <c r="G14" s="8" t="n">
        <v>17</v>
      </c>
      <c r="H14" s="9" t="n">
        <v>0.272727272727273</v>
      </c>
      <c r="I14" s="9" t="n">
        <v>0.346153846153846</v>
      </c>
      <c r="J14" s="9" t="n">
        <v>0.115105905385007</v>
      </c>
      <c r="K14" s="9" t="n">
        <v>0.467403537749438</v>
      </c>
      <c r="L14" s="9" t="n">
        <v>0.488338758678715</v>
      </c>
      <c r="M14" s="8" t="n">
        <v>35</v>
      </c>
      <c r="N14" s="8" t="n">
        <v>0</v>
      </c>
      <c r="O14" s="8" t="n">
        <v>2</v>
      </c>
    </row>
    <row r="15" customFormat="false" ht="27.75" hidden="false" customHeight="true" outlineLevel="0" collapsed="false">
      <c r="A15" s="4" t="s">
        <v>30</v>
      </c>
      <c r="B15" s="4" t="s">
        <v>61</v>
      </c>
      <c r="C15" s="6" t="n">
        <v>0.393551357721557</v>
      </c>
      <c r="D15" s="6" t="n">
        <v>0.266666666666667</v>
      </c>
      <c r="E15" s="5" t="n">
        <v>10</v>
      </c>
      <c r="F15" s="5" t="n">
        <v>39</v>
      </c>
      <c r="G15" s="5" t="n">
        <v>16</v>
      </c>
      <c r="H15" s="6" t="n">
        <v>0.204081632653061</v>
      </c>
      <c r="I15" s="6" t="n">
        <v>0.384615384615385</v>
      </c>
      <c r="J15" s="6" t="n">
        <v>0.161795527915663</v>
      </c>
      <c r="K15" s="6" t="n">
        <v>0.604231086868842</v>
      </c>
      <c r="L15" s="6" t="n">
        <v>0.614638763597996</v>
      </c>
      <c r="M15" s="5" t="n">
        <v>49</v>
      </c>
      <c r="N15" s="5" t="n">
        <v>0</v>
      </c>
      <c r="O15" s="5" t="n">
        <v>0</v>
      </c>
    </row>
    <row r="16" customFormat="false" ht="27.75" hidden="false" customHeight="true" outlineLevel="0" collapsed="false">
      <c r="A16" s="7" t="s">
        <v>30</v>
      </c>
      <c r="B16" s="7" t="s">
        <v>62</v>
      </c>
      <c r="C16" s="9" t="n">
        <v>0.387674911185089</v>
      </c>
      <c r="D16" s="9" t="n">
        <v>0.285714285714286</v>
      </c>
      <c r="E16" s="8" t="n">
        <v>10</v>
      </c>
      <c r="F16" s="8" t="n">
        <v>34</v>
      </c>
      <c r="G16" s="8" t="n">
        <v>16</v>
      </c>
      <c r="H16" s="9" t="n">
        <v>0.227272727272727</v>
      </c>
      <c r="I16" s="9" t="n">
        <v>0.384615384615385</v>
      </c>
      <c r="J16" s="9" t="n">
        <v>0.131498285486521</v>
      </c>
      <c r="K16" s="9" t="n">
        <v>0.604221483857338</v>
      </c>
      <c r="L16" s="9" t="n">
        <v>0.614630282078379</v>
      </c>
      <c r="M16" s="8" t="n">
        <v>44</v>
      </c>
      <c r="N16" s="8" t="n">
        <v>0</v>
      </c>
      <c r="O16" s="8" t="n">
        <v>0</v>
      </c>
    </row>
    <row r="17" customFormat="false" ht="27.75" hidden="false" customHeight="true" outlineLevel="0" collapsed="false">
      <c r="A17" s="4" t="s">
        <v>31</v>
      </c>
      <c r="B17" s="4" t="s">
        <v>60</v>
      </c>
      <c r="C17" s="6" t="n">
        <v>0.369723833746493</v>
      </c>
      <c r="D17" s="6" t="n">
        <v>0.48</v>
      </c>
      <c r="E17" s="5" t="n">
        <v>12</v>
      </c>
      <c r="F17" s="5" t="n">
        <v>13</v>
      </c>
      <c r="G17" s="5" t="n">
        <v>13</v>
      </c>
      <c r="H17" s="6" t="n">
        <v>0.48</v>
      </c>
      <c r="I17" s="6" t="n">
        <v>0.48</v>
      </c>
      <c r="J17" s="6" t="n">
        <v>0.1091163614986</v>
      </c>
      <c r="K17" s="6" t="n">
        <v>0.407367096619812</v>
      </c>
      <c r="L17" s="6" t="n">
        <v>0.427165507899396</v>
      </c>
      <c r="M17" s="5" t="n">
        <v>25</v>
      </c>
      <c r="N17" s="5" t="n">
        <v>0</v>
      </c>
      <c r="O17" s="5" t="n">
        <v>0</v>
      </c>
    </row>
    <row r="18" customFormat="false" ht="27.75" hidden="false" customHeight="true" outlineLevel="0" collapsed="false">
      <c r="A18" s="7" t="s">
        <v>31</v>
      </c>
      <c r="B18" s="7" t="s">
        <v>61</v>
      </c>
      <c r="C18" s="9" t="n">
        <v>0.473095087285838</v>
      </c>
      <c r="D18" s="9" t="n">
        <v>0.535714285714286</v>
      </c>
      <c r="E18" s="8" t="n">
        <v>15</v>
      </c>
      <c r="F18" s="8" t="n">
        <v>16</v>
      </c>
      <c r="G18" s="8" t="n">
        <v>10</v>
      </c>
      <c r="H18" s="9" t="n">
        <v>0.483870967741936</v>
      </c>
      <c r="I18" s="9" t="n">
        <v>0.6</v>
      </c>
      <c r="J18" s="9" t="n">
        <v>0.116021752312659</v>
      </c>
      <c r="K18" s="9" t="n">
        <v>0.515367415675407</v>
      </c>
      <c r="L18" s="9" t="n">
        <v>0.549643386516062</v>
      </c>
      <c r="M18" s="8" t="n">
        <v>31</v>
      </c>
      <c r="N18" s="8" t="n">
        <v>0</v>
      </c>
      <c r="O18" s="8" t="n">
        <v>0</v>
      </c>
    </row>
    <row r="19" customFormat="false" ht="27.75" hidden="false" customHeight="true" outlineLevel="0" collapsed="false">
      <c r="A19" s="4" t="s">
        <v>31</v>
      </c>
      <c r="B19" s="4" t="s">
        <v>62</v>
      </c>
      <c r="C19" s="6" t="n">
        <v>0.473088828253871</v>
      </c>
      <c r="D19" s="6" t="n">
        <v>0.535714285714286</v>
      </c>
      <c r="E19" s="5" t="n">
        <v>15</v>
      </c>
      <c r="F19" s="5" t="n">
        <v>16</v>
      </c>
      <c r="G19" s="5" t="n">
        <v>10</v>
      </c>
      <c r="H19" s="6" t="n">
        <v>0.483870967741936</v>
      </c>
      <c r="I19" s="6" t="n">
        <v>0.6</v>
      </c>
      <c r="J19" s="6" t="n">
        <v>0.118852638681666</v>
      </c>
      <c r="K19" s="6" t="n">
        <v>0.515367415675407</v>
      </c>
      <c r="L19" s="6" t="n">
        <v>0.549643386516062</v>
      </c>
      <c r="M19" s="5" t="n">
        <v>31</v>
      </c>
      <c r="N19" s="5" t="n">
        <v>0</v>
      </c>
      <c r="O19" s="5" t="n">
        <v>0</v>
      </c>
    </row>
    <row r="20" customFormat="false" ht="27.75" hidden="false" customHeight="true" outlineLevel="0" collapsed="false">
      <c r="A20" s="7" t="s">
        <v>32</v>
      </c>
      <c r="B20" s="7" t="s">
        <v>60</v>
      </c>
      <c r="C20" s="9" t="n">
        <v>0.261359003226292</v>
      </c>
      <c r="D20" s="9" t="n">
        <v>0.211764705882353</v>
      </c>
      <c r="E20" s="8" t="n">
        <v>9</v>
      </c>
      <c r="F20" s="8" t="n">
        <v>36</v>
      </c>
      <c r="G20" s="8" t="n">
        <v>31</v>
      </c>
      <c r="H20" s="9" t="n">
        <v>0.2</v>
      </c>
      <c r="I20" s="9" t="n">
        <v>0.225</v>
      </c>
      <c r="J20" s="9" t="n">
        <v>0.0885851615729292</v>
      </c>
      <c r="K20" s="9" t="n">
        <v>0.520372801416123</v>
      </c>
      <c r="L20" s="9" t="n">
        <v>0.529234600051478</v>
      </c>
      <c r="M20" s="8" t="n">
        <v>45</v>
      </c>
      <c r="N20" s="8" t="n">
        <v>0</v>
      </c>
      <c r="O20" s="8" t="n">
        <v>0</v>
      </c>
    </row>
    <row r="21" customFormat="false" ht="27.75" hidden="false" customHeight="true" outlineLevel="0" collapsed="false">
      <c r="A21" s="4" t="s">
        <v>32</v>
      </c>
      <c r="B21" s="4" t="s">
        <v>61</v>
      </c>
      <c r="C21" s="6" t="n">
        <v>0.411663930008401</v>
      </c>
      <c r="D21" s="6" t="n">
        <v>0.365591397849462</v>
      </c>
      <c r="E21" s="5" t="n">
        <v>17</v>
      </c>
      <c r="F21" s="5" t="n">
        <v>36</v>
      </c>
      <c r="G21" s="5" t="n">
        <v>23</v>
      </c>
      <c r="H21" s="6" t="n">
        <v>0.320754716981132</v>
      </c>
      <c r="I21" s="6" t="n">
        <v>0.425</v>
      </c>
      <c r="J21" s="6" t="n">
        <v>0.0899411927047504</v>
      </c>
      <c r="K21" s="6" t="n">
        <v>0.763071513005875</v>
      </c>
      <c r="L21" s="6" t="n">
        <v>0.767171389538831</v>
      </c>
      <c r="M21" s="5" t="n">
        <v>53</v>
      </c>
      <c r="N21" s="5" t="n">
        <v>0</v>
      </c>
      <c r="O21" s="5" t="n">
        <v>0</v>
      </c>
    </row>
    <row r="22" customFormat="false" ht="27.75" hidden="false" customHeight="true" outlineLevel="0" collapsed="false">
      <c r="A22" s="7" t="s">
        <v>32</v>
      </c>
      <c r="B22" s="7" t="s">
        <v>62</v>
      </c>
      <c r="C22" s="9" t="n">
        <v>0.41438234400121</v>
      </c>
      <c r="D22" s="9" t="n">
        <v>0.395604395604396</v>
      </c>
      <c r="E22" s="8" t="n">
        <v>18</v>
      </c>
      <c r="F22" s="8" t="n">
        <v>33</v>
      </c>
      <c r="G22" s="8" t="n">
        <v>22</v>
      </c>
      <c r="H22" s="9" t="n">
        <v>0.352941176470588</v>
      </c>
      <c r="I22" s="9" t="n">
        <v>0.45</v>
      </c>
      <c r="J22" s="9" t="n">
        <v>0.0720978891178627</v>
      </c>
      <c r="K22" s="9" t="n">
        <v>0.763059632782289</v>
      </c>
      <c r="L22" s="9" t="n">
        <v>0.767159742983824</v>
      </c>
      <c r="M22" s="8" t="n">
        <v>51</v>
      </c>
      <c r="N22" s="8" t="n">
        <v>0</v>
      </c>
      <c r="O22" s="8" t="n">
        <v>0</v>
      </c>
    </row>
    <row r="23" customFormat="false" ht="27.75" hidden="false" customHeight="true" outlineLevel="0" collapsed="false">
      <c r="A23" s="4" t="s">
        <v>33</v>
      </c>
      <c r="B23" s="4" t="s">
        <v>60</v>
      </c>
      <c r="C23" s="6" t="n">
        <v>0.296658061133688</v>
      </c>
      <c r="D23" s="6" t="n">
        <v>0.303571428571428</v>
      </c>
      <c r="E23" s="5" t="n">
        <v>17</v>
      </c>
      <c r="F23" s="5" t="n">
        <v>38</v>
      </c>
      <c r="G23" s="5" t="n">
        <v>40</v>
      </c>
      <c r="H23" s="6" t="n">
        <v>0.309090909090909</v>
      </c>
      <c r="I23" s="6" t="n">
        <v>0.298245614035088</v>
      </c>
      <c r="J23" s="6" t="n">
        <v>0.0882730748430092</v>
      </c>
      <c r="K23" s="6" t="n">
        <v>0.520281384672918</v>
      </c>
      <c r="L23" s="6" t="n">
        <v>0.524388867361895</v>
      </c>
      <c r="M23" s="5" t="n">
        <v>57</v>
      </c>
      <c r="N23" s="5" t="n">
        <v>0</v>
      </c>
      <c r="O23" s="5" t="n">
        <v>2</v>
      </c>
    </row>
    <row r="24" customFormat="false" ht="27.75" hidden="false" customHeight="true" outlineLevel="0" collapsed="false">
      <c r="A24" s="7" t="s">
        <v>33</v>
      </c>
      <c r="B24" s="7" t="s">
        <v>61</v>
      </c>
      <c r="C24" s="9" t="n">
        <v>0.429648498658723</v>
      </c>
      <c r="D24" s="9" t="n">
        <v>0.403100775193798</v>
      </c>
      <c r="E24" s="8" t="n">
        <v>26</v>
      </c>
      <c r="F24" s="8" t="n">
        <v>46</v>
      </c>
      <c r="G24" s="8" t="n">
        <v>31</v>
      </c>
      <c r="H24" s="9" t="n">
        <v>0.361111111111111</v>
      </c>
      <c r="I24" s="9" t="n">
        <v>0.456140350877193</v>
      </c>
      <c r="J24" s="9" t="n">
        <v>0.0675889950789747</v>
      </c>
      <c r="K24" s="9" t="n">
        <v>0.675075325259454</v>
      </c>
      <c r="L24" s="9" t="n">
        <v>0.677549404451034</v>
      </c>
      <c r="M24" s="8" t="n">
        <v>79</v>
      </c>
      <c r="N24" s="8" t="n">
        <v>0</v>
      </c>
      <c r="O24" s="8" t="n">
        <v>7</v>
      </c>
    </row>
    <row r="25" customFormat="false" ht="27.75" hidden="false" customHeight="true" outlineLevel="0" collapsed="false">
      <c r="A25" s="4" t="s">
        <v>33</v>
      </c>
      <c r="B25" s="4" t="s">
        <v>62</v>
      </c>
      <c r="C25" s="6" t="n">
        <v>0.440636718293268</v>
      </c>
      <c r="D25" s="6" t="n">
        <v>0.466666666666667</v>
      </c>
      <c r="E25" s="5" t="n">
        <v>28</v>
      </c>
      <c r="F25" s="5" t="n">
        <v>35</v>
      </c>
      <c r="G25" s="5" t="n">
        <v>29</v>
      </c>
      <c r="H25" s="6" t="n">
        <v>0.444444444444444</v>
      </c>
      <c r="I25" s="6" t="n">
        <v>0.491228070175439</v>
      </c>
      <c r="J25" s="6" t="n">
        <v>0.0980827348812448</v>
      </c>
      <c r="K25" s="6" t="n">
        <v>0.675052325180231</v>
      </c>
      <c r="L25" s="6" t="n">
        <v>0.677526660713985</v>
      </c>
      <c r="M25" s="5" t="n">
        <v>66</v>
      </c>
      <c r="N25" s="5" t="n">
        <v>0</v>
      </c>
      <c r="O25" s="5" t="n">
        <v>3</v>
      </c>
    </row>
    <row r="26" customFormat="false" ht="27.75" hidden="false" customHeight="true" outlineLevel="0" collapsed="false">
      <c r="A26" s="7" t="s">
        <v>34</v>
      </c>
      <c r="B26" s="7" t="s">
        <v>60</v>
      </c>
      <c r="C26" s="9" t="n">
        <v>0.421436837807322</v>
      </c>
      <c r="D26" s="9" t="n">
        <v>0.309859154929577</v>
      </c>
      <c r="E26" s="8" t="n">
        <v>11</v>
      </c>
      <c r="F26" s="8" t="n">
        <v>31</v>
      </c>
      <c r="G26" s="8" t="n">
        <v>18</v>
      </c>
      <c r="H26" s="9" t="n">
        <v>0.261904761904762</v>
      </c>
      <c r="I26" s="9" t="n">
        <v>0.379310344827586</v>
      </c>
      <c r="J26" s="9" t="n">
        <v>0.087581527324929</v>
      </c>
      <c r="K26" s="9" t="n">
        <v>0.706701532744181</v>
      </c>
      <c r="L26" s="9" t="n">
        <v>0.69907392488278</v>
      </c>
      <c r="M26" s="8" t="n">
        <v>44</v>
      </c>
      <c r="N26" s="8" t="n">
        <v>0</v>
      </c>
      <c r="O26" s="8" t="n">
        <v>2</v>
      </c>
    </row>
    <row r="27" customFormat="false" ht="27.75" hidden="false" customHeight="true" outlineLevel="0" collapsed="false">
      <c r="A27" s="4" t="s">
        <v>34</v>
      </c>
      <c r="B27" s="4" t="s">
        <v>61</v>
      </c>
      <c r="C27" s="6" t="n">
        <v>0.485735539822772</v>
      </c>
      <c r="D27" s="6" t="n">
        <v>0.298850574712644</v>
      </c>
      <c r="E27" s="5" t="n">
        <v>13</v>
      </c>
      <c r="F27" s="5" t="n">
        <v>45</v>
      </c>
      <c r="G27" s="5" t="n">
        <v>16</v>
      </c>
      <c r="H27" s="6" t="n">
        <v>0.224137931034483</v>
      </c>
      <c r="I27" s="6" t="n">
        <v>0.448275862068966</v>
      </c>
      <c r="J27" s="6" t="n">
        <v>0.0848593449870646</v>
      </c>
      <c r="K27" s="6" t="n">
        <v>0.793509619658956</v>
      </c>
      <c r="L27" s="6" t="n">
        <v>0.777730894413741</v>
      </c>
      <c r="M27" s="5" t="n">
        <v>60</v>
      </c>
      <c r="N27" s="5" t="n">
        <v>0</v>
      </c>
      <c r="O27" s="5" t="n">
        <v>2</v>
      </c>
    </row>
    <row r="28" customFormat="false" ht="27.75" hidden="false" customHeight="true" outlineLevel="0" collapsed="false">
      <c r="A28" s="7" t="s">
        <v>34</v>
      </c>
      <c r="B28" s="7" t="s">
        <v>62</v>
      </c>
      <c r="C28" s="9" t="n">
        <v>0.504205592275129</v>
      </c>
      <c r="D28" s="9" t="n">
        <v>0.320987654320988</v>
      </c>
      <c r="E28" s="8" t="n">
        <v>13</v>
      </c>
      <c r="F28" s="8" t="n">
        <v>39</v>
      </c>
      <c r="G28" s="8" t="n">
        <v>16</v>
      </c>
      <c r="H28" s="9" t="n">
        <v>0.25</v>
      </c>
      <c r="I28" s="9" t="n">
        <v>0.448275862068966</v>
      </c>
      <c r="J28" s="9" t="n">
        <v>0.0998359036523427</v>
      </c>
      <c r="K28" s="9" t="n">
        <v>0.793501840359893</v>
      </c>
      <c r="L28" s="9" t="n">
        <v>0.777725859207579</v>
      </c>
      <c r="M28" s="8" t="n">
        <v>54</v>
      </c>
      <c r="N28" s="8" t="n">
        <v>0</v>
      </c>
      <c r="O28" s="8" t="n">
        <v>2</v>
      </c>
    </row>
  </sheetData>
  <autoFilter ref="A4:O28"/>
  <printOptions headings="false" gridLines="false" gridLinesSet="true" horizontalCentered="tru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4" min="2" style="0" width="11.99"/>
    <col collapsed="false" customWidth="true" hidden="false" outlineLevel="0" max="5" min="5" style="0" width="13.01"/>
    <col collapsed="false" customWidth="true" hidden="false" outlineLevel="0" max="8" min="6" style="0" width="18"/>
    <col collapsed="false" customWidth="true" hidden="false" outlineLevel="0" max="9" min="9" style="0" width="17"/>
    <col collapsed="false" customWidth="true" hidden="false" outlineLevel="0" max="10" min="10" style="0" width="54.99"/>
  </cols>
  <sheetData>
    <row r="1" customFormat="false" ht="27" hidden="false" customHeight="true" outlineLevel="0" collapsed="false">
      <c r="A1" s="1" t="s">
        <v>63</v>
      </c>
    </row>
    <row r="2" customFormat="false" ht="22.5" hidden="false" customHeight="true" outlineLevel="0" collapsed="false">
      <c r="A2" s="2" t="s">
        <v>64</v>
      </c>
    </row>
    <row r="4" customFormat="false" ht="37.5" hidden="false" customHeight="true" outlineLevel="0" collapsed="false">
      <c r="A4" s="3" t="s">
        <v>26</v>
      </c>
      <c r="B4" s="3" t="s">
        <v>46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</row>
    <row r="5" customFormat="false" ht="48" hidden="false" customHeight="true" outlineLevel="0" collapsed="false">
      <c r="A5" s="4" t="s">
        <v>27</v>
      </c>
      <c r="B5" s="4" t="s">
        <v>60</v>
      </c>
      <c r="C5" s="4" t="s">
        <v>73</v>
      </c>
      <c r="D5" s="5" t="n">
        <v>400</v>
      </c>
      <c r="E5" s="5" t="n">
        <v>0</v>
      </c>
      <c r="F5" s="14"/>
      <c r="G5" s="14"/>
      <c r="H5" s="14"/>
      <c r="I5" s="14"/>
      <c r="J5" s="4" t="s">
        <v>74</v>
      </c>
    </row>
    <row r="6" customFormat="false" ht="48" hidden="false" customHeight="true" outlineLevel="0" collapsed="false">
      <c r="A6" s="7" t="s">
        <v>27</v>
      </c>
      <c r="B6" s="7" t="s">
        <v>61</v>
      </c>
      <c r="C6" s="7" t="s">
        <v>75</v>
      </c>
      <c r="D6" s="8" t="n">
        <v>400</v>
      </c>
      <c r="E6" s="8" t="n">
        <v>0</v>
      </c>
      <c r="F6" s="15" t="n">
        <v>2783.46642208099</v>
      </c>
      <c r="G6" s="15" t="n">
        <v>364.293549699709</v>
      </c>
      <c r="H6" s="16"/>
      <c r="I6" s="15" t="n">
        <v>29.894534044899</v>
      </c>
      <c r="J6" s="7" t="s">
        <v>76</v>
      </c>
    </row>
    <row r="7" customFormat="false" ht="48" hidden="false" customHeight="true" outlineLevel="0" collapsed="false">
      <c r="A7" s="4" t="s">
        <v>27</v>
      </c>
      <c r="B7" s="4" t="s">
        <v>62</v>
      </c>
      <c r="C7" s="4" t="s">
        <v>75</v>
      </c>
      <c r="D7" s="5" t="n">
        <v>400</v>
      </c>
      <c r="E7" s="5" t="n">
        <v>0</v>
      </c>
      <c r="F7" s="17" t="n">
        <v>4342.00775742531</v>
      </c>
      <c r="G7" s="14"/>
      <c r="H7" s="17" t="n">
        <v>4342.00775742531</v>
      </c>
      <c r="I7" s="17" t="n">
        <v>30.5500844838098</v>
      </c>
      <c r="J7" s="4" t="s">
        <v>77</v>
      </c>
    </row>
    <row r="8" customFormat="false" ht="48" hidden="false" customHeight="true" outlineLevel="0" collapsed="false">
      <c r="A8" s="7" t="s">
        <v>28</v>
      </c>
      <c r="B8" s="7" t="s">
        <v>60</v>
      </c>
      <c r="C8" s="7" t="s">
        <v>73</v>
      </c>
      <c r="D8" s="8" t="n">
        <v>400</v>
      </c>
      <c r="E8" s="8" t="n">
        <v>0</v>
      </c>
      <c r="F8" s="16"/>
      <c r="G8" s="16"/>
      <c r="H8" s="16"/>
      <c r="I8" s="16"/>
      <c r="J8" s="7" t="s">
        <v>74</v>
      </c>
    </row>
    <row r="9" customFormat="false" ht="48" hidden="false" customHeight="true" outlineLevel="0" collapsed="false">
      <c r="A9" s="4" t="s">
        <v>28</v>
      </c>
      <c r="B9" s="4" t="s">
        <v>61</v>
      </c>
      <c r="C9" s="4" t="s">
        <v>75</v>
      </c>
      <c r="D9" s="5" t="n">
        <v>400</v>
      </c>
      <c r="E9" s="5" t="n">
        <v>0</v>
      </c>
      <c r="F9" s="17" t="n">
        <v>1641.34001111984</v>
      </c>
      <c r="G9" s="17" t="n">
        <v>271.206880610436</v>
      </c>
      <c r="H9" s="14"/>
      <c r="I9" s="17" t="n">
        <v>16.665645041503</v>
      </c>
      <c r="J9" s="4" t="s">
        <v>76</v>
      </c>
    </row>
    <row r="10" customFormat="false" ht="48" hidden="false" customHeight="true" outlineLevel="0" collapsed="false">
      <c r="A10" s="7" t="s">
        <v>28</v>
      </c>
      <c r="B10" s="7" t="s">
        <v>62</v>
      </c>
      <c r="C10" s="7" t="s">
        <v>75</v>
      </c>
      <c r="D10" s="8" t="n">
        <v>400</v>
      </c>
      <c r="E10" s="8" t="n">
        <v>0</v>
      </c>
      <c r="F10" s="15" t="n">
        <v>2556.9289932251</v>
      </c>
      <c r="G10" s="16"/>
      <c r="H10" s="15" t="n">
        <v>2556.9289932251</v>
      </c>
      <c r="I10" s="15" t="n">
        <v>19.0736905708909</v>
      </c>
      <c r="J10" s="7" t="s">
        <v>77</v>
      </c>
    </row>
    <row r="11" customFormat="false" ht="48" hidden="false" customHeight="true" outlineLevel="0" collapsed="false">
      <c r="A11" s="4" t="s">
        <v>29</v>
      </c>
      <c r="B11" s="4" t="s">
        <v>60</v>
      </c>
      <c r="C11" s="4" t="s">
        <v>73</v>
      </c>
      <c r="D11" s="5" t="n">
        <v>400</v>
      </c>
      <c r="E11" s="5" t="n">
        <v>0</v>
      </c>
      <c r="F11" s="14"/>
      <c r="G11" s="14"/>
      <c r="H11" s="14"/>
      <c r="I11" s="14"/>
      <c r="J11" s="4" t="s">
        <v>74</v>
      </c>
    </row>
    <row r="12" customFormat="false" ht="48" hidden="false" customHeight="true" outlineLevel="0" collapsed="false">
      <c r="A12" s="7" t="s">
        <v>29</v>
      </c>
      <c r="B12" s="7" t="s">
        <v>61</v>
      </c>
      <c r="C12" s="7" t="s">
        <v>78</v>
      </c>
      <c r="D12" s="8" t="n">
        <v>400</v>
      </c>
      <c r="E12" s="8" t="n">
        <v>0</v>
      </c>
      <c r="F12" s="15" t="n">
        <v>1453.64539289475</v>
      </c>
      <c r="G12" s="15" t="n">
        <v>310.60271135997</v>
      </c>
      <c r="H12" s="16"/>
      <c r="I12" s="15" t="n">
        <v>17.8562975144014</v>
      </c>
      <c r="J12" s="7" t="s">
        <v>76</v>
      </c>
    </row>
    <row r="13" customFormat="false" ht="48" hidden="false" customHeight="true" outlineLevel="0" collapsed="false">
      <c r="A13" s="4" t="s">
        <v>29</v>
      </c>
      <c r="B13" s="4" t="s">
        <v>62</v>
      </c>
      <c r="C13" s="4" t="s">
        <v>78</v>
      </c>
      <c r="D13" s="5" t="n">
        <v>400</v>
      </c>
      <c r="E13" s="5" t="n">
        <v>0</v>
      </c>
      <c r="F13" s="17" t="n">
        <v>2695.65441012382</v>
      </c>
      <c r="G13" s="14"/>
      <c r="H13" s="17" t="n">
        <v>2695.65441012382</v>
      </c>
      <c r="I13" s="17" t="n">
        <v>16.3656247248873</v>
      </c>
      <c r="J13" s="4" t="s">
        <v>77</v>
      </c>
    </row>
    <row r="14" customFormat="false" ht="48" hidden="false" customHeight="true" outlineLevel="0" collapsed="false">
      <c r="A14" s="7" t="s">
        <v>30</v>
      </c>
      <c r="B14" s="7" t="s">
        <v>60</v>
      </c>
      <c r="C14" s="7" t="s">
        <v>73</v>
      </c>
      <c r="D14" s="8" t="n">
        <v>400</v>
      </c>
      <c r="E14" s="8" t="n">
        <v>0</v>
      </c>
      <c r="F14" s="16"/>
      <c r="G14" s="16"/>
      <c r="H14" s="16"/>
      <c r="I14" s="16"/>
      <c r="J14" s="7" t="s">
        <v>74</v>
      </c>
    </row>
    <row r="15" customFormat="false" ht="48" hidden="false" customHeight="true" outlineLevel="0" collapsed="false">
      <c r="A15" s="4" t="s">
        <v>30</v>
      </c>
      <c r="B15" s="4" t="s">
        <v>61</v>
      </c>
      <c r="C15" s="4" t="s">
        <v>79</v>
      </c>
      <c r="D15" s="5" t="n">
        <v>400</v>
      </c>
      <c r="E15" s="5" t="n">
        <v>0</v>
      </c>
      <c r="F15" s="17" t="n">
        <v>1025.70748782158</v>
      </c>
      <c r="G15" s="17" t="n">
        <v>215.873490576632</v>
      </c>
      <c r="H15" s="14"/>
      <c r="I15" s="17" t="n">
        <v>15.2211381029338</v>
      </c>
      <c r="J15" s="4" t="s">
        <v>76</v>
      </c>
    </row>
    <row r="16" customFormat="false" ht="48" hidden="false" customHeight="true" outlineLevel="0" collapsed="false">
      <c r="A16" s="7" t="s">
        <v>30</v>
      </c>
      <c r="B16" s="7" t="s">
        <v>62</v>
      </c>
      <c r="C16" s="7" t="s">
        <v>79</v>
      </c>
      <c r="D16" s="8" t="n">
        <v>400</v>
      </c>
      <c r="E16" s="8" t="n">
        <v>0</v>
      </c>
      <c r="F16" s="15" t="n">
        <v>1826.89606261253</v>
      </c>
      <c r="G16" s="16"/>
      <c r="H16" s="15" t="n">
        <v>1826.89606261253</v>
      </c>
      <c r="I16" s="15" t="n">
        <v>13.6596736107022</v>
      </c>
      <c r="J16" s="7" t="s">
        <v>77</v>
      </c>
    </row>
    <row r="17" customFormat="false" ht="48" hidden="false" customHeight="true" outlineLevel="0" collapsed="false">
      <c r="A17" s="4" t="s">
        <v>31</v>
      </c>
      <c r="B17" s="4" t="s">
        <v>60</v>
      </c>
      <c r="C17" s="4" t="s">
        <v>73</v>
      </c>
      <c r="D17" s="5" t="n">
        <v>400</v>
      </c>
      <c r="E17" s="5" t="n">
        <v>0</v>
      </c>
      <c r="F17" s="14"/>
      <c r="G17" s="14"/>
      <c r="H17" s="14"/>
      <c r="I17" s="14"/>
      <c r="J17" s="4" t="s">
        <v>74</v>
      </c>
    </row>
    <row r="18" customFormat="false" ht="48" hidden="false" customHeight="true" outlineLevel="0" collapsed="false">
      <c r="A18" s="7" t="s">
        <v>31</v>
      </c>
      <c r="B18" s="7" t="s">
        <v>61</v>
      </c>
      <c r="C18" s="7" t="s">
        <v>78</v>
      </c>
      <c r="D18" s="8" t="n">
        <v>400</v>
      </c>
      <c r="E18" s="8" t="n">
        <v>0</v>
      </c>
      <c r="F18" s="15" t="n">
        <v>908.598689079285</v>
      </c>
      <c r="G18" s="15" t="n">
        <v>284.362977935933</v>
      </c>
      <c r="H18" s="16"/>
      <c r="I18" s="15" t="n">
        <v>12.7241539852694</v>
      </c>
      <c r="J18" s="7" t="s">
        <v>76</v>
      </c>
    </row>
    <row r="19" customFormat="false" ht="48" hidden="false" customHeight="true" outlineLevel="0" collapsed="false">
      <c r="A19" s="4" t="s">
        <v>31</v>
      </c>
      <c r="B19" s="4" t="s">
        <v>62</v>
      </c>
      <c r="C19" s="4" t="s">
        <v>78</v>
      </c>
      <c r="D19" s="5" t="n">
        <v>400</v>
      </c>
      <c r="E19" s="5" t="n">
        <v>0</v>
      </c>
      <c r="F19" s="17" t="n">
        <v>2184.01769757271</v>
      </c>
      <c r="G19" s="14"/>
      <c r="H19" s="17" t="n">
        <v>2184.01769757271</v>
      </c>
      <c r="I19" s="17" t="n">
        <v>14.3620721967891</v>
      </c>
      <c r="J19" s="4" t="s">
        <v>77</v>
      </c>
    </row>
    <row r="20" customFormat="false" ht="48" hidden="false" customHeight="true" outlineLevel="0" collapsed="false">
      <c r="A20" s="7" t="s">
        <v>32</v>
      </c>
      <c r="B20" s="7" t="s">
        <v>60</v>
      </c>
      <c r="C20" s="7" t="s">
        <v>73</v>
      </c>
      <c r="D20" s="8" t="n">
        <v>400</v>
      </c>
      <c r="E20" s="8" t="n">
        <v>0</v>
      </c>
      <c r="F20" s="16"/>
      <c r="G20" s="16"/>
      <c r="H20" s="16"/>
      <c r="I20" s="16"/>
      <c r="J20" s="7" t="s">
        <v>74</v>
      </c>
    </row>
    <row r="21" customFormat="false" ht="48" hidden="false" customHeight="true" outlineLevel="0" collapsed="false">
      <c r="A21" s="4" t="s">
        <v>32</v>
      </c>
      <c r="B21" s="4" t="s">
        <v>61</v>
      </c>
      <c r="C21" s="4" t="s">
        <v>79</v>
      </c>
      <c r="D21" s="5" t="n">
        <v>400</v>
      </c>
      <c r="E21" s="5" t="n">
        <v>0</v>
      </c>
      <c r="F21" s="17" t="n">
        <v>2044.06262135506</v>
      </c>
      <c r="G21" s="17" t="n">
        <v>249.036746272817</v>
      </c>
      <c r="H21" s="14"/>
      <c r="I21" s="17" t="n">
        <v>18.3222954934463</v>
      </c>
      <c r="J21" s="4" t="s">
        <v>76</v>
      </c>
    </row>
    <row r="22" customFormat="false" ht="48" hidden="false" customHeight="true" outlineLevel="0" collapsed="false">
      <c r="A22" s="7" t="s">
        <v>32</v>
      </c>
      <c r="B22" s="7" t="s">
        <v>62</v>
      </c>
      <c r="C22" s="7" t="s">
        <v>79</v>
      </c>
      <c r="D22" s="8" t="n">
        <v>400</v>
      </c>
      <c r="E22" s="8" t="n">
        <v>0</v>
      </c>
      <c r="F22" s="15" t="n">
        <v>3121.95231366157</v>
      </c>
      <c r="G22" s="16"/>
      <c r="H22" s="15" t="n">
        <v>3121.95231366157</v>
      </c>
      <c r="I22" s="15" t="n">
        <v>16.9609543960542</v>
      </c>
      <c r="J22" s="7" t="s">
        <v>77</v>
      </c>
    </row>
    <row r="23" customFormat="false" ht="48" hidden="false" customHeight="true" outlineLevel="0" collapsed="false">
      <c r="A23" s="4" t="s">
        <v>33</v>
      </c>
      <c r="B23" s="4" t="s">
        <v>60</v>
      </c>
      <c r="C23" s="4" t="s">
        <v>73</v>
      </c>
      <c r="D23" s="5" t="n">
        <v>400</v>
      </c>
      <c r="E23" s="5" t="n">
        <v>0</v>
      </c>
      <c r="F23" s="14"/>
      <c r="G23" s="14"/>
      <c r="H23" s="14"/>
      <c r="I23" s="14"/>
      <c r="J23" s="4" t="s">
        <v>74</v>
      </c>
    </row>
    <row r="24" customFormat="false" ht="48" hidden="false" customHeight="true" outlineLevel="0" collapsed="false">
      <c r="A24" s="7" t="s">
        <v>33</v>
      </c>
      <c r="B24" s="7" t="s">
        <v>61</v>
      </c>
      <c r="C24" s="7" t="s">
        <v>79</v>
      </c>
      <c r="D24" s="8" t="n">
        <v>400</v>
      </c>
      <c r="E24" s="8" t="n">
        <v>0</v>
      </c>
      <c r="F24" s="15" t="n">
        <v>2243.42965459824</v>
      </c>
      <c r="G24" s="15" t="n">
        <v>329.324488573708</v>
      </c>
      <c r="H24" s="16"/>
      <c r="I24" s="15" t="n">
        <v>30.2099969377741</v>
      </c>
      <c r="J24" s="7" t="s">
        <v>76</v>
      </c>
    </row>
    <row r="25" customFormat="false" ht="48" hidden="false" customHeight="true" outlineLevel="0" collapsed="false">
      <c r="A25" s="4" t="s">
        <v>33</v>
      </c>
      <c r="B25" s="4" t="s">
        <v>62</v>
      </c>
      <c r="C25" s="4" t="s">
        <v>79</v>
      </c>
      <c r="D25" s="5" t="n">
        <v>400</v>
      </c>
      <c r="E25" s="5" t="n">
        <v>0</v>
      </c>
      <c r="F25" s="17" t="n">
        <v>2280.99645805359</v>
      </c>
      <c r="G25" s="14"/>
      <c r="H25" s="14"/>
      <c r="I25" s="17" t="n">
        <v>25.5264949630946</v>
      </c>
      <c r="J25" s="4" t="s">
        <v>80</v>
      </c>
    </row>
    <row r="26" customFormat="false" ht="48" hidden="false" customHeight="true" outlineLevel="0" collapsed="false">
      <c r="A26" s="7" t="s">
        <v>34</v>
      </c>
      <c r="B26" s="7" t="s">
        <v>60</v>
      </c>
      <c r="C26" s="7" t="s">
        <v>73</v>
      </c>
      <c r="D26" s="8" t="n">
        <v>400</v>
      </c>
      <c r="E26" s="8" t="n">
        <v>0</v>
      </c>
      <c r="F26" s="16"/>
      <c r="G26" s="16"/>
      <c r="H26" s="16"/>
      <c r="I26" s="16"/>
      <c r="J26" s="7" t="s">
        <v>74</v>
      </c>
    </row>
    <row r="27" customFormat="false" ht="48" hidden="false" customHeight="true" outlineLevel="0" collapsed="false">
      <c r="A27" s="4" t="s">
        <v>34</v>
      </c>
      <c r="B27" s="4" t="s">
        <v>61</v>
      </c>
      <c r="C27" s="4" t="s">
        <v>78</v>
      </c>
      <c r="D27" s="5" t="n">
        <v>400</v>
      </c>
      <c r="E27" s="5" t="n">
        <v>0</v>
      </c>
      <c r="F27" s="17" t="n">
        <v>1774.99293637276</v>
      </c>
      <c r="G27" s="17" t="n">
        <v>245.174281273968</v>
      </c>
      <c r="H27" s="14"/>
      <c r="I27" s="17" t="n">
        <v>19.0305265141651</v>
      </c>
      <c r="J27" s="4" t="s">
        <v>76</v>
      </c>
    </row>
    <row r="28" customFormat="false" ht="48" hidden="false" customHeight="true" outlineLevel="0" collapsed="false">
      <c r="A28" s="7" t="s">
        <v>34</v>
      </c>
      <c r="B28" s="7" t="s">
        <v>62</v>
      </c>
      <c r="C28" s="7" t="s">
        <v>78</v>
      </c>
      <c r="D28" s="8" t="n">
        <v>400</v>
      </c>
      <c r="E28" s="8" t="n">
        <v>0</v>
      </c>
      <c r="F28" s="15" t="n">
        <v>1888.99353981018</v>
      </c>
      <c r="G28" s="16"/>
      <c r="H28" s="16"/>
      <c r="I28" s="15" t="n">
        <v>16.7392590176314</v>
      </c>
      <c r="J28" s="7" t="s">
        <v>80</v>
      </c>
    </row>
  </sheetData>
  <autoFilter ref="A4:J28"/>
  <printOptions headings="false" gridLines="false" gridLinesSet="true" horizontalCentered="tru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04.99"/>
    <col collapsed="false" customWidth="true" hidden="false" outlineLevel="0" max="5" min="5" style="0" width="65.01"/>
  </cols>
  <sheetData>
    <row r="1" customFormat="false" ht="27" hidden="false" customHeight="true" outlineLevel="0" collapsed="false">
      <c r="A1" s="1" t="s">
        <v>81</v>
      </c>
    </row>
    <row r="2" customFormat="false" ht="22.5" hidden="false" customHeight="true" outlineLevel="0" collapsed="false">
      <c r="A2" s="2" t="s">
        <v>82</v>
      </c>
    </row>
    <row r="4" customFormat="false" ht="37.5" hidden="false" customHeight="true" outlineLevel="0" collapsed="false">
      <c r="A4" s="3" t="s">
        <v>26</v>
      </c>
      <c r="B4" s="3" t="s">
        <v>46</v>
      </c>
      <c r="C4" s="3" t="s">
        <v>83</v>
      </c>
      <c r="D4" s="3" t="s">
        <v>84</v>
      </c>
      <c r="E4" s="3" t="s">
        <v>85</v>
      </c>
    </row>
    <row r="5" customFormat="false" ht="51" hidden="false" customHeight="true" outlineLevel="0" collapsed="false">
      <c r="A5" s="4" t="s">
        <v>27</v>
      </c>
      <c r="B5" s="4" t="s">
        <v>60</v>
      </c>
      <c r="C5" s="4" t="s">
        <v>86</v>
      </c>
      <c r="D5" s="4" t="s">
        <v>87</v>
      </c>
      <c r="E5" s="4" t="s">
        <v>88</v>
      </c>
    </row>
    <row r="6" customFormat="false" ht="51" hidden="false" customHeight="true" outlineLevel="0" collapsed="false">
      <c r="A6" s="7" t="s">
        <v>27</v>
      </c>
      <c r="B6" s="7" t="s">
        <v>60</v>
      </c>
      <c r="C6" s="7" t="s">
        <v>89</v>
      </c>
      <c r="D6" s="7" t="s">
        <v>90</v>
      </c>
      <c r="E6" s="7"/>
    </row>
    <row r="7" customFormat="false" ht="51" hidden="false" customHeight="true" outlineLevel="0" collapsed="false">
      <c r="A7" s="4" t="s">
        <v>27</v>
      </c>
      <c r="B7" s="4" t="s">
        <v>61</v>
      </c>
      <c r="C7" s="4" t="s">
        <v>86</v>
      </c>
      <c r="D7" s="4" t="s">
        <v>91</v>
      </c>
      <c r="E7" s="4" t="s">
        <v>92</v>
      </c>
    </row>
    <row r="8" customFormat="false" ht="51" hidden="false" customHeight="true" outlineLevel="0" collapsed="false">
      <c r="A8" s="7" t="s">
        <v>27</v>
      </c>
      <c r="B8" s="7" t="s">
        <v>61</v>
      </c>
      <c r="C8" s="7" t="s">
        <v>89</v>
      </c>
      <c r="D8" s="7" t="s">
        <v>93</v>
      </c>
      <c r="E8" s="7"/>
    </row>
    <row r="9" customFormat="false" ht="51" hidden="false" customHeight="true" outlineLevel="0" collapsed="false">
      <c r="A9" s="4" t="s">
        <v>27</v>
      </c>
      <c r="B9" s="4" t="s">
        <v>61</v>
      </c>
      <c r="C9" s="4" t="s">
        <v>94</v>
      </c>
      <c r="D9" s="4" t="s">
        <v>95</v>
      </c>
      <c r="E9" s="4"/>
    </row>
    <row r="10" customFormat="false" ht="51" hidden="false" customHeight="true" outlineLevel="0" collapsed="false">
      <c r="A10" s="7" t="s">
        <v>27</v>
      </c>
      <c r="B10" s="7" t="s">
        <v>61</v>
      </c>
      <c r="C10" s="7" t="s">
        <v>96</v>
      </c>
      <c r="D10" s="7" t="s">
        <v>97</v>
      </c>
      <c r="E10" s="7"/>
    </row>
    <row r="11" customFormat="false" ht="51" hidden="false" customHeight="true" outlineLevel="0" collapsed="false">
      <c r="A11" s="4" t="s">
        <v>27</v>
      </c>
      <c r="B11" s="4" t="s">
        <v>62</v>
      </c>
      <c r="C11" s="4" t="s">
        <v>86</v>
      </c>
      <c r="D11" s="4" t="s">
        <v>98</v>
      </c>
      <c r="E11" s="4" t="s">
        <v>99</v>
      </c>
    </row>
    <row r="12" customFormat="false" ht="51" hidden="false" customHeight="true" outlineLevel="0" collapsed="false">
      <c r="A12" s="7" t="s">
        <v>27</v>
      </c>
      <c r="B12" s="7" t="s">
        <v>62</v>
      </c>
      <c r="C12" s="7" t="s">
        <v>89</v>
      </c>
      <c r="D12" s="7" t="s">
        <v>100</v>
      </c>
      <c r="E12" s="7"/>
    </row>
    <row r="13" customFormat="false" ht="51" hidden="false" customHeight="true" outlineLevel="0" collapsed="false">
      <c r="A13" s="4" t="s">
        <v>27</v>
      </c>
      <c r="B13" s="4" t="s">
        <v>62</v>
      </c>
      <c r="C13" s="4" t="s">
        <v>94</v>
      </c>
      <c r="D13" s="4" t="s">
        <v>101</v>
      </c>
      <c r="E13" s="4"/>
    </row>
    <row r="14" customFormat="false" ht="51" hidden="false" customHeight="true" outlineLevel="0" collapsed="false">
      <c r="A14" s="7" t="s">
        <v>27</v>
      </c>
      <c r="B14" s="7" t="s">
        <v>62</v>
      </c>
      <c r="C14" s="7" t="s">
        <v>96</v>
      </c>
      <c r="D14" s="7" t="s">
        <v>102</v>
      </c>
      <c r="E14" s="7"/>
    </row>
    <row r="15" customFormat="false" ht="51" hidden="false" customHeight="true" outlineLevel="0" collapsed="false">
      <c r="A15" s="4" t="s">
        <v>28</v>
      </c>
      <c r="B15" s="4" t="s">
        <v>60</v>
      </c>
      <c r="C15" s="4" t="s">
        <v>86</v>
      </c>
      <c r="D15" s="4" t="s">
        <v>103</v>
      </c>
      <c r="E15" s="4" t="s">
        <v>104</v>
      </c>
    </row>
    <row r="16" customFormat="false" ht="51" hidden="false" customHeight="true" outlineLevel="0" collapsed="false">
      <c r="A16" s="7" t="s">
        <v>28</v>
      </c>
      <c r="B16" s="7" t="s">
        <v>60</v>
      </c>
      <c r="C16" s="7" t="s">
        <v>89</v>
      </c>
      <c r="D16" s="7" t="s">
        <v>105</v>
      </c>
      <c r="E16" s="7"/>
    </row>
    <row r="17" customFormat="false" ht="51" hidden="false" customHeight="true" outlineLevel="0" collapsed="false">
      <c r="A17" s="4" t="s">
        <v>28</v>
      </c>
      <c r="B17" s="4" t="s">
        <v>61</v>
      </c>
      <c r="C17" s="4" t="s">
        <v>86</v>
      </c>
      <c r="D17" s="4" t="s">
        <v>106</v>
      </c>
      <c r="E17" s="4" t="s">
        <v>107</v>
      </c>
    </row>
    <row r="18" customFormat="false" ht="51" hidden="false" customHeight="true" outlineLevel="0" collapsed="false">
      <c r="A18" s="7" t="s">
        <v>28</v>
      </c>
      <c r="B18" s="7" t="s">
        <v>61</v>
      </c>
      <c r="C18" s="7" t="s">
        <v>89</v>
      </c>
      <c r="D18" s="7" t="s">
        <v>108</v>
      </c>
      <c r="E18" s="7"/>
    </row>
    <row r="19" customFormat="false" ht="51" hidden="false" customHeight="true" outlineLevel="0" collapsed="false">
      <c r="A19" s="4" t="s">
        <v>28</v>
      </c>
      <c r="B19" s="4" t="s">
        <v>61</v>
      </c>
      <c r="C19" s="4" t="s">
        <v>94</v>
      </c>
      <c r="D19" s="4" t="s">
        <v>109</v>
      </c>
      <c r="E19" s="4"/>
    </row>
    <row r="20" customFormat="false" ht="51" hidden="false" customHeight="true" outlineLevel="0" collapsed="false">
      <c r="A20" s="7" t="s">
        <v>28</v>
      </c>
      <c r="B20" s="7" t="s">
        <v>61</v>
      </c>
      <c r="C20" s="7" t="s">
        <v>96</v>
      </c>
      <c r="D20" s="7" t="s">
        <v>110</v>
      </c>
      <c r="E20" s="7"/>
    </row>
    <row r="21" customFormat="false" ht="51" hidden="false" customHeight="true" outlineLevel="0" collapsed="false">
      <c r="A21" s="4" t="s">
        <v>28</v>
      </c>
      <c r="B21" s="4" t="s">
        <v>62</v>
      </c>
      <c r="C21" s="4" t="s">
        <v>86</v>
      </c>
      <c r="D21" s="4" t="s">
        <v>111</v>
      </c>
      <c r="E21" s="4" t="s">
        <v>112</v>
      </c>
    </row>
    <row r="22" customFormat="false" ht="51" hidden="false" customHeight="true" outlineLevel="0" collapsed="false">
      <c r="A22" s="7" t="s">
        <v>28</v>
      </c>
      <c r="B22" s="7" t="s">
        <v>62</v>
      </c>
      <c r="C22" s="7" t="s">
        <v>89</v>
      </c>
      <c r="D22" s="7" t="s">
        <v>113</v>
      </c>
      <c r="E22" s="7"/>
    </row>
    <row r="23" customFormat="false" ht="51" hidden="false" customHeight="true" outlineLevel="0" collapsed="false">
      <c r="A23" s="4" t="s">
        <v>28</v>
      </c>
      <c r="B23" s="4" t="s">
        <v>62</v>
      </c>
      <c r="C23" s="4" t="s">
        <v>94</v>
      </c>
      <c r="D23" s="4" t="s">
        <v>114</v>
      </c>
      <c r="E23" s="4"/>
    </row>
    <row r="24" customFormat="false" ht="51" hidden="false" customHeight="true" outlineLevel="0" collapsed="false">
      <c r="A24" s="7" t="s">
        <v>28</v>
      </c>
      <c r="B24" s="7" t="s">
        <v>62</v>
      </c>
      <c r="C24" s="7" t="s">
        <v>96</v>
      </c>
      <c r="D24" s="7" t="s">
        <v>115</v>
      </c>
      <c r="E24" s="7"/>
    </row>
    <row r="25" customFormat="false" ht="51" hidden="false" customHeight="true" outlineLevel="0" collapsed="false">
      <c r="A25" s="4" t="s">
        <v>29</v>
      </c>
      <c r="B25" s="4" t="s">
        <v>60</v>
      </c>
      <c r="C25" s="4" t="s">
        <v>86</v>
      </c>
      <c r="D25" s="4" t="s">
        <v>116</v>
      </c>
      <c r="E25" s="4" t="s">
        <v>117</v>
      </c>
    </row>
    <row r="26" customFormat="false" ht="51" hidden="false" customHeight="true" outlineLevel="0" collapsed="false">
      <c r="A26" s="7" t="s">
        <v>29</v>
      </c>
      <c r="B26" s="7" t="s">
        <v>60</v>
      </c>
      <c r="C26" s="7" t="s">
        <v>89</v>
      </c>
      <c r="D26" s="7" t="s">
        <v>118</v>
      </c>
      <c r="E26" s="7"/>
    </row>
    <row r="27" customFormat="false" ht="51" hidden="false" customHeight="true" outlineLevel="0" collapsed="false">
      <c r="A27" s="4" t="s">
        <v>29</v>
      </c>
      <c r="B27" s="4" t="s">
        <v>61</v>
      </c>
      <c r="C27" s="4" t="s">
        <v>86</v>
      </c>
      <c r="D27" s="4" t="s">
        <v>119</v>
      </c>
      <c r="E27" s="4" t="s">
        <v>120</v>
      </c>
    </row>
    <row r="28" customFormat="false" ht="51" hidden="false" customHeight="true" outlineLevel="0" collapsed="false">
      <c r="A28" s="7" t="s">
        <v>29</v>
      </c>
      <c r="B28" s="7" t="s">
        <v>61</v>
      </c>
      <c r="C28" s="7" t="s">
        <v>89</v>
      </c>
      <c r="D28" s="7" t="s">
        <v>121</v>
      </c>
      <c r="E28" s="7"/>
    </row>
    <row r="29" customFormat="false" ht="51" hidden="false" customHeight="true" outlineLevel="0" collapsed="false">
      <c r="A29" s="4" t="s">
        <v>29</v>
      </c>
      <c r="B29" s="4" t="s">
        <v>61</v>
      </c>
      <c r="C29" s="4" t="s">
        <v>94</v>
      </c>
      <c r="D29" s="4" t="s">
        <v>122</v>
      </c>
      <c r="E29" s="4"/>
    </row>
    <row r="30" customFormat="false" ht="51" hidden="false" customHeight="true" outlineLevel="0" collapsed="false">
      <c r="A30" s="7" t="s">
        <v>29</v>
      </c>
      <c r="B30" s="7" t="s">
        <v>61</v>
      </c>
      <c r="C30" s="7" t="s">
        <v>96</v>
      </c>
      <c r="D30" s="7" t="s">
        <v>123</v>
      </c>
      <c r="E30" s="7"/>
    </row>
    <row r="31" customFormat="false" ht="51" hidden="false" customHeight="true" outlineLevel="0" collapsed="false">
      <c r="A31" s="4" t="s">
        <v>29</v>
      </c>
      <c r="B31" s="4" t="s">
        <v>62</v>
      </c>
      <c r="C31" s="4" t="s">
        <v>86</v>
      </c>
      <c r="D31" s="4" t="s">
        <v>124</v>
      </c>
      <c r="E31" s="4" t="s">
        <v>125</v>
      </c>
    </row>
    <row r="32" customFormat="false" ht="51" hidden="false" customHeight="true" outlineLevel="0" collapsed="false">
      <c r="A32" s="7" t="s">
        <v>29</v>
      </c>
      <c r="B32" s="7" t="s">
        <v>62</v>
      </c>
      <c r="C32" s="7" t="s">
        <v>89</v>
      </c>
      <c r="D32" s="7" t="s">
        <v>126</v>
      </c>
      <c r="E32" s="7"/>
    </row>
    <row r="33" customFormat="false" ht="51" hidden="false" customHeight="true" outlineLevel="0" collapsed="false">
      <c r="A33" s="4" t="s">
        <v>29</v>
      </c>
      <c r="B33" s="4" t="s">
        <v>62</v>
      </c>
      <c r="C33" s="4" t="s">
        <v>94</v>
      </c>
      <c r="D33" s="4" t="s">
        <v>127</v>
      </c>
      <c r="E33" s="4"/>
    </row>
    <row r="34" customFormat="false" ht="51" hidden="false" customHeight="true" outlineLevel="0" collapsed="false">
      <c r="A34" s="7" t="s">
        <v>29</v>
      </c>
      <c r="B34" s="7" t="s">
        <v>62</v>
      </c>
      <c r="C34" s="7" t="s">
        <v>96</v>
      </c>
      <c r="D34" s="7" t="s">
        <v>128</v>
      </c>
      <c r="E34" s="7"/>
    </row>
    <row r="35" customFormat="false" ht="51" hidden="false" customHeight="true" outlineLevel="0" collapsed="false">
      <c r="A35" s="4" t="s">
        <v>30</v>
      </c>
      <c r="B35" s="4" t="s">
        <v>60</v>
      </c>
      <c r="C35" s="4" t="s">
        <v>86</v>
      </c>
      <c r="D35" s="4" t="s">
        <v>129</v>
      </c>
      <c r="E35" s="4" t="s">
        <v>130</v>
      </c>
    </row>
    <row r="36" customFormat="false" ht="51" hidden="false" customHeight="true" outlineLevel="0" collapsed="false">
      <c r="A36" s="7" t="s">
        <v>30</v>
      </c>
      <c r="B36" s="7" t="s">
        <v>60</v>
      </c>
      <c r="C36" s="7" t="s">
        <v>89</v>
      </c>
      <c r="D36" s="7" t="s">
        <v>131</v>
      </c>
      <c r="E36" s="7"/>
    </row>
    <row r="37" customFormat="false" ht="51" hidden="false" customHeight="true" outlineLevel="0" collapsed="false">
      <c r="A37" s="4" t="s">
        <v>30</v>
      </c>
      <c r="B37" s="4" t="s">
        <v>61</v>
      </c>
      <c r="C37" s="4" t="s">
        <v>86</v>
      </c>
      <c r="D37" s="4" t="s">
        <v>132</v>
      </c>
      <c r="E37" s="4" t="s">
        <v>133</v>
      </c>
    </row>
    <row r="38" customFormat="false" ht="51" hidden="false" customHeight="true" outlineLevel="0" collapsed="false">
      <c r="A38" s="7" t="s">
        <v>30</v>
      </c>
      <c r="B38" s="7" t="s">
        <v>61</v>
      </c>
      <c r="C38" s="7" t="s">
        <v>89</v>
      </c>
      <c r="D38" s="7" t="s">
        <v>134</v>
      </c>
      <c r="E38" s="7"/>
    </row>
    <row r="39" customFormat="false" ht="51" hidden="false" customHeight="true" outlineLevel="0" collapsed="false">
      <c r="A39" s="4" t="s">
        <v>30</v>
      </c>
      <c r="B39" s="4" t="s">
        <v>61</v>
      </c>
      <c r="C39" s="4" t="s">
        <v>94</v>
      </c>
      <c r="D39" s="4" t="s">
        <v>135</v>
      </c>
      <c r="E39" s="4"/>
    </row>
    <row r="40" customFormat="false" ht="51" hidden="false" customHeight="true" outlineLevel="0" collapsed="false">
      <c r="A40" s="7" t="s">
        <v>30</v>
      </c>
      <c r="B40" s="7" t="s">
        <v>61</v>
      </c>
      <c r="C40" s="7" t="s">
        <v>96</v>
      </c>
      <c r="D40" s="7" t="s">
        <v>136</v>
      </c>
      <c r="E40" s="7"/>
    </row>
    <row r="41" customFormat="false" ht="51" hidden="false" customHeight="true" outlineLevel="0" collapsed="false">
      <c r="A41" s="4" t="s">
        <v>30</v>
      </c>
      <c r="B41" s="4" t="s">
        <v>62</v>
      </c>
      <c r="C41" s="4" t="s">
        <v>86</v>
      </c>
      <c r="D41" s="4" t="s">
        <v>137</v>
      </c>
      <c r="E41" s="4" t="s">
        <v>138</v>
      </c>
    </row>
    <row r="42" customFormat="false" ht="51" hidden="false" customHeight="true" outlineLevel="0" collapsed="false">
      <c r="A42" s="7" t="s">
        <v>30</v>
      </c>
      <c r="B42" s="7" t="s">
        <v>62</v>
      </c>
      <c r="C42" s="7" t="s">
        <v>89</v>
      </c>
      <c r="D42" s="7" t="s">
        <v>139</v>
      </c>
      <c r="E42" s="7"/>
    </row>
    <row r="43" customFormat="false" ht="51" hidden="false" customHeight="true" outlineLevel="0" collapsed="false">
      <c r="A43" s="4" t="s">
        <v>30</v>
      </c>
      <c r="B43" s="4" t="s">
        <v>62</v>
      </c>
      <c r="C43" s="4" t="s">
        <v>94</v>
      </c>
      <c r="D43" s="4" t="s">
        <v>140</v>
      </c>
      <c r="E43" s="4"/>
    </row>
    <row r="44" customFormat="false" ht="51" hidden="false" customHeight="true" outlineLevel="0" collapsed="false">
      <c r="A44" s="7" t="s">
        <v>30</v>
      </c>
      <c r="B44" s="7" t="s">
        <v>62</v>
      </c>
      <c r="C44" s="7" t="s">
        <v>96</v>
      </c>
      <c r="D44" s="7" t="s">
        <v>141</v>
      </c>
      <c r="E44" s="7"/>
    </row>
    <row r="45" customFormat="false" ht="51" hidden="false" customHeight="true" outlineLevel="0" collapsed="false">
      <c r="A45" s="4" t="s">
        <v>31</v>
      </c>
      <c r="B45" s="4" t="s">
        <v>60</v>
      </c>
      <c r="C45" s="4" t="s">
        <v>86</v>
      </c>
      <c r="D45" s="4" t="s">
        <v>142</v>
      </c>
      <c r="E45" s="4" t="s">
        <v>143</v>
      </c>
    </row>
    <row r="46" customFormat="false" ht="51" hidden="false" customHeight="true" outlineLevel="0" collapsed="false">
      <c r="A46" s="7" t="s">
        <v>31</v>
      </c>
      <c r="B46" s="7" t="s">
        <v>60</v>
      </c>
      <c r="C46" s="7" t="s">
        <v>89</v>
      </c>
      <c r="D46" s="7" t="s">
        <v>144</v>
      </c>
      <c r="E46" s="7"/>
    </row>
    <row r="47" customFormat="false" ht="51" hidden="false" customHeight="true" outlineLevel="0" collapsed="false">
      <c r="A47" s="4" t="s">
        <v>31</v>
      </c>
      <c r="B47" s="4" t="s">
        <v>61</v>
      </c>
      <c r="C47" s="4" t="s">
        <v>86</v>
      </c>
      <c r="D47" s="4" t="s">
        <v>145</v>
      </c>
      <c r="E47" s="4" t="s">
        <v>146</v>
      </c>
    </row>
    <row r="48" customFormat="false" ht="51" hidden="false" customHeight="true" outlineLevel="0" collapsed="false">
      <c r="A48" s="7" t="s">
        <v>31</v>
      </c>
      <c r="B48" s="7" t="s">
        <v>61</v>
      </c>
      <c r="C48" s="7" t="s">
        <v>89</v>
      </c>
      <c r="D48" s="7" t="s">
        <v>147</v>
      </c>
      <c r="E48" s="7"/>
    </row>
    <row r="49" customFormat="false" ht="51" hidden="false" customHeight="true" outlineLevel="0" collapsed="false">
      <c r="A49" s="4" t="s">
        <v>31</v>
      </c>
      <c r="B49" s="4" t="s">
        <v>61</v>
      </c>
      <c r="C49" s="4" t="s">
        <v>94</v>
      </c>
      <c r="D49" s="4" t="s">
        <v>148</v>
      </c>
      <c r="E49" s="4"/>
    </row>
    <row r="50" customFormat="false" ht="51" hidden="false" customHeight="true" outlineLevel="0" collapsed="false">
      <c r="A50" s="7" t="s">
        <v>31</v>
      </c>
      <c r="B50" s="7" t="s">
        <v>61</v>
      </c>
      <c r="C50" s="7" t="s">
        <v>96</v>
      </c>
      <c r="D50" s="7" t="s">
        <v>149</v>
      </c>
      <c r="E50" s="7"/>
    </row>
    <row r="51" customFormat="false" ht="51" hidden="false" customHeight="true" outlineLevel="0" collapsed="false">
      <c r="A51" s="4" t="s">
        <v>31</v>
      </c>
      <c r="B51" s="4" t="s">
        <v>62</v>
      </c>
      <c r="C51" s="4" t="s">
        <v>86</v>
      </c>
      <c r="D51" s="4" t="s">
        <v>150</v>
      </c>
      <c r="E51" s="4" t="s">
        <v>151</v>
      </c>
    </row>
    <row r="52" customFormat="false" ht="51" hidden="false" customHeight="true" outlineLevel="0" collapsed="false">
      <c r="A52" s="7" t="s">
        <v>31</v>
      </c>
      <c r="B52" s="7" t="s">
        <v>62</v>
      </c>
      <c r="C52" s="7" t="s">
        <v>89</v>
      </c>
      <c r="D52" s="7" t="s">
        <v>152</v>
      </c>
      <c r="E52" s="7"/>
    </row>
    <row r="53" customFormat="false" ht="51" hidden="false" customHeight="true" outlineLevel="0" collapsed="false">
      <c r="A53" s="4" t="s">
        <v>31</v>
      </c>
      <c r="B53" s="4" t="s">
        <v>62</v>
      </c>
      <c r="C53" s="4" t="s">
        <v>94</v>
      </c>
      <c r="D53" s="4" t="s">
        <v>153</v>
      </c>
      <c r="E53" s="4"/>
    </row>
    <row r="54" customFormat="false" ht="51" hidden="false" customHeight="true" outlineLevel="0" collapsed="false">
      <c r="A54" s="7" t="s">
        <v>31</v>
      </c>
      <c r="B54" s="7" t="s">
        <v>62</v>
      </c>
      <c r="C54" s="7" t="s">
        <v>96</v>
      </c>
      <c r="D54" s="7" t="s">
        <v>154</v>
      </c>
      <c r="E54" s="7"/>
    </row>
    <row r="55" customFormat="false" ht="51" hidden="false" customHeight="true" outlineLevel="0" collapsed="false">
      <c r="A55" s="4" t="s">
        <v>32</v>
      </c>
      <c r="B55" s="4" t="s">
        <v>60</v>
      </c>
      <c r="C55" s="4" t="s">
        <v>86</v>
      </c>
      <c r="D55" s="4" t="s">
        <v>155</v>
      </c>
      <c r="E55" s="4" t="s">
        <v>156</v>
      </c>
    </row>
    <row r="56" customFormat="false" ht="51" hidden="false" customHeight="true" outlineLevel="0" collapsed="false">
      <c r="A56" s="7" t="s">
        <v>32</v>
      </c>
      <c r="B56" s="7" t="s">
        <v>60</v>
      </c>
      <c r="C56" s="7" t="s">
        <v>89</v>
      </c>
      <c r="D56" s="7" t="s">
        <v>157</v>
      </c>
      <c r="E56" s="7"/>
    </row>
    <row r="57" customFormat="false" ht="51" hidden="false" customHeight="true" outlineLevel="0" collapsed="false">
      <c r="A57" s="4" t="s">
        <v>32</v>
      </c>
      <c r="B57" s="4" t="s">
        <v>61</v>
      </c>
      <c r="C57" s="4" t="s">
        <v>86</v>
      </c>
      <c r="D57" s="4" t="s">
        <v>158</v>
      </c>
      <c r="E57" s="4" t="s">
        <v>159</v>
      </c>
    </row>
    <row r="58" customFormat="false" ht="51" hidden="false" customHeight="true" outlineLevel="0" collapsed="false">
      <c r="A58" s="7" t="s">
        <v>32</v>
      </c>
      <c r="B58" s="7" t="s">
        <v>61</v>
      </c>
      <c r="C58" s="7" t="s">
        <v>89</v>
      </c>
      <c r="D58" s="7" t="s">
        <v>160</v>
      </c>
      <c r="E58" s="7"/>
    </row>
    <row r="59" customFormat="false" ht="51" hidden="false" customHeight="true" outlineLevel="0" collapsed="false">
      <c r="A59" s="4" t="s">
        <v>32</v>
      </c>
      <c r="B59" s="4" t="s">
        <v>61</v>
      </c>
      <c r="C59" s="4" t="s">
        <v>94</v>
      </c>
      <c r="D59" s="4" t="s">
        <v>161</v>
      </c>
      <c r="E59" s="4"/>
    </row>
    <row r="60" customFormat="false" ht="51" hidden="false" customHeight="true" outlineLevel="0" collapsed="false">
      <c r="A60" s="7" t="s">
        <v>32</v>
      </c>
      <c r="B60" s="7" t="s">
        <v>61</v>
      </c>
      <c r="C60" s="7" t="s">
        <v>96</v>
      </c>
      <c r="D60" s="7" t="s">
        <v>162</v>
      </c>
      <c r="E60" s="7"/>
    </row>
    <row r="61" customFormat="false" ht="51" hidden="false" customHeight="true" outlineLevel="0" collapsed="false">
      <c r="A61" s="4" t="s">
        <v>32</v>
      </c>
      <c r="B61" s="4" t="s">
        <v>62</v>
      </c>
      <c r="C61" s="4" t="s">
        <v>86</v>
      </c>
      <c r="D61" s="4" t="s">
        <v>163</v>
      </c>
      <c r="E61" s="4" t="s">
        <v>164</v>
      </c>
    </row>
    <row r="62" customFormat="false" ht="51" hidden="false" customHeight="true" outlineLevel="0" collapsed="false">
      <c r="A62" s="7" t="s">
        <v>32</v>
      </c>
      <c r="B62" s="7" t="s">
        <v>62</v>
      </c>
      <c r="C62" s="7" t="s">
        <v>89</v>
      </c>
      <c r="D62" s="7" t="s">
        <v>165</v>
      </c>
      <c r="E62" s="7"/>
    </row>
    <row r="63" customFormat="false" ht="51" hidden="false" customHeight="true" outlineLevel="0" collapsed="false">
      <c r="A63" s="4" t="s">
        <v>32</v>
      </c>
      <c r="B63" s="4" t="s">
        <v>62</v>
      </c>
      <c r="C63" s="4" t="s">
        <v>94</v>
      </c>
      <c r="D63" s="4" t="s">
        <v>166</v>
      </c>
      <c r="E63" s="4"/>
    </row>
    <row r="64" customFormat="false" ht="51" hidden="false" customHeight="true" outlineLevel="0" collapsed="false">
      <c r="A64" s="7" t="s">
        <v>32</v>
      </c>
      <c r="B64" s="7" t="s">
        <v>62</v>
      </c>
      <c r="C64" s="7" t="s">
        <v>96</v>
      </c>
      <c r="D64" s="7" t="s">
        <v>167</v>
      </c>
      <c r="E64" s="7"/>
    </row>
    <row r="65" customFormat="false" ht="51" hidden="false" customHeight="true" outlineLevel="0" collapsed="false">
      <c r="A65" s="4" t="s">
        <v>33</v>
      </c>
      <c r="B65" s="4" t="s">
        <v>60</v>
      </c>
      <c r="C65" s="4" t="s">
        <v>86</v>
      </c>
      <c r="D65" s="4" t="s">
        <v>168</v>
      </c>
      <c r="E65" s="4" t="s">
        <v>169</v>
      </c>
    </row>
    <row r="66" customFormat="false" ht="51" hidden="false" customHeight="true" outlineLevel="0" collapsed="false">
      <c r="A66" s="7" t="s">
        <v>33</v>
      </c>
      <c r="B66" s="7" t="s">
        <v>60</v>
      </c>
      <c r="C66" s="7" t="s">
        <v>89</v>
      </c>
      <c r="D66" s="7" t="s">
        <v>170</v>
      </c>
      <c r="E66" s="7"/>
    </row>
    <row r="67" customFormat="false" ht="51" hidden="false" customHeight="true" outlineLevel="0" collapsed="false">
      <c r="A67" s="4" t="s">
        <v>33</v>
      </c>
      <c r="B67" s="4" t="s">
        <v>61</v>
      </c>
      <c r="C67" s="4" t="s">
        <v>86</v>
      </c>
      <c r="D67" s="4" t="s">
        <v>171</v>
      </c>
      <c r="E67" s="4" t="s">
        <v>172</v>
      </c>
    </row>
    <row r="68" customFormat="false" ht="51" hidden="false" customHeight="true" outlineLevel="0" collapsed="false">
      <c r="A68" s="7" t="s">
        <v>33</v>
      </c>
      <c r="B68" s="7" t="s">
        <v>61</v>
      </c>
      <c r="C68" s="7" t="s">
        <v>89</v>
      </c>
      <c r="D68" s="7" t="s">
        <v>173</v>
      </c>
      <c r="E68" s="7"/>
    </row>
    <row r="69" customFormat="false" ht="51" hidden="false" customHeight="true" outlineLevel="0" collapsed="false">
      <c r="A69" s="4" t="s">
        <v>33</v>
      </c>
      <c r="B69" s="4" t="s">
        <v>61</v>
      </c>
      <c r="C69" s="4" t="s">
        <v>94</v>
      </c>
      <c r="D69" s="4" t="s">
        <v>174</v>
      </c>
      <c r="E69" s="4"/>
    </row>
    <row r="70" customFormat="false" ht="51" hidden="false" customHeight="true" outlineLevel="0" collapsed="false">
      <c r="A70" s="7" t="s">
        <v>33</v>
      </c>
      <c r="B70" s="7" t="s">
        <v>61</v>
      </c>
      <c r="C70" s="7" t="s">
        <v>96</v>
      </c>
      <c r="D70" s="7" t="s">
        <v>175</v>
      </c>
      <c r="E70" s="7"/>
    </row>
    <row r="71" customFormat="false" ht="51" hidden="false" customHeight="true" outlineLevel="0" collapsed="false">
      <c r="A71" s="4" t="s">
        <v>33</v>
      </c>
      <c r="B71" s="4" t="s">
        <v>62</v>
      </c>
      <c r="C71" s="4" t="s">
        <v>86</v>
      </c>
      <c r="D71" s="4" t="s">
        <v>176</v>
      </c>
      <c r="E71" s="4" t="s">
        <v>177</v>
      </c>
    </row>
    <row r="72" customFormat="false" ht="51" hidden="false" customHeight="true" outlineLevel="0" collapsed="false">
      <c r="A72" s="7" t="s">
        <v>33</v>
      </c>
      <c r="B72" s="7" t="s">
        <v>62</v>
      </c>
      <c r="C72" s="7" t="s">
        <v>89</v>
      </c>
      <c r="D72" s="7" t="s">
        <v>178</v>
      </c>
      <c r="E72" s="7"/>
    </row>
    <row r="73" customFormat="false" ht="51" hidden="false" customHeight="true" outlineLevel="0" collapsed="false">
      <c r="A73" s="4" t="s">
        <v>33</v>
      </c>
      <c r="B73" s="4" t="s">
        <v>62</v>
      </c>
      <c r="C73" s="4" t="s">
        <v>94</v>
      </c>
      <c r="D73" s="4" t="s">
        <v>179</v>
      </c>
      <c r="E73" s="4"/>
    </row>
    <row r="74" customFormat="false" ht="51" hidden="false" customHeight="true" outlineLevel="0" collapsed="false">
      <c r="A74" s="7" t="s">
        <v>33</v>
      </c>
      <c r="B74" s="7" t="s">
        <v>62</v>
      </c>
      <c r="C74" s="7" t="s">
        <v>96</v>
      </c>
      <c r="D74" s="7" t="s">
        <v>180</v>
      </c>
      <c r="E74" s="7"/>
    </row>
    <row r="75" customFormat="false" ht="51" hidden="false" customHeight="true" outlineLevel="0" collapsed="false">
      <c r="A75" s="4" t="s">
        <v>34</v>
      </c>
      <c r="B75" s="4" t="s">
        <v>60</v>
      </c>
      <c r="C75" s="4" t="s">
        <v>86</v>
      </c>
      <c r="D75" s="4" t="s">
        <v>181</v>
      </c>
      <c r="E75" s="4" t="s">
        <v>182</v>
      </c>
    </row>
    <row r="76" customFormat="false" ht="51" hidden="false" customHeight="true" outlineLevel="0" collapsed="false">
      <c r="A76" s="7" t="s">
        <v>34</v>
      </c>
      <c r="B76" s="7" t="s">
        <v>60</v>
      </c>
      <c r="C76" s="7" t="s">
        <v>89</v>
      </c>
      <c r="D76" s="7" t="s">
        <v>183</v>
      </c>
      <c r="E76" s="7"/>
    </row>
    <row r="77" customFormat="false" ht="51" hidden="false" customHeight="true" outlineLevel="0" collapsed="false">
      <c r="A77" s="4" t="s">
        <v>34</v>
      </c>
      <c r="B77" s="4" t="s">
        <v>61</v>
      </c>
      <c r="C77" s="4" t="s">
        <v>86</v>
      </c>
      <c r="D77" s="4" t="s">
        <v>184</v>
      </c>
      <c r="E77" s="4" t="s">
        <v>185</v>
      </c>
    </row>
    <row r="78" customFormat="false" ht="51" hidden="false" customHeight="true" outlineLevel="0" collapsed="false">
      <c r="A78" s="7" t="s">
        <v>34</v>
      </c>
      <c r="B78" s="7" t="s">
        <v>61</v>
      </c>
      <c r="C78" s="7" t="s">
        <v>89</v>
      </c>
      <c r="D78" s="7" t="s">
        <v>186</v>
      </c>
      <c r="E78" s="7"/>
    </row>
    <row r="79" customFormat="false" ht="51" hidden="false" customHeight="true" outlineLevel="0" collapsed="false">
      <c r="A79" s="4" t="s">
        <v>34</v>
      </c>
      <c r="B79" s="4" t="s">
        <v>61</v>
      </c>
      <c r="C79" s="4" t="s">
        <v>94</v>
      </c>
      <c r="D79" s="4" t="s">
        <v>187</v>
      </c>
      <c r="E79" s="4"/>
    </row>
    <row r="80" customFormat="false" ht="51" hidden="false" customHeight="true" outlineLevel="0" collapsed="false">
      <c r="A80" s="7" t="s">
        <v>34</v>
      </c>
      <c r="B80" s="7" t="s">
        <v>61</v>
      </c>
      <c r="C80" s="7" t="s">
        <v>96</v>
      </c>
      <c r="D80" s="7" t="s">
        <v>188</v>
      </c>
      <c r="E80" s="7"/>
    </row>
    <row r="81" customFormat="false" ht="51" hidden="false" customHeight="true" outlineLevel="0" collapsed="false">
      <c r="A81" s="4" t="s">
        <v>34</v>
      </c>
      <c r="B81" s="4" t="s">
        <v>62</v>
      </c>
      <c r="C81" s="4" t="s">
        <v>86</v>
      </c>
      <c r="D81" s="4" t="s">
        <v>189</v>
      </c>
      <c r="E81" s="4" t="s">
        <v>190</v>
      </c>
    </row>
    <row r="82" customFormat="false" ht="51" hidden="false" customHeight="true" outlineLevel="0" collapsed="false">
      <c r="A82" s="7" t="s">
        <v>34</v>
      </c>
      <c r="B82" s="7" t="s">
        <v>62</v>
      </c>
      <c r="C82" s="7" t="s">
        <v>89</v>
      </c>
      <c r="D82" s="7" t="s">
        <v>191</v>
      </c>
      <c r="E82" s="7"/>
    </row>
    <row r="83" customFormat="false" ht="51" hidden="false" customHeight="true" outlineLevel="0" collapsed="false">
      <c r="A83" s="4" t="s">
        <v>34</v>
      </c>
      <c r="B83" s="4" t="s">
        <v>62</v>
      </c>
      <c r="C83" s="4" t="s">
        <v>94</v>
      </c>
      <c r="D83" s="4" t="s">
        <v>192</v>
      </c>
      <c r="E83" s="4"/>
    </row>
    <row r="84" customFormat="false" ht="51" hidden="false" customHeight="true" outlineLevel="0" collapsed="false">
      <c r="A84" s="7" t="s">
        <v>34</v>
      </c>
      <c r="B84" s="7" t="s">
        <v>62</v>
      </c>
      <c r="C84" s="7" t="s">
        <v>96</v>
      </c>
      <c r="D84" s="7" t="s">
        <v>193</v>
      </c>
      <c r="E84" s="7"/>
    </row>
  </sheetData>
  <autoFilter ref="A4:E84"/>
  <printOptions headings="false" gridLines="false" gridLinesSet="true" horizontalCentered="tru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5"/>
  </cols>
  <sheetData>
    <row r="1" customFormat="false" ht="27" hidden="false" customHeight="true" outlineLevel="0" collapsed="false">
      <c r="A1" s="1" t="s">
        <v>194</v>
      </c>
    </row>
    <row r="2" customFormat="false" ht="22.5" hidden="false" customHeight="true" outlineLevel="0" collapsed="false">
      <c r="A2" s="2" t="s">
        <v>195</v>
      </c>
    </row>
    <row r="4" customFormat="false" ht="37.5" hidden="false" customHeight="true" outlineLevel="0" collapsed="false">
      <c r="A4" s="3" t="s">
        <v>196</v>
      </c>
      <c r="B4" s="3" t="s">
        <v>197</v>
      </c>
    </row>
    <row r="5" customFormat="false" ht="60" hidden="false" customHeight="true" outlineLevel="0" collapsed="false">
      <c r="A5" s="4" t="s">
        <v>198</v>
      </c>
      <c r="B5" s="4" t="s">
        <v>199</v>
      </c>
    </row>
    <row r="6" customFormat="false" ht="60" hidden="false" customHeight="true" outlineLevel="0" collapsed="false">
      <c r="A6" s="7" t="s">
        <v>200</v>
      </c>
      <c r="B6" s="7" t="s">
        <v>201</v>
      </c>
    </row>
    <row r="7" customFormat="false" ht="60" hidden="false" customHeight="true" outlineLevel="0" collapsed="false">
      <c r="A7" s="4" t="s">
        <v>202</v>
      </c>
      <c r="B7" s="4" t="s">
        <v>203</v>
      </c>
    </row>
    <row r="8" customFormat="false" ht="60" hidden="false" customHeight="true" outlineLevel="0" collapsed="false">
      <c r="A8" s="7" t="s">
        <v>204</v>
      </c>
      <c r="B8" s="7" t="s">
        <v>205</v>
      </c>
    </row>
    <row r="9" customFormat="false" ht="60" hidden="false" customHeight="true" outlineLevel="0" collapsed="false">
      <c r="A9" s="4" t="s">
        <v>206</v>
      </c>
      <c r="B9" s="4" t="s">
        <v>207</v>
      </c>
    </row>
    <row r="10" customFormat="false" ht="60" hidden="false" customHeight="true" outlineLevel="0" collapsed="false">
      <c r="A10" s="7" t="s">
        <v>208</v>
      </c>
      <c r="B10" s="7" t="s">
        <v>209</v>
      </c>
    </row>
    <row r="11" customFormat="false" ht="60" hidden="false" customHeight="true" outlineLevel="0" collapsed="false">
      <c r="A11" s="4" t="s">
        <v>210</v>
      </c>
      <c r="B11" s="4" t="s">
        <v>211</v>
      </c>
    </row>
    <row r="12" customFormat="false" ht="60" hidden="false" customHeight="true" outlineLevel="0" collapsed="false">
      <c r="A12" s="7" t="s">
        <v>96</v>
      </c>
      <c r="B12" s="7" t="s">
        <v>212</v>
      </c>
    </row>
    <row r="13" customFormat="false" ht="60" hidden="false" customHeight="true" outlineLevel="0" collapsed="false">
      <c r="A13" s="4" t="s">
        <v>213</v>
      </c>
      <c r="B13" s="4" t="s">
        <v>214</v>
      </c>
    </row>
    <row r="14" customFormat="false" ht="60" hidden="false" customHeight="true" outlineLevel="0" collapsed="false">
      <c r="A14" s="7" t="s">
        <v>215</v>
      </c>
      <c r="B14" s="7" t="s">
        <v>216</v>
      </c>
    </row>
    <row r="15" customFormat="false" ht="60" hidden="false" customHeight="true" outlineLevel="0" collapsed="false">
      <c r="A15" s="4" t="s">
        <v>217</v>
      </c>
      <c r="B15" s="4" t="s">
        <v>218</v>
      </c>
    </row>
    <row r="16" customFormat="false" ht="60" hidden="false" customHeight="true" outlineLevel="0" collapsed="false">
      <c r="A16" s="7" t="s">
        <v>219</v>
      </c>
      <c r="B16" s="7" t="s">
        <v>220</v>
      </c>
    </row>
    <row r="17" customFormat="false" ht="60" hidden="false" customHeight="true" outlineLevel="0" collapsed="false">
      <c r="A17" s="4" t="s">
        <v>221</v>
      </c>
      <c r="B17" s="4" t="s">
        <v>222</v>
      </c>
    </row>
    <row r="18" customFormat="false" ht="60" hidden="false" customHeight="true" outlineLevel="0" collapsed="false">
      <c r="A18" s="7" t="s">
        <v>223</v>
      </c>
      <c r="B18" s="7" t="s">
        <v>224</v>
      </c>
    </row>
    <row r="19" customFormat="false" ht="60" hidden="false" customHeight="true" outlineLevel="0" collapsed="false">
      <c r="A19" s="4" t="s">
        <v>225</v>
      </c>
      <c r="B19" s="4" t="s">
        <v>226</v>
      </c>
    </row>
    <row r="20" customFormat="false" ht="60" hidden="false" customHeight="true" outlineLevel="0" collapsed="false">
      <c r="A20" s="7" t="s">
        <v>227</v>
      </c>
      <c r="B20" s="7" t="s">
        <v>228</v>
      </c>
    </row>
    <row r="21" customFormat="false" ht="60" hidden="false" customHeight="true" outlineLevel="0" collapsed="false">
      <c r="A21" s="4" t="s">
        <v>229</v>
      </c>
      <c r="B21" s="4" t="s">
        <v>230</v>
      </c>
    </row>
    <row r="22" customFormat="false" ht="60" hidden="false" customHeight="true" outlineLevel="0" collapsed="false">
      <c r="A22" s="7" t="s">
        <v>231</v>
      </c>
      <c r="B22" s="7" t="s">
        <v>232</v>
      </c>
    </row>
    <row r="23" customFormat="false" ht="60" hidden="false" customHeight="true" outlineLevel="0" collapsed="false">
      <c r="A23" s="4" t="s">
        <v>233</v>
      </c>
      <c r="B23" s="4" t="s">
        <v>234</v>
      </c>
    </row>
    <row r="24" customFormat="false" ht="60" hidden="false" customHeight="true" outlineLevel="0" collapsed="false">
      <c r="A24" s="7" t="s">
        <v>235</v>
      </c>
      <c r="B24" s="7" t="s">
        <v>236</v>
      </c>
    </row>
    <row r="25" customFormat="false" ht="60" hidden="false" customHeight="true" outlineLevel="0" collapsed="false">
      <c r="A25" s="4" t="s">
        <v>237</v>
      </c>
      <c r="B25" s="4" t="s">
        <v>238</v>
      </c>
    </row>
    <row r="26" customFormat="false" ht="60" hidden="false" customHeight="true" outlineLevel="0" collapsed="false">
      <c r="A26" s="7" t="s">
        <v>239</v>
      </c>
      <c r="B26" s="7" t="s">
        <v>240</v>
      </c>
    </row>
  </sheetData>
  <printOptions headings="false" gridLines="false" gridLinesSet="true" horizontalCentered="tru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2026-09-11T05:42:35Z</dcterms:created>
  <dc:creator>openpyxl</dc:creator>
  <dc:description/>
  <dc:language>en-US</dc:language>
  <cp:lastModifiedBy/>
  <dcterms:modified xsi:type="dcterms:W3CDTF">2026-09-11T05:42:36Z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