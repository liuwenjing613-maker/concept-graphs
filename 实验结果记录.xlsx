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1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/comment2.xml" ContentType="application/vnd.openxmlformats-officedocument.spreadsheetml.comments+xml"/>
  <Override PartName="/xl/worksheets/sheet17.xml" ContentType="application/vnd.openxmlformats-officedocument.spreadsheetml.worksheet+xml"/>
  <Override PartName="/xl/comments/comment3.xml" ContentType="application/vnd.openxmlformats-officedocument.spreadsheetml.comment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主结果总览" sheetId="1" state="visible" r:id="rId1"/>
    <sheet xmlns:r="http://schemas.openxmlformats.org/officeDocument/2006/relationships" name="在线门控room0" sheetId="2" state="visible" r:id="rId2"/>
    <sheet xmlns:r="http://schemas.openxmlformats.org/officeDocument/2006/relationships" name="语义8场景" sheetId="3" state="visible" r:id="rId3"/>
    <sheet xmlns:r="http://schemas.openxmlformats.org/officeDocument/2006/relationships" name="对象8场景" sheetId="4" state="visible" r:id="rId4"/>
    <sheet xmlns:r="http://schemas.openxmlformats.org/officeDocument/2006/relationships" name="关系指标" sheetId="5" state="visible" r:id="rId5"/>
    <sheet xmlns:r="http://schemas.openxmlformats.org/officeDocument/2006/relationships" name="ali-my审计" sheetId="6" state="visible" r:id="rId6"/>
    <sheet xmlns:r="http://schemas.openxmlformats.org/officeDocument/2006/relationships" name="ali-my-VLM" sheetId="7" state="visible" r:id="rId7"/>
    <sheet xmlns:r="http://schemas.openxmlformats.org/officeDocument/2006/relationships" name="RevisionKernel" sheetId="8" state="visible" r:id="rId8"/>
    <sheet xmlns:r="http://schemas.openxmlformats.org/officeDocument/2006/relationships" name="论文官方指标" sheetId="9" state="visible" r:id="rId9"/>
    <sheet xmlns:r="http://schemas.openxmlformats.org/officeDocument/2006/relationships" name="其他已完成结果" sheetId="10" state="visible" r:id="rId10"/>
    <sheet xmlns:r="http://schemas.openxmlformats.org/officeDocument/2006/relationships" name="来源与说明" sheetId="11" state="visible" r:id="rId11"/>
    <sheet xmlns:r="http://schemas.openxmlformats.org/officeDocument/2006/relationships" name="三类错误Oracle" sheetId="12" state="visible" r:id="rId12"/>
    <sheet xmlns:r="http://schemas.openxmlformats.org/officeDocument/2006/relationships" name="可修性对比总览" sheetId="13" state="visible" r:id="rId13"/>
    <sheet xmlns:r="http://schemas.openxmlformats.org/officeDocument/2006/relationships" name="可修性对比明细" sheetId="14" state="visible" r:id="rId14"/>
    <sheet xmlns:r="http://schemas.openxmlformats.org/officeDocument/2006/relationships" name="Mask前置顺序总览" sheetId="15" state="visible" r:id="rId15"/>
    <sheet xmlns:r="http://schemas.openxmlformats.org/officeDocument/2006/relationships" name="Mask前置顺序明细" sheetId="16" state="visible" r:id="rId16"/>
    <sheet xmlns:r="http://schemas.openxmlformats.org/officeDocument/2006/relationships" name="OVI-MAP新增指标" sheetId="17" state="visible" r:id="rId17"/>
    <sheet xmlns:r="http://schemas.openxmlformats.org/officeDocument/2006/relationships" name="office2指标对比" sheetId="18" state="visible" r:id="rId18"/>
    <sheet xmlns:r="http://schemas.openxmlformats.org/officeDocument/2006/relationships" name="room1指标对比" sheetId="19" state="visible" r:id="rId19"/>
    <sheet xmlns:r="http://schemas.openxmlformats.org/officeDocument/2006/relationships" name="room2指标对比" sheetId="20" state="visible" r:id="rId20"/>
    <sheet xmlns:r="http://schemas.openxmlformats.org/officeDocument/2006/relationships" name="office0指标对比" sheetId="21" state="visible" r:id="rId21"/>
    <sheet xmlns:r="http://schemas.openxmlformats.org/officeDocument/2006/relationships" name="office1指标对比" sheetId="22" state="visible" r:id="rId22"/>
    <sheet xmlns:r="http://schemas.openxmlformats.org/officeDocument/2006/relationships" name="office3指标对比" sheetId="23" state="visible" r:id="rId23"/>
    <sheet xmlns:r="http://schemas.openxmlformats.org/officeDocument/2006/relationships" name="CLIP冻结读出" sheetId="24" state="visible" r:id="rId24"/>
    <sheet xmlns:r="http://schemas.openxmlformats.org/officeDocument/2006/relationships" name="CLIP关联诊断" sheetId="25" state="visible" r:id="rId25"/>
    <sheet xmlns:r="http://schemas.openxmlformats.org/officeDocument/2006/relationships" name="统一评估office2" sheetId="26" state="visible" r:id="rId26"/>
  </sheets>
  <definedNames>
    <definedName name="_xlnm.Print_Area" localSheetId="1">'在线门控room0'!$A$1:$L$144</definedName>
    <definedName name="_xlnm.Print_Area" localSheetId="23">'CLIP冻结读出'!$A$1:$L$38</definedName>
    <definedName name="_xlnm.Print_Area" localSheetId="24">'CLIP关联诊断'!$A$1:$L$33</definedName>
    <definedName name="_xlnm.Print_Titles" localSheetId="25">'统一评估office2'!$1:$4</definedName>
    <definedName name="_xlnm.Print_Area" localSheetId="25">'统一评估office2'!$A$1:$H$25</definedName>
  </definedNames>
</workbook>
</file>

<file path=xl/styles.xml><?xml version="1.0" encoding="utf-8"?>
<styleSheet xmlns="http://schemas.openxmlformats.org/spreadsheetml/2006/main">
  <numFmts count="11">
    <numFmt numFmtId="164" formatCode="+0.00 &quot;pp&quot;;-0.00 &quot;pp&quot;;0.00 &quot;pp&quot;"/>
    <numFmt numFmtId="165" formatCode="0.0000"/>
    <numFmt numFmtId="166" formatCode="0.0%"/>
    <numFmt numFmtId="167" formatCode="0.0"/>
    <numFmt numFmtId="168" formatCode="0.000"/>
    <numFmt numFmtId="169" formatCode="0.0x"/>
    <numFmt numFmtId="170" formatCode="+0.0000;-0.0000"/>
    <numFmt numFmtId="171" formatCode="0.000000%"/>
    <numFmt numFmtId="172" formatCode="+0.000000;-0.000000;0.000000"/>
    <numFmt numFmtId="173" formatCode="+0.00;-0.00;0.00"/>
    <numFmt numFmtId="174" formatCode="+0.00&quot; pp&quot;;-0.00&quot; pp&quot;;0.00&quot; pp&quot;"/>
  </numFmts>
  <fonts count="49">
    <font>
      <name val="宋体"/>
      <color theme="1"/>
      <sz val="11"/>
    </font>
    <font>
      <name val="宋体"/>
      <sz val="9"/>
    </font>
    <font>
      <name val="宋体"/>
      <color theme="1"/>
      <sz val="11"/>
    </font>
    <font>
      <name val="宋体"/>
      <sz val="9"/>
    </font>
    <font>
      <name val="Microsoft YaHei"/>
      <b val="1"/>
      <color rgb="FFFFFFFF"/>
      <sz val="16"/>
    </font>
    <font>
      <name val="Microsoft YaHei"/>
      <i val="1"/>
      <color rgb="FF1F1F1F"/>
      <sz val="10"/>
    </font>
    <font>
      <name val="Microsoft YaHei"/>
      <b val="1"/>
      <color rgb="FF1F4E78"/>
      <sz val="11"/>
    </font>
    <font>
      <name val="Microsoft YaHei"/>
      <b val="1"/>
      <color rgb="FFFFFFFF"/>
      <sz val="10"/>
    </font>
    <font>
      <name val="Microsoft YaHei"/>
      <color rgb="FF1F1F1F"/>
      <sz val="9"/>
    </font>
    <font>
      <name val="Microsoft YaHei"/>
      <i val="1"/>
      <color rgb="FF1F1F1F"/>
      <sz val="9"/>
    </font>
    <font>
      <name val="Microsoft YaHei"/>
      <color rgb="FF0563C1"/>
      <sz val="9"/>
    </font>
    <font>
      <name val="Microsoft YaHei"/>
      <i val="1"/>
      <sz val="10"/>
    </font>
    <font>
      <name val="Microsoft YaHei"/>
      <sz val="9"/>
    </font>
    <font>
      <name val="Microsoft YaHei"/>
      <i val="1"/>
      <sz val="9"/>
    </font>
    <font>
      <name val="Microsoft YaHei"/>
      <i val="1"/>
      <color rgb="FF222222"/>
      <sz val="10"/>
    </font>
    <font>
      <name val="Microsoft YaHei"/>
      <color rgb="FF222222"/>
      <sz val="9"/>
    </font>
    <font>
      <name val="Microsoft YaHei"/>
      <b val="1"/>
      <color rgb="FF1F4E78"/>
      <sz val="9"/>
    </font>
    <font>
      <name val="Microsoft YaHei"/>
      <b val="1"/>
      <color rgb="FFFFFFFF"/>
      <sz val="9"/>
    </font>
    <font>
      <name val="Microsoft YaHei"/>
      <b val="1"/>
      <color rgb="FF222222"/>
      <sz val="9"/>
    </font>
    <font>
      <name val="Microsoft YaHei"/>
      <color theme="1"/>
      <sz val="11"/>
    </font>
    <font>
      <name val="Microsoft YaHei"/>
      <b val="1"/>
      <color rgb="FFFFFFFF"/>
      <sz val="16"/>
    </font>
    <font>
      <name val="Microsoft YaHei"/>
      <i val="1"/>
      <color rgb="FF7F8C8D"/>
      <sz val="10"/>
    </font>
    <font>
      <name val="Microsoft YaHei"/>
      <b val="1"/>
      <color rgb="FFFFFFFF"/>
      <sz val="11"/>
    </font>
    <font>
      <name val="Microsoft YaHei"/>
      <b val="1"/>
      <color rgb="FFFFFFFF"/>
      <sz val="10"/>
    </font>
    <font>
      <name val="Microsoft YaHei"/>
      <b val="1"/>
      <color rgb="FF1F1F1F"/>
      <sz val="10"/>
    </font>
    <font>
      <name val="Microsoft YaHei"/>
      <color rgb="FF1F1F1F"/>
      <sz val="10"/>
    </font>
    <font>
      <name val="Microsoft YaHei"/>
      <color rgb="FF0563C1"/>
      <sz val="10"/>
    </font>
    <font>
      <name val="Microsoft YaHei"/>
      <b val="1"/>
      <color rgb="FFFFFFFF"/>
      <sz val="15"/>
    </font>
    <font>
      <name val="Microsoft YaHei"/>
      <b val="1"/>
      <color rgb="FFC00000"/>
      <sz val="10"/>
    </font>
    <font>
      <name val="Microsoft YaHei"/>
      <b val="1"/>
      <color rgb="FF0563C1"/>
      <sz val="10"/>
    </font>
    <font>
      <name val="Microsoft YaHei"/>
      <color rgb="FF7F8C8D"/>
      <sz val="10"/>
    </font>
    <font>
      <name val="Microsoft YaHei"/>
      <color rgb="FF0563C1"/>
    </font>
    <font>
      <name val="微软雅黑"/>
      <b val="1"/>
      <color rgb="FF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color rgb="FF000000"/>
      <sz val="10"/>
    </font>
    <font>
      <name val="微软雅黑"/>
      <color rgb="FF000000"/>
      <sz val="10"/>
    </font>
    <font>
      <name val="微软雅黑"/>
      <b val="1"/>
      <color rgb="FFFFFFFF"/>
      <sz val="16"/>
    </font>
    <font>
      <name val="微软雅黑"/>
      <color rgb="FF203040"/>
      <sz val="10"/>
    </font>
    <font>
      <name val="微软雅黑"/>
      <color rgb="FF000000"/>
      <sz val="10"/>
    </font>
    <font>
      <name val="微软雅黑"/>
      <b val="1"/>
      <color rgb="FFFFFFFF"/>
      <sz val="10"/>
    </font>
    <font>
      <name val="微软雅黑"/>
      <color theme="1"/>
      <sz val="10"/>
    </font>
    <font>
      <name val="Noto Sans CJK SC"/>
      <color rgb="00505C6B"/>
      <sz val="10"/>
    </font>
    <font>
      <name val="Noto Sans CJK SC"/>
      <b val="1"/>
      <color rgb="0017324D"/>
      <sz val="17"/>
    </font>
    <font>
      <name val="Noto Sans CJK SC"/>
      <b val="1"/>
      <color rgb="00FFFFFF"/>
      <sz val="10"/>
    </font>
    <font>
      <name val="Noto Sans CJK SC"/>
      <color rgb="00243247"/>
      <sz val="10"/>
    </font>
    <font>
      <name val="Noto Sans CJK SC"/>
      <color rgb="00202B37"/>
      <sz val="11"/>
    </font>
    <font>
      <name val="Noto Sans CJK SC"/>
      <b val="1"/>
      <color rgb="0016324F"/>
      <sz val="18"/>
    </font>
    <font>
      <name val="Noto Sans CJK SC"/>
      <b val="1"/>
      <color rgb="00FFFFFF"/>
      <sz val="11"/>
    </font>
  </fonts>
  <fills count="42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FFFFF"/>
      </patternFill>
    </fill>
    <fill>
      <patternFill patternType="solid">
        <fgColor rgb="FFF7FAFC"/>
      </patternFill>
    </fill>
    <fill>
      <patternFill patternType="solid">
        <fgColor rgb="FFFCE4D6"/>
      </patternFill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4F7F9"/>
      </patternFill>
    </fill>
    <fill>
      <patternFill patternType="solid">
        <fgColor rgb="FF5B9BD5"/>
      </patternFill>
    </fill>
    <fill>
      <patternFill patternType="solid">
        <fgColor rgb="FF17365D"/>
      </patternFill>
    </fill>
    <fill>
      <patternFill patternType="solid">
        <fgColor rgb="FFEEF5FB"/>
      </patternFill>
    </fill>
    <fill>
      <patternFill patternType="solid">
        <fgColor rgb="FF2F75B5"/>
      </patternFill>
    </fill>
    <fill>
      <patternFill patternType="solid">
        <fgColor rgb="FFFCE4D6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4CCCC"/>
      </patternFill>
    </fill>
    <fill>
      <patternFill patternType="solid">
        <fgColor rgb="FFED7D31"/>
      </patternFill>
    </fill>
    <fill>
      <patternFill patternType="solid">
        <fgColor rgb="FFD9E5F2"/>
      </patternFill>
    </fill>
    <fill>
      <patternFill patternType="solid">
        <fgColor rgb="FFF0F5FA"/>
      </patternFill>
    </fill>
    <fill>
      <patternFill patternType="solid">
        <fgColor rgb="FF17365D"/>
      </patternFill>
    </fill>
    <fill>
      <patternFill patternType="solid">
        <fgColor rgb="FFD9E5F2"/>
      </patternFill>
    </fill>
    <fill>
      <patternFill patternType="solid">
        <fgColor rgb="FFF0F5FA"/>
      </patternFill>
    </fill>
    <fill>
      <patternFill patternType="solid">
        <fgColor rgb="FFFFFFFF"/>
      </patternFill>
    </fill>
    <fill>
      <patternFill patternType="solid">
        <fgColor rgb="FF0F243E"/>
      </patternFill>
    </fill>
    <fill>
      <patternFill patternType="solid">
        <fgColor rgb="FFEAF0F6"/>
      </patternFill>
    </fill>
    <fill>
      <patternFill patternType="solid">
        <fgColor rgb="FF17365D"/>
      </patternFill>
    </fill>
    <fill>
      <patternFill patternType="solid">
        <fgColor rgb="FFD9E5F2"/>
      </patternFill>
    </fill>
    <fill>
      <patternFill patternType="solid">
        <fgColor rgb="FFF0F5FA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0017324D"/>
      </patternFill>
    </fill>
    <fill>
      <patternFill patternType="solid">
        <fgColor rgb="00F1F4F8"/>
      </patternFill>
    </fill>
    <fill>
      <patternFill patternType="solid">
        <fgColor rgb="00F2F4F7"/>
      </patternFill>
    </fill>
    <fill>
      <patternFill patternType="solid">
        <fgColor rgb="0016324F"/>
      </patternFill>
    </fill>
  </fills>
  <borders count="13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bottom style="medium">
        <color rgb="FF2F75B5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numFmtId="0" fontId="2" fillId="0" borderId="0" applyAlignment="1">
      <alignment vertical="center"/>
    </xf>
  </cellStyleXfs>
  <cellXfs count="32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10" fontId="8" fillId="6" borderId="1" applyAlignment="1" pivotButton="0" quotePrefix="0" xfId="0">
      <alignment horizontal="center" vertical="center" wrapText="1"/>
    </xf>
    <xf numFmtId="164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10" fontId="8" fillId="7" borderId="1" applyAlignment="1" pivotButton="0" quotePrefix="0" xfId="0">
      <alignment horizontal="center" vertical="center" wrapText="1"/>
    </xf>
    <xf numFmtId="164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top" wrapText="1"/>
    </xf>
    <xf numFmtId="3" fontId="8" fillId="6" borderId="1" applyAlignment="1" pivotButton="0" quotePrefix="0" xfId="0">
      <alignment horizontal="center" vertical="center" wrapText="1"/>
    </xf>
    <xf numFmtId="3" fontId="8" fillId="7" borderId="1" applyAlignment="1" pivotButton="0" quotePrefix="0" xfId="0">
      <alignment horizontal="center" vertical="center" wrapText="1"/>
    </xf>
    <xf numFmtId="165" fontId="8" fillId="6" borderId="1" applyAlignment="1" pivotButton="0" quotePrefix="0" xfId="0">
      <alignment horizontal="center" vertical="center" wrapText="1"/>
    </xf>
    <xf numFmtId="165" fontId="8" fillId="7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vertical="center" wrapText="1"/>
    </xf>
    <xf numFmtId="0" fontId="6" fillId="4" borderId="1" applyAlignment="1" pivotButton="0" quotePrefix="0" xfId="0">
      <alignment vertical="center"/>
    </xf>
    <xf numFmtId="0" fontId="12" fillId="6" borderId="1" applyAlignment="1" pivotButton="0" quotePrefix="0" xfId="0">
      <alignment horizontal="left" vertical="center" wrapText="1"/>
    </xf>
    <xf numFmtId="10" fontId="12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10" fontId="12" fillId="7" borderId="1" applyAlignment="1" pivotButton="0" quotePrefix="0" xfId="0">
      <alignment horizontal="center" vertical="center" wrapText="1"/>
    </xf>
    <xf numFmtId="3" fontId="12" fillId="6" borderId="1" applyAlignment="1" pivotButton="0" quotePrefix="0" xfId="0">
      <alignment horizontal="center" vertical="center" wrapText="1"/>
    </xf>
    <xf numFmtId="165" fontId="12" fillId="6" borderId="1" applyAlignment="1" pivotButton="0" quotePrefix="0" xfId="0">
      <alignment horizontal="center" vertical="center" wrapText="1"/>
    </xf>
    <xf numFmtId="3" fontId="12" fillId="7" borderId="1" applyAlignment="1" pivotButton="0" quotePrefix="0" xfId="0">
      <alignment horizontal="center" vertical="center" wrapText="1"/>
    </xf>
    <xf numFmtId="165" fontId="12" fillId="7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vertical="top" wrapText="1"/>
    </xf>
    <xf numFmtId="0" fontId="12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0" fillId="9" borderId="0" applyAlignment="1" pivotButton="0" quotePrefix="0" xfId="0">
      <alignment vertical="center"/>
    </xf>
    <xf numFmtId="0" fontId="4" fillId="9" borderId="0" applyAlignment="1" pivotButton="0" quotePrefix="0" xfId="0">
      <alignment vertical="center"/>
    </xf>
    <xf numFmtId="0" fontId="4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vertical="center"/>
    </xf>
    <xf numFmtId="0" fontId="14" fillId="10" borderId="0" applyAlignment="1" pivotButton="0" quotePrefix="0" xfId="0">
      <alignment vertical="center"/>
    </xf>
    <xf numFmtId="0" fontId="14" fillId="10" borderId="0" applyAlignment="1" pivotButton="0" quotePrefix="0" xfId="0">
      <alignment vertical="center" wrapText="1"/>
    </xf>
    <xf numFmtId="0" fontId="0" fillId="11" borderId="0" applyAlignment="1" pivotButton="0" quotePrefix="0" xfId="0">
      <alignment vertical="center"/>
    </xf>
    <xf numFmtId="0" fontId="6" fillId="11" borderId="0" applyAlignment="1" pivotButton="0" quotePrefix="0" xfId="0">
      <alignment vertical="center"/>
    </xf>
    <xf numFmtId="0" fontId="0" fillId="12" borderId="0" applyAlignment="1" pivotButton="0" quotePrefix="0" xfId="0">
      <alignment vertical="center"/>
    </xf>
    <xf numFmtId="0" fontId="15" fillId="12" borderId="0" applyAlignment="1" pivotButton="0" quotePrefix="0" xfId="0">
      <alignment vertical="center"/>
    </xf>
    <xf numFmtId="0" fontId="15" fillId="12" borderId="6" applyAlignment="1" pivotButton="0" quotePrefix="0" xfId="0">
      <alignment vertical="center"/>
    </xf>
    <xf numFmtId="0" fontId="15" fillId="12" borderId="6" applyAlignment="1" pivotButton="0" quotePrefix="0" xfId="0">
      <alignment vertical="center" wrapText="1"/>
    </xf>
    <xf numFmtId="0" fontId="16" fillId="12" borderId="6" applyAlignment="1" pivotButton="0" quotePrefix="0" xfId="0">
      <alignment vertical="center" wrapText="1"/>
    </xf>
    <xf numFmtId="0" fontId="0" fillId="13" borderId="0" applyAlignment="1" pivotButton="0" quotePrefix="0" xfId="0">
      <alignment vertical="center"/>
    </xf>
    <xf numFmtId="0" fontId="15" fillId="13" borderId="0" applyAlignment="1" pivotButton="0" quotePrefix="0" xfId="0">
      <alignment vertical="center"/>
    </xf>
    <xf numFmtId="0" fontId="15" fillId="13" borderId="6" applyAlignment="1" pivotButton="0" quotePrefix="0" xfId="0">
      <alignment vertical="center"/>
    </xf>
    <xf numFmtId="0" fontId="15" fillId="13" borderId="6" applyAlignment="1" pivotButton="0" quotePrefix="0" xfId="0">
      <alignment vertical="center" wrapText="1"/>
    </xf>
    <xf numFmtId="0" fontId="16" fillId="13" borderId="6" applyAlignment="1" pivotButton="0" quotePrefix="0" xfId="0">
      <alignment vertical="center" wrapText="1"/>
    </xf>
    <xf numFmtId="0" fontId="0" fillId="14" borderId="0" applyAlignment="1" pivotButton="0" quotePrefix="0" xfId="0">
      <alignment vertical="center"/>
    </xf>
    <xf numFmtId="0" fontId="17" fillId="14" borderId="0" applyAlignment="1" pivotButton="0" quotePrefix="0" xfId="0">
      <alignment vertical="center"/>
    </xf>
    <xf numFmtId="0" fontId="17" fillId="14" borderId="6" applyAlignment="1" pivotButton="0" quotePrefix="0" xfId="0">
      <alignment vertical="center"/>
    </xf>
    <xf numFmtId="0" fontId="17" fillId="14" borderId="6" applyAlignment="1" pivotButton="0" quotePrefix="0" xfId="0">
      <alignment vertical="center" wrapText="1"/>
    </xf>
    <xf numFmtId="0" fontId="17" fillId="14" borderId="6" applyAlignment="1" pivotButton="0" quotePrefix="0" xfId="0">
      <alignment horizontal="center" vertical="center" wrapText="1"/>
    </xf>
    <xf numFmtId="0" fontId="18" fillId="13" borderId="6" applyAlignment="1" pivotButton="0" quotePrefix="0" xfId="0">
      <alignment vertical="center" wrapText="1"/>
    </xf>
    <xf numFmtId="10" fontId="15" fillId="13" borderId="6" applyAlignment="1" pivotButton="0" quotePrefix="0" xfId="0">
      <alignment vertical="center" wrapText="1"/>
    </xf>
    <xf numFmtId="10" fontId="15" fillId="12" borderId="6" applyAlignment="1" pivotButton="0" quotePrefix="0" xfId="0">
      <alignment vertical="center" wrapText="1"/>
    </xf>
    <xf numFmtId="10" fontId="18" fillId="13" borderId="6" applyAlignment="1" pivotButton="0" quotePrefix="0" xfId="0">
      <alignment vertical="center" wrapText="1"/>
    </xf>
    <xf numFmtId="3" fontId="15" fillId="12" borderId="6" applyAlignment="1" pivotButton="0" quotePrefix="0" xfId="0">
      <alignment vertical="center" wrapText="1"/>
    </xf>
    <xf numFmtId="3" fontId="15" fillId="13" borderId="6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4" fillId="2" borderId="6" applyAlignment="1" pivotButton="0" quotePrefix="0" xfId="0">
      <alignment horizontal="center" vertical="center"/>
    </xf>
    <xf numFmtId="0" fontId="5" fillId="3" borderId="6" applyAlignment="1" pivotButton="0" quotePrefix="0" xfId="0">
      <alignment horizontal="left" vertical="center" wrapText="1"/>
    </xf>
    <xf numFmtId="0" fontId="6" fillId="4" borderId="6" applyAlignment="1" pivotButton="0" quotePrefix="0" xfId="0">
      <alignment horizontal="left" vertical="center"/>
    </xf>
    <xf numFmtId="0" fontId="29" fillId="20" borderId="8" applyAlignment="1" pivotButton="0" quotePrefix="0" xfId="0">
      <alignment vertical="center" wrapText="1"/>
    </xf>
    <xf numFmtId="0" fontId="25" fillId="20" borderId="8" applyAlignment="1" pivotButton="0" quotePrefix="0" xfId="0">
      <alignment vertical="center" wrapText="1"/>
    </xf>
    <xf numFmtId="10" fontId="25" fillId="20" borderId="8" applyAlignment="1" pivotButton="0" quotePrefix="0" xfId="0">
      <alignment vertical="center" wrapText="1"/>
    </xf>
    <xf numFmtId="10" fontId="24" fillId="20" borderId="8" applyAlignment="1" pivotButton="0" quotePrefix="0" xfId="0">
      <alignment vertical="center" wrapText="1"/>
    </xf>
    <xf numFmtId="0" fontId="25" fillId="18" borderId="8" applyAlignment="1" pivotButton="0" quotePrefix="0" xfId="0">
      <alignment vertical="center" wrapText="1"/>
    </xf>
    <xf numFmtId="0" fontId="9" fillId="8" borderId="6" applyAlignment="1" pivotButton="0" quotePrefix="0" xfId="0">
      <alignment horizontal="left" vertical="top" wrapText="1"/>
    </xf>
    <xf numFmtId="0" fontId="6" fillId="4" borderId="6" applyAlignment="1" pivotButton="0" quotePrefix="0" xfId="0">
      <alignment vertical="center"/>
    </xf>
    <xf numFmtId="0" fontId="13" fillId="8" borderId="6" applyAlignment="1" pivotButton="0" quotePrefix="0" xfId="0">
      <alignment vertical="top" wrapText="1"/>
    </xf>
    <xf numFmtId="0" fontId="27" fillId="9" borderId="0" applyAlignment="1" pivotButton="0" quotePrefix="0" xfId="0">
      <alignment horizontal="center" vertical="center"/>
    </xf>
    <xf numFmtId="0" fontId="28" fillId="23" borderId="0" applyAlignment="1" pivotButton="0" quotePrefix="0" xfId="0">
      <alignment vertical="center" wrapText="1"/>
    </xf>
    <xf numFmtId="0" fontId="28" fillId="23" borderId="6" applyAlignment="1" pivotButton="0" quotePrefix="0" xfId="0">
      <alignment vertical="center" wrapText="1"/>
    </xf>
    <xf numFmtId="10" fontId="15" fillId="13" borderId="6" applyAlignment="1" pivotButton="0" quotePrefix="0" xfId="0">
      <alignment vertical="center" wrapText="1"/>
    </xf>
    <xf numFmtId="10" fontId="15" fillId="12" borderId="6" applyAlignment="1" pivotButton="0" quotePrefix="0" xfId="0">
      <alignment vertical="center" wrapText="1"/>
    </xf>
    <xf numFmtId="10" fontId="18" fillId="13" borderId="6" applyAlignment="1" pivotButton="0" quotePrefix="0" xfId="0">
      <alignment vertical="center" wrapText="1"/>
    </xf>
    <xf numFmtId="3" fontId="15" fillId="12" borderId="6" applyAlignment="1" pivotButton="0" quotePrefix="0" xfId="0">
      <alignment vertical="center" wrapText="1"/>
    </xf>
    <xf numFmtId="3" fontId="15" fillId="13" borderId="6" applyAlignment="1" pivotButton="0" quotePrefix="0" xfId="0">
      <alignment vertical="center" wrapText="1"/>
    </xf>
    <xf numFmtId="0" fontId="20" fillId="15" borderId="0" applyAlignment="1" pivotButton="0" quotePrefix="0" xfId="0">
      <alignment horizontal="left" vertical="center"/>
    </xf>
    <xf numFmtId="0" fontId="21" fillId="16" borderId="0" applyAlignment="1" pivotButton="0" quotePrefix="0" xfId="0">
      <alignment vertical="center" wrapText="1"/>
    </xf>
    <xf numFmtId="0" fontId="22" fillId="17" borderId="7" applyAlignment="1" pivotButton="0" quotePrefix="0" xfId="0">
      <alignment horizontal="left" vertical="center"/>
    </xf>
    <xf numFmtId="0" fontId="23" fillId="15" borderId="8" applyAlignment="1" pivotButton="0" quotePrefix="0" xfId="0">
      <alignment horizontal="center" vertical="center" wrapText="1"/>
    </xf>
    <xf numFmtId="0" fontId="24" fillId="18" borderId="8" applyAlignment="1" pivotButton="0" quotePrefix="0" xfId="0">
      <alignment vertical="center" wrapText="1"/>
    </xf>
    <xf numFmtId="0" fontId="24" fillId="19" borderId="8" applyAlignment="1" pivotButton="0" quotePrefix="0" xfId="0">
      <alignment vertical="center" wrapText="1"/>
    </xf>
    <xf numFmtId="0" fontId="24" fillId="20" borderId="8" applyAlignment="1" pivotButton="0" quotePrefix="0" xfId="0">
      <alignment vertical="center" wrapText="1"/>
    </xf>
    <xf numFmtId="0" fontId="25" fillId="21" borderId="8" applyAlignment="1" pivotButton="0" quotePrefix="0" xfId="0">
      <alignment vertical="center" wrapText="1"/>
    </xf>
    <xf numFmtId="0" fontId="25" fillId="16" borderId="8" applyAlignment="1" pivotButton="0" quotePrefix="0" xfId="0">
      <alignment vertical="center" wrapText="1"/>
    </xf>
    <xf numFmtId="166" fontId="25" fillId="16" borderId="8" applyAlignment="1" pivotButton="0" quotePrefix="0" xfId="0">
      <alignment horizontal="center" vertical="center" wrapText="1"/>
    </xf>
    <xf numFmtId="166" fontId="25" fillId="21" borderId="8" applyAlignment="1" pivotButton="0" quotePrefix="0" xfId="0">
      <alignment horizontal="center" vertical="center" wrapText="1"/>
    </xf>
    <xf numFmtId="0" fontId="25" fillId="19" borderId="8" applyAlignment="1" pivotButton="0" quotePrefix="0" xfId="0">
      <alignment vertical="center" wrapText="1"/>
    </xf>
    <xf numFmtId="0" fontId="25" fillId="22" borderId="8" applyAlignment="1" pivotButton="0" quotePrefix="0" xfId="0">
      <alignment vertical="center" wrapText="1"/>
    </xf>
    <xf numFmtId="0" fontId="25" fillId="23" borderId="8" applyAlignment="1" pivotButton="0" quotePrefix="0" xfId="0">
      <alignment vertical="center" wrapText="1"/>
    </xf>
    <xf numFmtId="0" fontId="26" fillId="16" borderId="8" applyAlignment="1" pivotButton="0" quotePrefix="0" xfId="0">
      <alignment vertical="center" wrapText="1"/>
    </xf>
    <xf numFmtId="0" fontId="26" fillId="21" borderId="8" applyAlignment="1" pivotButton="0" quotePrefix="0" xfId="0">
      <alignment vertical="center" wrapText="1"/>
    </xf>
    <xf numFmtId="0" fontId="25" fillId="21" borderId="8" applyAlignment="1" pivotButton="0" quotePrefix="0" xfId="0">
      <alignment horizontal="center" vertical="center" wrapText="1"/>
    </xf>
    <xf numFmtId="10" fontId="25" fillId="21" borderId="8" applyAlignment="1" pivotButton="0" quotePrefix="0" xfId="0">
      <alignment horizontal="center" vertical="center" wrapText="1"/>
    </xf>
    <xf numFmtId="0" fontId="25" fillId="16" borderId="8" applyAlignment="1" pivotButton="0" quotePrefix="0" xfId="0">
      <alignment horizontal="center" vertical="center" wrapText="1"/>
    </xf>
    <xf numFmtId="10" fontId="25" fillId="16" borderId="8" applyAlignment="1" pivotButton="0" quotePrefix="0" xfId="0">
      <alignment horizontal="center" vertical="center" wrapText="1"/>
    </xf>
    <xf numFmtId="10" fontId="25" fillId="21" borderId="8" applyAlignment="1" pivotButton="0" quotePrefix="0" xfId="0">
      <alignment vertical="center" wrapText="1"/>
    </xf>
    <xf numFmtId="10" fontId="25" fillId="16" borderId="8" applyAlignment="1" pivotButton="0" quotePrefix="0" xfId="0">
      <alignment vertical="center" wrapText="1"/>
    </xf>
    <xf numFmtId="167" fontId="25" fillId="16" borderId="8" applyAlignment="1" pivotButton="0" quotePrefix="0" xfId="0">
      <alignment horizontal="center" vertical="center" wrapText="1"/>
    </xf>
    <xf numFmtId="167" fontId="25" fillId="21" borderId="8" applyAlignment="1" pivotButton="0" quotePrefix="0" xfId="0">
      <alignment horizontal="center" vertical="center" wrapText="1"/>
    </xf>
    <xf numFmtId="0" fontId="25" fillId="19" borderId="8" applyAlignment="1" pivotButton="0" quotePrefix="0" xfId="0">
      <alignment horizontal="center" vertical="center" wrapText="1"/>
    </xf>
    <xf numFmtId="168" fontId="25" fillId="21" borderId="8" applyAlignment="1" pivotButton="0" quotePrefix="0" xfId="0">
      <alignment horizontal="center" vertical="center" wrapText="1"/>
    </xf>
    <xf numFmtId="168" fontId="25" fillId="16" borderId="8" applyAlignment="1" pivotButton="0" quotePrefix="0" xfId="0">
      <alignment horizontal="center" vertical="center" wrapText="1"/>
    </xf>
    <xf numFmtId="0" fontId="24" fillId="18" borderId="8" applyAlignment="1" pivotButton="0" quotePrefix="0" xfId="0">
      <alignment horizontal="center" vertical="center" wrapText="1"/>
    </xf>
    <xf numFmtId="169" fontId="25" fillId="16" borderId="8" applyAlignment="1" pivotButton="0" quotePrefix="0" xfId="0">
      <alignment horizontal="center" vertical="center" wrapText="1"/>
    </xf>
    <xf numFmtId="169" fontId="25" fillId="21" borderId="8" applyAlignment="1" pivotButton="0" quotePrefix="0" xfId="0">
      <alignment horizontal="center" vertical="center" wrapText="1"/>
    </xf>
    <xf numFmtId="0" fontId="24" fillId="23" borderId="8" applyAlignment="1" pivotButton="0" quotePrefix="0" xfId="0">
      <alignment vertical="center" wrapText="1"/>
    </xf>
    <xf numFmtId="0" fontId="0" fillId="0" borderId="7" pivotButton="0" quotePrefix="0" xfId="0"/>
    <xf numFmtId="0" fontId="20" fillId="15" borderId="8" applyAlignment="1" pivotButton="0" quotePrefix="0" xfId="0">
      <alignment horizontal="left" vertical="center" wrapText="1"/>
    </xf>
    <xf numFmtId="0" fontId="30" fillId="16" borderId="8" applyAlignment="1" pivotButton="0" quotePrefix="0" xfId="0">
      <alignment horizontal="left" vertical="center" wrapText="1"/>
    </xf>
    <xf numFmtId="0" fontId="22" fillId="17" borderId="8" applyAlignment="1" pivotButton="0" quotePrefix="0" xfId="0">
      <alignment horizontal="left" vertical="center" wrapText="1"/>
    </xf>
    <xf numFmtId="0" fontId="24" fillId="20" borderId="8" applyAlignment="1" pivotButton="0" quotePrefix="0" xfId="0">
      <alignment horizontal="left" vertical="center" wrapText="1"/>
    </xf>
    <xf numFmtId="0" fontId="24" fillId="18" borderId="8" applyAlignment="1" pivotButton="0" quotePrefix="0" xfId="0">
      <alignment horizontal="left" vertical="center" wrapText="1"/>
    </xf>
    <xf numFmtId="0" fontId="24" fillId="23" borderId="8" applyAlignment="1" pivotButton="0" quotePrefix="0" xfId="0">
      <alignment horizontal="left" vertical="center" wrapText="1"/>
    </xf>
    <xf numFmtId="0" fontId="24" fillId="22" borderId="8" applyAlignment="1" pivotButton="0" quotePrefix="0" xfId="0">
      <alignment horizontal="left" vertical="center" wrapText="1"/>
    </xf>
    <xf numFmtId="0" fontId="25" fillId="21" borderId="8" applyAlignment="1" pivotButton="0" quotePrefix="0" xfId="0">
      <alignment horizontal="left" vertical="center" wrapText="1"/>
    </xf>
    <xf numFmtId="166" fontId="25" fillId="21" borderId="8" applyAlignment="1" pivotButton="0" quotePrefix="0" xfId="0">
      <alignment horizontal="left" vertical="center" wrapText="1"/>
    </xf>
    <xf numFmtId="0" fontId="25" fillId="16" borderId="8" applyAlignment="1" pivotButton="0" quotePrefix="0" xfId="0">
      <alignment horizontal="left" vertical="center" wrapText="1"/>
    </xf>
    <xf numFmtId="0" fontId="24" fillId="16" borderId="8" applyAlignment="1" pivotButton="0" quotePrefix="0" xfId="0">
      <alignment horizontal="left" vertical="center" wrapText="1"/>
    </xf>
    <xf numFmtId="168" fontId="24" fillId="16" borderId="8" applyAlignment="1" pivotButton="0" quotePrefix="0" xfId="0">
      <alignment horizontal="center" vertical="center" wrapText="1"/>
    </xf>
    <xf numFmtId="166" fontId="24" fillId="16" borderId="8" applyAlignment="1" pivotButton="0" quotePrefix="0" xfId="0">
      <alignment horizontal="center" vertical="center" wrapText="1"/>
    </xf>
    <xf numFmtId="168" fontId="24" fillId="20" borderId="8" applyAlignment="1" pivotButton="0" quotePrefix="0" xfId="0">
      <alignment horizontal="center" vertical="center" wrapText="1"/>
    </xf>
    <xf numFmtId="166" fontId="24" fillId="20" borderId="8" applyAlignment="1" pivotButton="0" quotePrefix="0" xfId="0">
      <alignment horizontal="center" vertical="center" wrapText="1"/>
    </xf>
    <xf numFmtId="166" fontId="25" fillId="16" borderId="8" applyAlignment="1" pivotButton="0" quotePrefix="0" xfId="0">
      <alignment horizontal="left" vertical="center" wrapText="1"/>
    </xf>
    <xf numFmtId="0" fontId="25" fillId="23" borderId="8" applyAlignment="1" pivotButton="0" quotePrefix="0" xfId="0">
      <alignment horizontal="left" vertical="center" wrapText="1"/>
    </xf>
    <xf numFmtId="168" fontId="25" fillId="23" borderId="8" applyAlignment="1" pivotButton="0" quotePrefix="0" xfId="0">
      <alignment horizontal="center" vertical="center" wrapText="1"/>
    </xf>
    <xf numFmtId="0" fontId="25" fillId="20" borderId="8" applyAlignment="1" pivotButton="0" quotePrefix="0" xfId="0">
      <alignment horizontal="left" vertical="center" wrapText="1"/>
    </xf>
    <xf numFmtId="168" fontId="25" fillId="20" borderId="8" applyAlignment="1" pivotButton="0" quotePrefix="0" xfId="0">
      <alignment horizontal="center" vertical="center" wrapText="1"/>
    </xf>
    <xf numFmtId="0" fontId="25" fillId="18" borderId="8" applyAlignment="1" pivotButton="0" quotePrefix="0" xfId="0">
      <alignment horizontal="left" vertical="center" wrapText="1"/>
    </xf>
    <xf numFmtId="0" fontId="25" fillId="19" borderId="8" applyAlignment="1" pivotButton="0" quotePrefix="0" xfId="0">
      <alignment horizontal="left" vertical="center" wrapText="1"/>
    </xf>
    <xf numFmtId="0" fontId="31" fillId="16" borderId="8" applyAlignment="1" pivotButton="0" quotePrefix="0" xfId="0">
      <alignment horizontal="left" vertical="center" wrapText="1"/>
    </xf>
    <xf numFmtId="165" fontId="25" fillId="16" borderId="8" applyAlignment="1" pivotButton="0" quotePrefix="0" xfId="0">
      <alignment horizontal="center" vertical="center" wrapText="1"/>
    </xf>
    <xf numFmtId="165" fontId="25" fillId="21" borderId="8" applyAlignment="1" pivotButton="0" quotePrefix="0" xfId="0">
      <alignment horizontal="center" vertical="center" wrapText="1"/>
    </xf>
    <xf numFmtId="165" fontId="25" fillId="16" borderId="8" applyAlignment="1" pivotButton="0" quotePrefix="0" xfId="0">
      <alignment horizontal="left" vertical="center" wrapText="1"/>
    </xf>
    <xf numFmtId="0" fontId="25" fillId="22" borderId="8" applyAlignment="1" pivotButton="0" quotePrefix="0" xfId="0">
      <alignment horizontal="left" vertical="center" wrapText="1"/>
    </xf>
    <xf numFmtId="167" fontId="25" fillId="22" borderId="8" applyAlignment="1" pivotButton="0" quotePrefix="0" xfId="0">
      <alignment horizontal="left" vertical="center" wrapText="1"/>
    </xf>
    <xf numFmtId="170" fontId="25" fillId="16" borderId="8" applyAlignment="1" pivotButton="0" quotePrefix="0" xfId="0">
      <alignment horizontal="center" vertical="center" wrapText="1"/>
    </xf>
    <xf numFmtId="170" fontId="25" fillId="21" borderId="8" applyAlignment="1" pivotButton="0" quotePrefix="0" xfId="0">
      <alignment horizontal="center" vertical="center" wrapText="1"/>
    </xf>
    <xf numFmtId="170" fontId="25" fillId="20" borderId="8" applyAlignment="1" pivotButton="0" quotePrefix="0" xfId="0">
      <alignment horizontal="center" vertical="center" wrapText="1"/>
    </xf>
    <xf numFmtId="0" fontId="22" fillId="24" borderId="8" applyAlignment="1" pivotButton="0" quotePrefix="0" xfId="0">
      <alignment horizontal="left" vertical="center" wrapText="1"/>
    </xf>
    <xf numFmtId="166" fontId="25" fillId="22" borderId="8" applyAlignment="1" pivotButton="0" quotePrefix="0" xfId="0">
      <alignment horizontal="center" vertical="center" wrapText="1"/>
    </xf>
    <xf numFmtId="166" fontId="25" fillId="22" borderId="8" applyAlignment="1" pivotButton="0" quotePrefix="0" xfId="0">
      <alignment horizontal="left" vertical="center" wrapText="1"/>
    </xf>
    <xf numFmtId="166" fontId="25" fillId="18" borderId="8" applyAlignment="1" pivotButton="0" quotePrefix="0" xfId="0">
      <alignment horizontal="center" vertical="center" wrapText="1"/>
    </xf>
    <xf numFmtId="166" fontId="25" fillId="18" borderId="8" applyAlignment="1" pivotButton="0" quotePrefix="0" xfId="0">
      <alignment horizontal="left" vertical="center" wrapText="1"/>
    </xf>
    <xf numFmtId="0" fontId="26" fillId="16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  <xf numFmtId="166" fontId="24" fillId="18" borderId="8" applyAlignment="1" pivotButton="0" quotePrefix="0" xfId="0">
      <alignment horizontal="center" vertical="center" wrapText="1"/>
    </xf>
    <xf numFmtId="0" fontId="26" fillId="18" borderId="8" applyAlignment="1" pivotButton="0" quotePrefix="0" xfId="0">
      <alignment horizontal="left" vertical="center" wrapText="1"/>
    </xf>
    <xf numFmtId="0" fontId="25" fillId="18" borderId="8" applyAlignment="1" pivotButton="0" quotePrefix="0" xfId="0">
      <alignment horizontal="center" vertical="center" wrapText="1"/>
    </xf>
    <xf numFmtId="0" fontId="26" fillId="21" borderId="8" applyAlignment="1" pivotButton="0" quotePrefix="0" xfId="0">
      <alignment horizontal="left" vertical="center" wrapText="1"/>
    </xf>
    <xf numFmtId="166" fontId="25" fillId="20" borderId="8" applyAlignment="1" pivotButton="0" quotePrefix="0" xfId="0">
      <alignment horizontal="center" vertical="center" wrapText="1"/>
    </xf>
    <xf numFmtId="0" fontId="26" fillId="20" borderId="8" applyAlignment="1" pivotButton="0" quotePrefix="0" xfId="0">
      <alignment horizontal="left" vertical="center" wrapText="1"/>
    </xf>
    <xf numFmtId="0" fontId="32" fillId="15" borderId="0" applyAlignment="1" pivotButton="0" quotePrefix="0" xfId="0">
      <alignment vertical="center" wrapText="1"/>
    </xf>
    <xf numFmtId="0" fontId="33" fillId="0" borderId="0" applyAlignment="1" pivotButton="0" quotePrefix="0" xfId="0">
      <alignment vertical="center" wrapText="1"/>
    </xf>
    <xf numFmtId="0" fontId="34" fillId="25" borderId="0" applyAlignment="1" pivotButton="0" quotePrefix="0" xfId="0">
      <alignment vertical="center" wrapText="1"/>
    </xf>
    <xf numFmtId="0" fontId="33" fillId="26" borderId="0" applyAlignment="1" pivotButton="0" quotePrefix="0" xfId="0">
      <alignment vertical="center" wrapText="1"/>
    </xf>
    <xf numFmtId="171" fontId="33" fillId="26" borderId="0" applyAlignment="1" pivotButton="0" quotePrefix="0" xfId="0">
      <alignment vertical="center" wrapText="1"/>
    </xf>
    <xf numFmtId="171" fontId="33" fillId="0" borderId="0" applyAlignment="1" pivotButton="0" quotePrefix="0" xfId="0">
      <alignment vertical="center" wrapText="1"/>
    </xf>
    <xf numFmtId="172" fontId="33" fillId="26" borderId="0" applyAlignment="1" pivotButton="0" quotePrefix="0" xfId="0">
      <alignment vertical="center" wrapText="1"/>
    </xf>
    <xf numFmtId="172" fontId="33" fillId="0" borderId="0" applyAlignment="1" pivotButton="0" quotePrefix="0" xfId="0">
      <alignment vertical="center" wrapText="1"/>
    </xf>
    <xf numFmtId="171" fontId="0" fillId="0" borderId="0" applyAlignment="1" pivotButton="0" quotePrefix="0" xfId="0">
      <alignment vertical="center"/>
    </xf>
    <xf numFmtId="172" fontId="34" fillId="25" borderId="0" applyAlignment="1" pivotButton="0" quotePrefix="0" xfId="0">
      <alignment vertical="center" wrapText="1"/>
    </xf>
    <xf numFmtId="0" fontId="32" fillId="27" borderId="0" applyAlignment="1" pivotButton="0" quotePrefix="0" xfId="0">
      <alignment vertical="center" wrapText="1"/>
    </xf>
    <xf numFmtId="0" fontId="0" fillId="27" borderId="0" applyAlignment="1" pivotButton="0" quotePrefix="0" xfId="0">
      <alignment vertical="center"/>
    </xf>
    <xf numFmtId="0" fontId="32" fillId="27" borderId="0" applyAlignment="1" pivotButton="0" quotePrefix="0" xfId="0">
      <alignment vertical="center"/>
    </xf>
    <xf numFmtId="0" fontId="34" fillId="27" borderId="0" applyAlignment="1" pivotButton="0" quotePrefix="0" xfId="0">
      <alignment vertical="center" wrapText="1"/>
    </xf>
    <xf numFmtId="0" fontId="33" fillId="27" borderId="0" applyAlignment="1" pivotButton="0" quotePrefix="0" xfId="0">
      <alignment vertical="center" wrapText="1"/>
    </xf>
    <xf numFmtId="0" fontId="34" fillId="28" borderId="0" applyAlignment="1" pivotButton="0" quotePrefix="0" xfId="0">
      <alignment vertical="center" wrapText="1"/>
    </xf>
    <xf numFmtId="0" fontId="35" fillId="28" borderId="0" applyAlignment="1" pivotButton="0" quotePrefix="0" xfId="0">
      <alignment vertical="center" wrapText="1"/>
    </xf>
    <xf numFmtId="0" fontId="35" fillId="28" borderId="0" applyAlignment="1" pivotButton="0" quotePrefix="0" xfId="0">
      <alignment horizontal="center" vertical="center" wrapText="1"/>
    </xf>
    <xf numFmtId="0" fontId="33" fillId="28" borderId="0" applyAlignment="1" pivotButton="0" quotePrefix="0" xfId="0">
      <alignment vertical="center" wrapText="1"/>
    </xf>
    <xf numFmtId="172" fontId="33" fillId="28" borderId="0" applyAlignment="1" pivotButton="0" quotePrefix="0" xfId="0">
      <alignment vertical="center" wrapText="1"/>
    </xf>
    <xf numFmtId="172" fontId="35" fillId="28" borderId="0" applyAlignment="1" pivotButton="0" quotePrefix="0" xfId="0">
      <alignment vertical="center" wrapText="1"/>
    </xf>
    <xf numFmtId="172" fontId="35" fillId="28" borderId="0" applyAlignment="1" pivotButton="0" quotePrefix="0" xfId="0">
      <alignment horizontal="center" vertical="center" wrapText="1"/>
    </xf>
    <xf numFmtId="0" fontId="0" fillId="28" borderId="0" applyAlignment="1" pivotButton="0" quotePrefix="0" xfId="0">
      <alignment vertical="center"/>
    </xf>
    <xf numFmtId="0" fontId="35" fillId="28" borderId="0" applyAlignment="1" pivotButton="0" quotePrefix="0" xfId="0">
      <alignment vertical="center"/>
    </xf>
    <xf numFmtId="0" fontId="33" fillId="29" borderId="0" applyAlignment="1" pivotButton="0" quotePrefix="0" xfId="0">
      <alignment vertical="center" wrapText="1"/>
    </xf>
    <xf numFmtId="171" fontId="33" fillId="29" borderId="0" applyAlignment="1" pivotButton="0" quotePrefix="0" xfId="0">
      <alignment vertical="center" wrapText="1"/>
    </xf>
    <xf numFmtId="0" fontId="36" fillId="29" borderId="0" applyAlignment="1" pivotButton="0" quotePrefix="0" xfId="0">
      <alignment vertical="center" wrapText="1"/>
    </xf>
    <xf numFmtId="171" fontId="36" fillId="29" borderId="0" applyAlignment="1" pivotButton="0" quotePrefix="0" xfId="0">
      <alignment vertical="center" wrapText="1"/>
    </xf>
    <xf numFmtId="0" fontId="32" fillId="29" borderId="0" applyAlignment="1" pivotButton="0" quotePrefix="0" xfId="0">
      <alignment vertical="center" wrapText="1"/>
    </xf>
    <xf numFmtId="0" fontId="0" fillId="29" borderId="0" applyAlignment="1" pivotButton="0" quotePrefix="0" xfId="0">
      <alignment vertical="center"/>
    </xf>
    <xf numFmtId="171" fontId="0" fillId="29" borderId="0" applyAlignment="1" pivotButton="0" quotePrefix="0" xfId="0">
      <alignment vertical="center"/>
    </xf>
    <xf numFmtId="0" fontId="36" fillId="29" borderId="0" applyAlignment="1" pivotButton="0" quotePrefix="0" xfId="0">
      <alignment vertical="center"/>
    </xf>
    <xf numFmtId="171" fontId="36" fillId="29" borderId="0" applyAlignment="1" pivotButton="0" quotePrefix="0" xfId="0">
      <alignment vertical="center"/>
    </xf>
    <xf numFmtId="172" fontId="33" fillId="29" borderId="0" applyAlignment="1" pivotButton="0" quotePrefix="0" xfId="0">
      <alignment vertical="center" wrapText="1"/>
    </xf>
    <xf numFmtId="172" fontId="36" fillId="29" borderId="0" applyAlignment="1" pivotButton="0" quotePrefix="0" xfId="0">
      <alignment vertical="center" wrapText="1"/>
    </xf>
    <xf numFmtId="0" fontId="34" fillId="29" borderId="0" applyAlignment="1" pivotButton="0" quotePrefix="0" xfId="0">
      <alignment vertical="center" wrapText="1"/>
    </xf>
    <xf numFmtId="172" fontId="34" fillId="29" borderId="0" applyAlignment="1" pivotButton="0" quotePrefix="0" xfId="0">
      <alignment vertical="center" wrapText="1"/>
    </xf>
    <xf numFmtId="0" fontId="33" fillId="30" borderId="0" applyAlignment="1" pivotButton="0" quotePrefix="0" xfId="0">
      <alignment vertical="center" wrapText="1"/>
    </xf>
    <xf numFmtId="171" fontId="33" fillId="30" borderId="0" applyAlignment="1" pivotButton="0" quotePrefix="0" xfId="0">
      <alignment vertical="center" wrapText="1"/>
    </xf>
    <xf numFmtId="0" fontId="36" fillId="30" borderId="0" applyAlignment="1" pivotButton="0" quotePrefix="0" xfId="0">
      <alignment vertical="center" wrapText="1"/>
    </xf>
    <xf numFmtId="171" fontId="36" fillId="30" borderId="0" applyAlignment="1" pivotButton="0" quotePrefix="0" xfId="0">
      <alignment vertical="center" wrapText="1"/>
    </xf>
    <xf numFmtId="172" fontId="33" fillId="30" borderId="0" applyAlignment="1" pivotButton="0" quotePrefix="0" xfId="0">
      <alignment vertical="center" wrapText="1"/>
    </xf>
    <xf numFmtId="172" fontId="36" fillId="30" borderId="0" applyAlignment="1" pivotButton="0" quotePrefix="0" xfId="0">
      <alignment vertical="center" wrapText="1"/>
    </xf>
    <xf numFmtId="0" fontId="32" fillId="30" borderId="0" applyAlignment="1" pivotButton="0" quotePrefix="0" xfId="0">
      <alignment vertical="center" wrapText="1"/>
    </xf>
    <xf numFmtId="0" fontId="0" fillId="30" borderId="0" applyAlignment="1" pivotButton="0" quotePrefix="0" xfId="0">
      <alignment vertical="center"/>
    </xf>
    <xf numFmtId="0" fontId="36" fillId="30" borderId="0" applyAlignment="1" pivotButton="0" quotePrefix="0" xfId="0">
      <alignment vertical="center"/>
    </xf>
    <xf numFmtId="0" fontId="0" fillId="31" borderId="0" applyAlignment="1" pivotButton="0" quotePrefix="0" xfId="0">
      <alignment vertical="center"/>
    </xf>
    <xf numFmtId="0" fontId="37" fillId="31" borderId="0" applyAlignment="1" pivotButton="0" quotePrefix="0" xfId="0">
      <alignment vertical="center"/>
    </xf>
    <xf numFmtId="0" fontId="0" fillId="32" borderId="0" applyAlignment="1" pivotButton="0" quotePrefix="0" xfId="0">
      <alignment vertical="center"/>
    </xf>
    <xf numFmtId="0" fontId="38" fillId="32" borderId="0" applyAlignment="1" pivotButton="0" quotePrefix="0" xfId="0">
      <alignment vertical="center"/>
    </xf>
    <xf numFmtId="0" fontId="38" fillId="32" borderId="0" applyAlignment="1" pivotButton="0" quotePrefix="0" xfId="0">
      <alignment vertical="center" wrapText="1"/>
    </xf>
    <xf numFmtId="0" fontId="0" fillId="33" borderId="0" applyAlignment="1" pivotButton="0" quotePrefix="0" xfId="0">
      <alignment vertical="center"/>
    </xf>
    <xf numFmtId="0" fontId="32" fillId="33" borderId="0" applyAlignment="1" pivotButton="0" quotePrefix="0" xfId="0">
      <alignment vertical="center"/>
    </xf>
    <xf numFmtId="0" fontId="32" fillId="33" borderId="0" applyAlignment="1" pivotButton="0" quotePrefix="0" xfId="0">
      <alignment vertical="center" wrapText="1"/>
    </xf>
    <xf numFmtId="0" fontId="0" fillId="34" borderId="0" applyAlignment="1" pivotButton="0" quotePrefix="0" xfId="0">
      <alignment vertical="center"/>
    </xf>
    <xf numFmtId="0" fontId="35" fillId="34" borderId="0" applyAlignment="1" pivotButton="0" quotePrefix="0" xfId="0">
      <alignment vertical="center"/>
    </xf>
    <xf numFmtId="0" fontId="35" fillId="34" borderId="0" applyAlignment="1" pivotButton="0" quotePrefix="0" xfId="0">
      <alignment vertical="center" wrapText="1"/>
    </xf>
    <xf numFmtId="0" fontId="35" fillId="34" borderId="0" applyAlignment="1" pivotButton="0" quotePrefix="0" xfId="0">
      <alignment horizontal="center" vertical="center" wrapText="1"/>
    </xf>
    <xf numFmtId="0" fontId="0" fillId="35" borderId="0" applyAlignment="1" pivotButton="0" quotePrefix="0" xfId="0">
      <alignment vertical="center"/>
    </xf>
    <xf numFmtId="0" fontId="39" fillId="35" borderId="0" applyAlignment="1" pivotButton="0" quotePrefix="0" xfId="0">
      <alignment vertical="center"/>
    </xf>
    <xf numFmtId="0" fontId="39" fillId="35" borderId="0" applyAlignment="1" pivotButton="0" quotePrefix="0" xfId="0">
      <alignment vertical="center" wrapText="1"/>
    </xf>
    <xf numFmtId="0" fontId="0" fillId="36" borderId="0" applyAlignment="1" pivotButton="0" quotePrefix="0" xfId="0">
      <alignment vertical="center"/>
    </xf>
    <xf numFmtId="0" fontId="39" fillId="36" borderId="0" applyAlignment="1" pivotButton="0" quotePrefix="0" xfId="0">
      <alignment vertical="center"/>
    </xf>
    <xf numFmtId="0" fontId="39" fillId="36" borderId="0" applyAlignment="1" pivotButton="0" quotePrefix="0" xfId="0">
      <alignment vertical="center" wrapText="1"/>
    </xf>
    <xf numFmtId="171" fontId="39" fillId="35" borderId="0" applyAlignment="1" pivotButton="0" quotePrefix="0" xfId="0">
      <alignment vertical="center" wrapText="1"/>
    </xf>
    <xf numFmtId="171" fontId="39" fillId="36" borderId="0" applyAlignment="1" pivotButton="0" quotePrefix="0" xfId="0">
      <alignment vertical="center" wrapText="1"/>
    </xf>
    <xf numFmtId="172" fontId="39" fillId="35" borderId="0" applyAlignment="1" pivotButton="0" quotePrefix="0" xfId="0">
      <alignment vertical="center" wrapText="1"/>
    </xf>
    <xf numFmtId="172" fontId="39" fillId="36" borderId="0" applyAlignment="1" pivotButton="0" quotePrefix="0" xfId="0">
      <alignment vertical="center" wrapText="1"/>
    </xf>
    <xf numFmtId="0" fontId="40" fillId="31" borderId="0" applyAlignment="1" pivotButton="0" quotePrefix="0" xfId="0">
      <alignment vertical="center"/>
    </xf>
    <xf numFmtId="0" fontId="41" fillId="0" borderId="0" applyAlignment="1" pivotButton="0" quotePrefix="0" xfId="0">
      <alignment vertical="center"/>
    </xf>
    <xf numFmtId="0" fontId="40" fillId="33" borderId="0" applyAlignment="1" pivotButton="0" quotePrefix="0" xfId="0">
      <alignment vertical="center" wrapText="1"/>
    </xf>
    <xf numFmtId="0" fontId="40" fillId="31" borderId="0" applyAlignment="1" pivotButton="0" quotePrefix="0" xfId="0">
      <alignment vertical="center" wrapText="1"/>
    </xf>
    <xf numFmtId="0" fontId="41" fillId="0" borderId="0" applyAlignment="1" pivotButton="0" quotePrefix="0" xfId="0">
      <alignment vertical="center" wrapText="1"/>
    </xf>
    <xf numFmtId="10" fontId="39" fillId="35" borderId="0" applyAlignment="1" pivotButton="0" quotePrefix="0" xfId="0">
      <alignment vertical="center" wrapText="1"/>
    </xf>
    <xf numFmtId="10" fontId="39" fillId="36" borderId="0" applyAlignment="1" pivotButton="0" quotePrefix="0" xfId="0">
      <alignment vertical="center" wrapText="1"/>
    </xf>
    <xf numFmtId="2" fontId="39" fillId="35" borderId="0" applyAlignment="1" pivotButton="0" quotePrefix="0" xfId="0">
      <alignment vertical="center" wrapText="1"/>
    </xf>
    <xf numFmtId="2" fontId="39" fillId="36" borderId="0" applyAlignment="1" pivotButton="0" quotePrefix="0" xfId="0">
      <alignment vertical="center" wrapText="1"/>
    </xf>
    <xf numFmtId="0" fontId="4" fillId="2" borderId="8" applyAlignment="1" pivotButton="0" quotePrefix="0" xfId="0">
      <alignment horizontal="center" vertical="center"/>
    </xf>
    <xf numFmtId="0" fontId="5" fillId="3" borderId="8" applyAlignment="1" pivotButton="0" quotePrefix="0" xfId="0">
      <alignment horizontal="left" vertical="center" wrapText="1"/>
    </xf>
    <xf numFmtId="0" fontId="6" fillId="4" borderId="8" applyAlignment="1" pivotButton="0" quotePrefix="0" xfId="0">
      <alignment horizontal="left" vertical="center"/>
    </xf>
    <xf numFmtId="0" fontId="9" fillId="8" borderId="8" applyAlignment="1" pivotButton="0" quotePrefix="0" xfId="0">
      <alignment horizontal="left" vertical="top" wrapText="1"/>
    </xf>
    <xf numFmtId="0" fontId="39" fillId="36" borderId="0" applyAlignment="1" pivotButton="0" quotePrefix="0" xfId="0">
      <alignment horizontal="left" vertical="center" wrapText="1"/>
    </xf>
    <xf numFmtId="171" fontId="39" fillId="36" borderId="0" applyAlignment="1" pivotButton="0" quotePrefix="0" xfId="0">
      <alignment horizontal="right" vertical="center" wrapText="1"/>
    </xf>
    <xf numFmtId="0" fontId="39" fillId="36" borderId="0" applyAlignment="1" pivotButton="0" quotePrefix="0" xfId="0">
      <alignment horizontal="right" vertical="center" wrapText="1"/>
    </xf>
    <xf numFmtId="0" fontId="39" fillId="35" borderId="0" applyAlignment="1" pivotButton="0" quotePrefix="0" xfId="0">
      <alignment horizontal="left" vertical="center" wrapText="1"/>
    </xf>
    <xf numFmtId="172" fontId="39" fillId="35" borderId="0" applyAlignment="1" pivotButton="0" quotePrefix="0" xfId="0">
      <alignment horizontal="right" vertical="center" wrapText="1"/>
    </xf>
    <xf numFmtId="171" fontId="39" fillId="35" borderId="0" applyAlignment="1" pivotButton="0" quotePrefix="0" xfId="0">
      <alignment horizontal="right" vertical="center" wrapText="1"/>
    </xf>
    <xf numFmtId="0" fontId="39" fillId="35" borderId="0" applyAlignment="1" pivotButton="0" quotePrefix="0" xfId="0">
      <alignment horizontal="right" vertical="center" wrapText="1"/>
    </xf>
    <xf numFmtId="0" fontId="35" fillId="34" borderId="0" applyAlignment="1" pivotButton="0" quotePrefix="0" xfId="0">
      <alignment horizontal="left" vertical="center" wrapText="1"/>
    </xf>
    <xf numFmtId="10" fontId="39" fillId="35" borderId="0" applyAlignment="1" pivotButton="0" quotePrefix="0" xfId="0">
      <alignment horizontal="right" vertical="center" wrapText="1"/>
    </xf>
    <xf numFmtId="1" fontId="39" fillId="35" borderId="0" applyAlignment="1" pivotButton="0" quotePrefix="0" xfId="0">
      <alignment horizontal="right" vertical="center" wrapText="1"/>
    </xf>
    <xf numFmtId="165" fontId="39" fillId="35" borderId="0" applyAlignment="1" pivotButton="0" quotePrefix="0" xfId="0">
      <alignment horizontal="right" vertical="center" wrapText="1"/>
    </xf>
    <xf numFmtId="10" fontId="39" fillId="36" borderId="0" applyAlignment="1" pivotButton="0" quotePrefix="0" xfId="0">
      <alignment horizontal="right" vertical="center" wrapText="1"/>
    </xf>
    <xf numFmtId="0" fontId="6" fillId="4" borderId="8" applyAlignment="1" pivotButton="0" quotePrefix="0" xfId="0">
      <alignment vertical="center"/>
    </xf>
    <xf numFmtId="0" fontId="13" fillId="8" borderId="8" applyAlignment="1" pivotButton="0" quotePrefix="0" xfId="0">
      <alignment vertical="top" wrapText="1"/>
    </xf>
    <xf numFmtId="0" fontId="28" fillId="23" borderId="8" applyAlignment="1" pivotButton="0" quotePrefix="0" xfId="0">
      <alignment vertical="center" wrapText="1"/>
    </xf>
    <xf numFmtId="0" fontId="15" fillId="12" borderId="8" applyAlignment="1" pivotButton="0" quotePrefix="0" xfId="0">
      <alignment vertical="center" wrapText="1"/>
    </xf>
    <xf numFmtId="0" fontId="15" fillId="13" borderId="8" applyAlignment="1" pivotButton="0" quotePrefix="0" xfId="0">
      <alignment vertical="center" wrapText="1"/>
    </xf>
    <xf numFmtId="10" fontId="15" fillId="13" borderId="8" applyAlignment="1" pivotButton="0" quotePrefix="0" xfId="0">
      <alignment vertical="center" wrapText="1"/>
    </xf>
    <xf numFmtId="0" fontId="39" fillId="37" borderId="0" applyAlignment="1" pivotButton="0" quotePrefix="0" xfId="0">
      <alignment vertical="center" wrapText="1"/>
    </xf>
    <xf numFmtId="171" fontId="39" fillId="37" borderId="0" applyAlignment="1" pivotButton="0" quotePrefix="0" xfId="0">
      <alignment horizontal="right" vertical="center" wrapText="1"/>
    </xf>
    <xf numFmtId="171" fontId="39" fillId="37" borderId="0" applyAlignment="1" pivotButton="0" quotePrefix="0" xfId="0">
      <alignment horizontal="right" vertical="center" wrapText="1"/>
    </xf>
    <xf numFmtId="0" fontId="39" fillId="37" borderId="0" applyAlignment="1" pivotButton="0" quotePrefix="0" xfId="0">
      <alignment horizontal="right" vertical="center" wrapText="1"/>
    </xf>
    <xf numFmtId="0" fontId="39" fillId="37" borderId="0" applyAlignment="1" pivotButton="0" quotePrefix="0" xfId="0">
      <alignment vertical="center" wrapText="1"/>
    </xf>
    <xf numFmtId="0" fontId="39" fillId="37" borderId="0" applyAlignment="1" pivotButton="0" quotePrefix="0" xfId="0">
      <alignment horizontal="right" vertical="center" wrapText="1"/>
    </xf>
    <xf numFmtId="172" fontId="39" fillId="37" borderId="0" applyAlignment="1" pivotButton="0" quotePrefix="0" xfId="0">
      <alignment vertical="center" wrapText="1"/>
    </xf>
    <xf numFmtId="10" fontId="39" fillId="37" borderId="0" applyAlignment="1" pivotButton="0" quotePrefix="0" xfId="0">
      <alignment vertical="center" wrapText="1"/>
    </xf>
    <xf numFmtId="0" fontId="39" fillId="37" borderId="0" applyAlignment="1" pivotButton="0" quotePrefix="0" xfId="0">
      <alignment vertical="center" wrapText="1"/>
    </xf>
    <xf numFmtId="0" fontId="39" fillId="37" borderId="0" applyAlignment="1" pivotButton="0" quotePrefix="0" xfId="0">
      <alignment vertical="center" wrapText="1"/>
    </xf>
    <xf numFmtId="10" fontId="39" fillId="37" borderId="0" applyAlignment="1" pivotButton="0" quotePrefix="0" xfId="0">
      <alignment vertical="center" wrapText="1"/>
    </xf>
    <xf numFmtId="10" fontId="39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vertical="center" wrapText="1"/>
    </xf>
    <xf numFmtId="10" fontId="39" fillId="36" borderId="0" applyAlignment="1" pivotButton="0" quotePrefix="0" xfId="0">
      <alignment vertical="center" wrapText="1"/>
    </xf>
    <xf numFmtId="0" fontId="39" fillId="36" borderId="0" applyAlignment="1" pivotButton="0" quotePrefix="0" xfId="0">
      <alignment vertical="center" wrapText="1"/>
    </xf>
    <xf numFmtId="3" fontId="39" fillId="36" borderId="0" applyAlignment="1" pivotButton="0" quotePrefix="0" xfId="0">
      <alignment vertical="center" wrapText="1"/>
    </xf>
    <xf numFmtId="2" fontId="39" fillId="36" borderId="0" applyAlignment="1" pivotButton="0" quotePrefix="0" xfId="0">
      <alignment vertical="center" wrapText="1"/>
    </xf>
    <xf numFmtId="10" fontId="39" fillId="37" borderId="0" applyAlignment="1" pivotButton="0" quotePrefix="0" xfId="0">
      <alignment vertical="center" wrapText="1"/>
    </xf>
    <xf numFmtId="0" fontId="39" fillId="37" borderId="0" applyAlignment="1" pivotButton="0" quotePrefix="0" xfId="0">
      <alignment vertical="center" wrapText="1"/>
    </xf>
    <xf numFmtId="0" fontId="39" fillId="37" borderId="0" applyAlignment="1" pivotButton="0" quotePrefix="0" xfId="0">
      <alignment vertical="center" wrapText="1"/>
    </xf>
    <xf numFmtId="10" fontId="39" fillId="37" borderId="0" applyAlignment="1" pivotButton="0" quotePrefix="0" xfId="0">
      <alignment vertical="center" wrapText="1"/>
    </xf>
    <xf numFmtId="10" fontId="39" fillId="37" borderId="0" applyAlignment="1" pivotButton="0" quotePrefix="0" xfId="0">
      <alignment vertical="center" wrapText="1"/>
    </xf>
    <xf numFmtId="4" fontId="39" fillId="36" borderId="0" applyAlignment="1" pivotButton="0" quotePrefix="0" xfId="0">
      <alignment vertical="center" wrapText="1"/>
    </xf>
    <xf numFmtId="10" fontId="39" fillId="37" borderId="0" applyAlignment="1" pivotButton="0" quotePrefix="0" xfId="0">
      <alignment vertical="center" wrapText="1"/>
    </xf>
    <xf numFmtId="0" fontId="39" fillId="37" borderId="0" applyAlignment="1" pivotButton="0" quotePrefix="0" xfId="0">
      <alignment vertical="center" wrapText="1"/>
    </xf>
    <xf numFmtId="10" fontId="39" fillId="37" borderId="0" applyAlignment="1" pivotButton="0" quotePrefix="0" xfId="0">
      <alignment vertical="center" wrapText="1"/>
    </xf>
    <xf numFmtId="0" fontId="39" fillId="37" borderId="0" applyAlignment="1" pivotButton="0" quotePrefix="0" xfId="0">
      <alignment vertical="center" wrapText="1"/>
    </xf>
    <xf numFmtId="10" fontId="39" fillId="37" borderId="0" applyAlignment="1" pivotButton="0" quotePrefix="0" xfId="0">
      <alignment vertical="center" wrapText="1"/>
    </xf>
    <xf numFmtId="0" fontId="39" fillId="37" borderId="0" applyAlignment="1" pivotButton="0" quotePrefix="0" xfId="0">
      <alignment vertical="center" wrapText="1"/>
    </xf>
    <xf numFmtId="10" fontId="39" fillId="37" borderId="0" applyAlignment="1" pivotButton="0" quotePrefix="0" xfId="0">
      <alignment vertical="center" wrapText="1"/>
    </xf>
    <xf numFmtId="10" fontId="39" fillId="37" borderId="0" applyAlignment="1" pivotButton="0" quotePrefix="0" xfId="0">
      <alignment vertical="center" wrapText="1"/>
    </xf>
    <xf numFmtId="0" fontId="39" fillId="37" borderId="0" applyAlignment="1" pivotButton="0" quotePrefix="0" xfId="0">
      <alignment vertical="center" wrapText="1"/>
    </xf>
    <xf numFmtId="10" fontId="39" fillId="37" borderId="0" applyAlignment="1" pivotButton="0" quotePrefix="0" xfId="0">
      <alignment vertical="center" wrapText="1"/>
    </xf>
    <xf numFmtId="0" fontId="39" fillId="37" borderId="0" applyAlignment="1" pivotButton="0" quotePrefix="0" xfId="0">
      <alignment vertical="center" wrapText="1"/>
    </xf>
    <xf numFmtId="0" fontId="39" fillId="37" borderId="0" applyAlignment="1" pivotButton="0" quotePrefix="0" xfId="0">
      <alignment vertical="center" wrapText="1"/>
    </xf>
    <xf numFmtId="10" fontId="39" fillId="37" borderId="0" applyAlignment="1" pivotButton="0" quotePrefix="0" xfId="0">
      <alignment vertical="center" wrapText="1"/>
    </xf>
    <xf numFmtId="0" fontId="39" fillId="37" borderId="0" applyAlignment="1" pivotButton="0" quotePrefix="0" xfId="0">
      <alignment vertical="center" wrapText="1"/>
    </xf>
    <xf numFmtId="10" fontId="39" fillId="37" borderId="0" applyAlignment="1" pivotButton="0" quotePrefix="0" xfId="0">
      <alignment vertical="center" wrapText="1"/>
    </xf>
    <xf numFmtId="10" fontId="39" fillId="37" borderId="0" applyAlignment="1" pivotButton="0" quotePrefix="0" xfId="0">
      <alignment vertical="center" wrapText="1"/>
    </xf>
    <xf numFmtId="0" fontId="39" fillId="37" borderId="0" applyAlignment="1" pivotButton="0" quotePrefix="0" xfId="0">
      <alignment vertical="center" wrapText="1"/>
    </xf>
    <xf numFmtId="0" fontId="39" fillId="37" borderId="0" applyAlignment="1" pivotButton="0" quotePrefix="0" xfId="0">
      <alignment vertical="center" wrapText="1"/>
    </xf>
    <xf numFmtId="10" fontId="39" fillId="37" borderId="0" applyAlignment="1" pivotButton="0" quotePrefix="0" xfId="0">
      <alignment vertical="center" wrapText="1"/>
    </xf>
    <xf numFmtId="0" fontId="43" fillId="0" borderId="0" applyAlignment="1" pivotButton="0" quotePrefix="0" xfId="0">
      <alignment vertical="center" wrapText="1"/>
    </xf>
    <xf numFmtId="0" fontId="42" fillId="0" borderId="0" applyAlignment="1" pivotButton="0" quotePrefix="0" xfId="0">
      <alignment vertical="center" wrapText="1"/>
    </xf>
    <xf numFmtId="0" fontId="44" fillId="38" borderId="0" applyAlignment="1" pivotButton="0" quotePrefix="0" xfId="0">
      <alignment vertical="center" wrapText="1"/>
    </xf>
    <xf numFmtId="0" fontId="45" fillId="0" borderId="0" applyAlignment="1" pivotButton="0" quotePrefix="0" xfId="0">
      <alignment vertical="center"/>
    </xf>
    <xf numFmtId="10" fontId="45" fillId="0" borderId="0" applyAlignment="1" pivotButton="0" quotePrefix="0" xfId="0">
      <alignment vertical="center"/>
    </xf>
    <xf numFmtId="173" fontId="45" fillId="0" borderId="0" applyAlignment="1" pivotButton="0" quotePrefix="0" xfId="0">
      <alignment vertical="center"/>
    </xf>
    <xf numFmtId="0" fontId="45" fillId="39" borderId="0" applyAlignment="1" pivotButton="0" quotePrefix="0" xfId="0">
      <alignment vertical="center"/>
    </xf>
    <xf numFmtId="10" fontId="45" fillId="39" borderId="0" applyAlignment="1" pivotButton="0" quotePrefix="0" xfId="0">
      <alignment vertical="center"/>
    </xf>
    <xf numFmtId="173" fontId="45" fillId="39" borderId="0" applyAlignment="1" pivotButton="0" quotePrefix="0" xfId="0">
      <alignment vertical="center"/>
    </xf>
    <xf numFmtId="168" fontId="45" fillId="39" borderId="0" applyAlignment="1" pivotButton="0" quotePrefix="0" xfId="0">
      <alignment vertical="center"/>
    </xf>
    <xf numFmtId="0" fontId="47" fillId="40" borderId="0" applyAlignment="1" pivotButton="0" quotePrefix="0" xfId="0">
      <alignment vertical="center" wrapText="1"/>
    </xf>
    <xf numFmtId="0" fontId="46" fillId="0" borderId="0" applyAlignment="1" pivotButton="0" quotePrefix="0" xfId="0">
      <alignment vertical="center" wrapText="1"/>
    </xf>
    <xf numFmtId="0" fontId="48" fillId="41" borderId="0" applyAlignment="1" pivotButton="0" quotePrefix="0" xfId="0">
      <alignment vertical="center" wrapText="1"/>
    </xf>
    <xf numFmtId="0" fontId="46" fillId="40" borderId="0" applyAlignment="1" pivotButton="0" quotePrefix="0" xfId="0">
      <alignment vertical="center" wrapText="1"/>
    </xf>
    <xf numFmtId="10" fontId="46" fillId="40" borderId="0" applyAlignment="1" pivotButton="0" quotePrefix="0" xfId="0">
      <alignment vertical="center" wrapText="1"/>
    </xf>
    <xf numFmtId="174" fontId="46" fillId="40" borderId="0" applyAlignment="1" pivotButton="0" quotePrefix="0" xfId="0">
      <alignment vertical="center" wrapText="1"/>
    </xf>
    <xf numFmtId="10" fontId="46" fillId="0" borderId="0" applyAlignment="1" pivotButton="0" quotePrefix="0" xfId="0">
      <alignment vertical="center" wrapText="1"/>
    </xf>
    <xf numFmtId="174" fontId="46" fillId="0" borderId="0" applyAlignment="1" pivotButton="0" quotePrefix="0" xfId="0">
      <alignment vertical="center" wrapText="1"/>
    </xf>
  </cellXfs>
  <cellStyles count="1">
    <cellStyle name="常规" xfId="0"/>
  </cellStyles>
  <dxfs count="3">
    <dxf>
      <font>
        <b val="1"/>
        <color rgb="FF9C0006"/>
      </font>
      <fill>
        <patternFill>
          <bgColor rgb="FFF4CCCC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006100"/>
      </font>
      <fill>
        <patternFill>
          <bgColor rgb="FFE2F0D9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旧页保留是为了不丢失历史数据，不代表这些精确数值仍可使用。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2" authorId="0" shapeId="0">
      <text>
        <t>原始汇总：D:\Users\刘雯静\Downloads\Conceptgraphs\results\mask_first_order_20260830\mask_first_order_summary.json
服务器：/home/chenkejun/beauty/conceptgraphs/results/experiments/mask_first_order_20260830
GitHub commit：21cf3d6acb8db140b7953a0e7e60831874706a40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A2" authorId="0" shapeId="0">
      <text>
        <t>数值已于2026-08-31逐表复核论文HTML版。</t>
      </text>
    </comment>
  </commentList>
</comment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#'&#21487;&#20462;&#24615;&#23545;&#27604;&#24635;&#35272;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arxiv.org/html/2603.26541v1#S4.SS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file:///D:/Users/&#21016;&#38639;&#38745;/Downloads/Conceptgraphs/docs/ALI_DEV_MAIN_REPRODUCTION_VS_PAPER_20260822.md" TargetMode="External" Id="rId1"/><Relationship Type="http://schemas.openxmlformats.org/officeDocument/2006/relationships/hyperlink" Target="file:///D:/Users/&#21016;&#38639;&#38745;/Downloads/Conceptgraphs/docs/ALI_MY_PAPER_MAIN_ALIGNED_8SCENE_EVALUATION_20260821.md" TargetMode="External" Id="rId2"/><Relationship Type="http://schemas.openxmlformats.org/officeDocument/2006/relationships/hyperlink" Target="file:///D:/Users/&#21016;&#38639;&#38745;/Downloads/Conceptgraphs/docs/ALI_DEV_RELATION_EDGES_EVALUATION_20260822.md" TargetMode="External" Id="rId3"/><Relationship Type="http://schemas.openxmlformats.org/officeDocument/2006/relationships/hyperlink" Target="file:///D:/Users/&#21016;&#38639;&#38745;/Downloads/Conceptgraphs/docs/ALI_MY_METRICS_EVALUATION_20260821.md" TargetMode="External" Id="rId4"/><Relationship Type="http://schemas.openxmlformats.org/officeDocument/2006/relationships/hyperlink" Target="file:///D:/Users/&#21016;&#38639;&#38745;/Downloads/Conceptgraphs/docs/ALI_MY_REVISION_KERNEL_VALIDATION_SUMMARY_20260822.md" TargetMode="External" Id="rId5"/><Relationship Type="http://schemas.openxmlformats.org/officeDocument/2006/relationships/hyperlink" Target="file:///D:/Users/&#21016;&#38639;&#38745;/Downloads/Conceptgraphs/docs/ALI_MY_REVISION_KERNEL_V1_IMPLEMENTATION_EVALUATION_20260823.md" TargetMode="External" Id="rId6"/><Relationship Type="http://schemas.openxmlformats.org/officeDocument/2006/relationships/hyperlink" Target="https://arxiv.org/abs/2309.16650" TargetMode="External" Id="rId7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3.xml.rels><Relationships xmlns="http://schemas.openxmlformats.org/package/2006/relationships"><Relationship Type="http://schemas.openxmlformats.org/officeDocument/2006/relationships/hyperlink" Target="https://github.com/liuwenjing613-maker/concept-graphs/blob/contrary/artifacts/repairability_validation_20260830/REPAIRABILITY_DECISION.md" TargetMode="External" Id="rId1"/><Relationship Type="http://schemas.openxmlformats.org/officeDocument/2006/relationships/hyperlink" Target="https://github.com/liuwenjing613-maker/concept-graphs/blob/contrary/artifacts/repairability_validation_20260830/repairability_decision.json" TargetMode="External" Id="rId2"/></Relationships>
</file>

<file path=xl/worksheets/_rels/sheet14.xml.rels><Relationships xmlns="http://schemas.openxmlformats.org/package/2006/relationships"><Relationship Type="http://schemas.openxmlformats.org/officeDocument/2006/relationships/hyperlink" Target="https://github.com/liuwenjing613-maker/concept-graphs/blob/contrary/artifacts/repairability_validation_20260830/REPAIRABILITY_DECISION.md" TargetMode="External" Id="rId1"/><Relationship Type="http://schemas.openxmlformats.org/officeDocument/2006/relationships/hyperlink" Target="https://github.com/liuwenjing613-maker/concept-graphs/blob/contrary/artifacts/repairability_validation_20260830/repairability_decision.json" TargetMode="External" Id="rId2"/></Relationships>
</file>

<file path=xl/worksheets/_rels/sheet15.xml.rels><Relationships xmlns="http://schemas.openxmlformats.org/package/2006/relationships"><Relationship Type="http://schemas.openxmlformats.org/officeDocument/2006/relationships/hyperlink" Target="https://github.com/liuwenjing613-maker/concept-graphs/blob/contrary/experiments/mask_first_order_20260830/README.md" TargetMode="External" Id="rId1"/><Relationship Type="http://schemas.openxmlformats.org/officeDocument/2006/relationships/hyperlink" Target="https://arxiv.org/html/2603.26541v1#S4.SS1" TargetMode="External" Id="rId2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7.xml.rels><Relationships xmlns="http://schemas.openxmlformats.org/package/2006/relationships"><Relationship Type="http://schemas.openxmlformats.org/officeDocument/2006/relationships/hyperlink" Target="https://arxiv.org/html/2603.26541v1" TargetMode="External" Id="rId1"/><Relationship Type="http://schemas.openxmlformats.org/officeDocument/2006/relationships/hyperlink" Target="https://arxiv.org/html/2603.26541v1#S4.SS1" TargetMode="External" Id="rId2"/><Relationship Type="http://schemas.openxmlformats.org/officeDocument/2006/relationships/hyperlink" Target="https://arxiv.org/html/2603.26541v1#S4.SS1" TargetMode="External" Id="rId3"/><Relationship Type="http://schemas.openxmlformats.org/officeDocument/2006/relationships/hyperlink" Target="https://arxiv.org/html/2603.26541v1#S4.SS2" TargetMode="External" Id="rId4"/><Relationship Type="http://schemas.openxmlformats.org/officeDocument/2006/relationships/hyperlink" Target="https://arxiv.org/html/2603.26541v1#S4.SS2" TargetMode="External" Id="rId5"/><Relationship Type="http://schemas.openxmlformats.org/officeDocument/2006/relationships/hyperlink" Target="https://arxiv.org/html/2603.26541v1#S4.SS2" TargetMode="External" Id="rId6"/><Relationship Type="http://schemas.openxmlformats.org/officeDocument/2006/relationships/hyperlink" Target="https://arxiv.org/html/2603.26541v1#S4.SS2" TargetMode="External" Id="rId7"/><Relationship Type="http://schemas.openxmlformats.org/officeDocument/2006/relationships/hyperlink" Target="https://arxiv.org/html/2603.26541v1#S4.SS3" TargetMode="External" Id="rId8"/><Relationship Type="http://schemas.openxmlformats.org/officeDocument/2006/relationships/hyperlink" Target="https://arxiv.org/html/2603.26541v1#S4.SS3" TargetMode="External" Id="rId9"/><Relationship Type="http://schemas.openxmlformats.org/officeDocument/2006/relationships/hyperlink" Target="https://arxiv.org/html/2603.26541v1#S4.SS3" TargetMode="External" Id="rId10"/><Relationship Type="http://schemas.openxmlformats.org/officeDocument/2006/relationships/hyperlink" Target="https://arxiv.org/html/2603.26541v1#S4.SS3" TargetMode="External" Id="rId11"/><Relationship Type="http://schemas.openxmlformats.org/officeDocument/2006/relationships/hyperlink" Target="https://arxiv.org/html/2603.26541v1#S4.SS3" TargetMode="External" Id="rId12"/><Relationship Type="http://schemas.openxmlformats.org/officeDocument/2006/relationships/hyperlink" Target="https://arxiv.org/html/2603.26541v1#S4.SS3" TargetMode="External" Id="rId13"/><Relationship Type="http://schemas.openxmlformats.org/officeDocument/2006/relationships/hyperlink" Target="https://arxiv.org/html/2603.26541v1#S4.SS3" TargetMode="External" Id="rId14"/><Relationship Type="http://schemas.openxmlformats.org/officeDocument/2006/relationships/hyperlink" Target="https://arxiv.org/html/2603.26541v1#S4.SS3" TargetMode="External" Id="rId15"/><Relationship Type="http://schemas.openxmlformats.org/officeDocument/2006/relationships/hyperlink" Target="https://arxiv.org/html/2603.26541v1#S4.SS3" TargetMode="External" Id="rId16"/><Relationship Type="http://schemas.openxmlformats.org/officeDocument/2006/relationships/hyperlink" Target="https://arxiv.org/html/2603.26541v1#S4.SS3" TargetMode="External" Id="rId17"/><Relationship Type="http://schemas.openxmlformats.org/officeDocument/2006/relationships/hyperlink" Target="https://arxiv.org/html/2603.26541v1#S7" TargetMode="External" Id="rId18"/><Relationship Type="http://schemas.openxmlformats.org/officeDocument/2006/relationships/hyperlink" Target="https://arxiv.org/html/2603.26541v1#S7" TargetMode="External" Id="rId19"/><Relationship Type="http://schemas.openxmlformats.org/officeDocument/2006/relationships/hyperlink" Target="https://arxiv.org/html/2603.26541v1#S7" TargetMode="External" Id="rId20"/><Relationship Type="http://schemas.openxmlformats.org/officeDocument/2006/relationships/hyperlink" Target="https://arxiv.org/html/2603.26541v1#S7" TargetMode="External" Id="rId21"/><Relationship Type="http://schemas.openxmlformats.org/officeDocument/2006/relationships/hyperlink" Target="https://arxiv.org/html/2603.26541v1#S7" TargetMode="External" Id="rId22"/><Relationship Type="http://schemas.openxmlformats.org/officeDocument/2006/relationships/hyperlink" Target="https://arxiv.org/html/2603.26541v1#S8" TargetMode="External" Id="rId23"/><Relationship Type="http://schemas.openxmlformats.org/officeDocument/2006/relationships/hyperlink" Target="https://arxiv.org/html/2603.26541v1#S8" TargetMode="External" Id="rId24"/><Relationship Type="http://schemas.openxmlformats.org/officeDocument/2006/relationships/hyperlink" Target="https://arxiv.org/html/2603.26541v1#S8" TargetMode="External" Id="rId25"/><Relationship Type="http://schemas.openxmlformats.org/officeDocument/2006/relationships/hyperlink" Target="https://arxiv.org/html/2603.26541v1#S8" TargetMode="External" Id="rId26"/><Relationship Type="http://schemas.openxmlformats.org/officeDocument/2006/relationships/hyperlink" Target="https://arxiv.org/html/2603.26541v1#S8" TargetMode="External" Id="rId27"/><Relationship Type="http://schemas.openxmlformats.org/officeDocument/2006/relationships/hyperlink" Target="https://arxiv.org/html/2603.26541v1" TargetMode="External" Id="rId28"/><Relationship Type="http://schemas.openxmlformats.org/officeDocument/2006/relationships/hyperlink" Target="https://arxiv.org/html/2603.26541v1" TargetMode="External" Id="rId29"/><Relationship Type="http://schemas.openxmlformats.org/officeDocument/2006/relationships/hyperlink" Target="https://arxiv.org/html/2603.26541v1" TargetMode="External" Id="rId30"/><Relationship Type="http://schemas.openxmlformats.org/officeDocument/2006/relationships/hyperlink" Target="https://arxiv.org/html/2603.26541v1" TargetMode="External" Id="rId31"/><Relationship Type="http://schemas.openxmlformats.org/officeDocument/2006/relationships/hyperlink" Target="https://arxiv.org/html/2603.26541v1" TargetMode="External" Id="rId32"/><Relationship Type="http://schemas.openxmlformats.org/officeDocument/2006/relationships/hyperlink" Target="https://ovi-map.github.io/" TargetMode="External" Id="rId3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H32"/>
  <ns0:sheetViews>
    <ns0:sheetView showGridLines="0" workbookViewId="0">
      <ns0:selection activeCell="A1" sqref="A1"/>
    </ns0:sheetView>
  </ns0:sheetViews>
  <ns0:sheetFormatPr baseColWidth="8" defaultColWidth="9" defaultRowHeight="14"/>
  <ns0:cols>
    <ns0:col width="25" customWidth="1" style="2" min="1" max="1"/>
    <ns0:col width="20" customWidth="1" style="2" min="2" max="2"/>
    <ns0:col width="15" customWidth="1" style="2" min="3" max="3"/>
    <ns0:col width="18" customWidth="1" style="2" min="4" max="4"/>
    <ns0:col width="16" customWidth="1" style="2" min="5" max="5"/>
    <ns0:col width="18" customWidth="1" style="2" min="6" max="6"/>
    <ns0:col width="22" customWidth="1" style="2" min="7" max="7"/>
    <ns0:col width="42" customWidth="1" style="2" min="8" max="8"/>
  </ns0:cols>
  <ns0:sheetData>
    <ns0:row r="1" ht="30" customHeight="1" s="2">
      <ns0:c r="A1" s="243" t="inlineStr">
        <ns0:is>
          <ns0:t>ConceptGraphs 实验结果总览</ns0:t>
        </ns0:is>
      </ns0:c>
      <ns0:c r="B1" s="158" t="n"/>
      <ns0:c r="C1" s="158" t="n"/>
      <ns0:c r="D1" s="158" t="n"/>
      <ns0:c r="E1" s="158" t="n"/>
      <ns0:c r="F1" s="158" t="n"/>
      <ns0:c r="G1" s="158" t="n"/>
      <ns0:c r="H1" s="159" t="n"/>
    </ns0:row>
    <ns0:row r="2" ht="38" customHeight="1" s="2">
      <ns0:c r="A2" s="244" t="inlineStr">
        <ns0:is>
          <ns0:t>截至 2026-08-30；服务器已完成结果。新增“可修性对比总览/明细”；旧三类错误 Oracle 页仅保留历史追溯，其精确 ρ 已作废。</ns0:t>
        </ns0:is>
      </ns0:c>
      <ns0:c r="B2" s="158" t="n"/>
      <ns0:c r="C2" s="158" t="n"/>
      <ns0:c r="D2" s="158" t="n"/>
      <ns0:c r="E2" s="158" t="n"/>
      <ns0:c r="F2" s="158" t="n"/>
      <ns0:c r="G2" s="158" t="n"/>
      <ns0:c r="H2" s="159" t="n"/>
    </ns0:row>
    <ns0:row r="3"/>
    <ns0:row r="4" ht="22" customHeight="1" s="2">
      <ns0:c r="A4" s="245" t="inlineStr">
        <ns0:is>
          <ns0:t>A. Replica 8 场景语义主结果（n_exclude=6，400 帧/场景，stride=5）</ns0:t>
        </ns0:is>
      </ns0:c>
      <ns0:c r="B4" s="158" t="n"/>
      <ns0:c r="C4" s="158" t="n"/>
      <ns0:c r="D4" s="158" t="n"/>
      <ns0:c r="E4" s="158" t="n"/>
      <ns0:c r="F4" s="158" t="n"/>
      <ns0:c r="G4" s="158" t="n"/>
      <ns0:c r="H4" s="159" t="n"/>
    </ns0:row>
    <ns0:row r="5" ht="30" customHeight="1" s="2">
      <ns0:c r="A5" s="7" t="inlineStr">
        <ns0:is>
          <ns0:t>指标</ns0:t>
        </ns0:is>
      </ns0:c>
      <ns0:c r="B5" s="7" t="inlineStr">
        <ns0:is>
          <ns0:t>论文 ConceptGraphs</ns0:t>
        </ns0:is>
      </ns0:c>
      <ns0:c r="C5" s="7" t="inlineStr">
        <ns0:is>
          <ns0:t>main 复现</ns0:t>
        </ns0:is>
      </ns0:c>
      <ns0:c r="D5" s="7" t="inlineStr">
        <ns0:is>
          <ns0:t>ali-my</ns0:t>
        </ns0:is>
      </ns0:c>
      <ns0:c r="E5" s="7" t="inlineStr">
        <ns0:is>
          <ns0:t>ali-my-main（pp）</ns0:t>
        </ns0:is>
      </ns0:c>
      <ns0:c r="F5" s="7" t="inlineStr">
        <ns0:is>
          <ns0:t>ali-my-论文（pp）</ns0:t>
        </ns0:is>
      </ns0:c>
      <ns0:c r="G5" s="7" t="inlineStr">
        <ns0:is>
          <ns0:t>比较结论</ns0:t>
        </ns0:is>
      </ns0:c>
      <ns0:c r="H5" s="7" t="inlineStr">
        <ns0:is>
          <ns0:t>备注</ns0:t>
        </ns0:is>
      </ns0:c>
    </ns0:row>
    <ns0:row r="6" ht="24" customHeight="1" s="2">
      <ns0:c r="A6" s="8" t="inlineStr">
        <ns0:is>
          <ns0:t>mIoU</ns0:t>
        </ns0:is>
      </ns0:c>
      <ns0:c r="B6" s="9" t="n"/>
      <ns0:c r="C6" s="10" t="n">
        <ns0:v>0.2485475274</ns0:v>
      </ns0:c>
      <ns0:c r="D6" s="10" t="n">
        <ns0:v>0.2763743329</ns0:v>
      </ns0:c>
      <ns0:c r="E6" s="11" t="n">
        <ns0:v>2.78</ns0:v>
      </ns0:c>
      <ns0:c r="F6" s="9" t="n"/>
      <ns0:c r="G6" s="8" t="inlineStr">
        <ns0:is>
          <ns0:t>同后端可比</ns0:t>
        </ns0:is>
      </ns0:c>
      <ns0:c r="H6" s="8" t="inlineStr">
        <ns0:is>
          <ns0:t>论文 Table II 未报告 mIoU</ns0:t>
        </ns0:is>
      </ns0:c>
    </ns0:row>
    <ns0:row r="7" ht="24" customHeight="1" s="2">
      <ns0:c r="A7" s="12" t="inlineStr">
        <ns0:is>
          <ns0:t>mRecall / mAcc</ns0:t>
        </ns0:is>
      </ns0:c>
      <ns0:c r="B7" s="13" t="n">
        <ns0:v>0.4063</ns0:v>
      </ns0:c>
      <ns0:c r="C7" s="13" t="n">
        <ns0:v>0.4064905794</ns0:v>
      </ns0:c>
      <ns0:c r="D7" s="13" t="n">
        <ns0:v>0.4509408941</ns0:v>
      </ns0:c>
      <ns0:c r="E7" s="14" t="n">
        <ns0:v>4.45</ns0:v>
      </ns0:c>
      <ns0:c r="F7" s="14" t="n">
        <ns0:v>4.46</ns0:v>
      </ns0:c>
      <ns0:c r="G7" s="12" t="inlineStr">
        <ns0:is>
          <ns0:t>可直接对齐</ns0:t>
        </ns0:is>
      </ns0:c>
      <ns0:c r="H7" s="12" t="inlineStr">
        <ns0:is>
          <ns0:t>论文名称 mAcc</ns0:t>
        </ns0:is>
      </ns0:c>
    </ns0:row>
    <ns0:row r="8" ht="24" customHeight="1" s="2">
      <ns0:c r="A8" s="8" t="inlineStr">
        <ns0:is>
          <ns0:t>mPrecision</ns0:t>
        </ns0:is>
      </ns0:c>
      <ns0:c r="B8" s="9" t="n"/>
      <ns0:c r="C8" s="10" t="n">
        <ns0:v>0.3631107484</ns0:v>
      </ns0:c>
      <ns0:c r="D8" s="10" t="n">
        <ns0:v>0.4259949707</ns0:v>
      </ns0:c>
      <ns0:c r="E8" s="11" t="n">
        <ns0:v>6.29</ns0:v>
      </ns0:c>
      <ns0:c r="F8" s="9" t="n"/>
      <ns0:c r="G8" s="8" t="inlineStr">
        <ns0:is>
          <ns0:t>同后端可比</ns0:t>
        </ns0:is>
      </ns0:c>
      <ns0:c r="H8" s="8" t="inlineStr">
        <ns0:is>
          <ns0:t>论文未报告</ns0:t>
        </ns0:is>
      </ns0:c>
    </ns0:row>
    <ns0:row r="9" ht="24" customHeight="1" s="2">
      <ns0:c r="A9" s="12" t="inlineStr">
        <ns0:is>
          <ns0:t>mF1</ns0:t>
        </ns0:is>
      </ns0:c>
      <ns0:c r="B9" s="15" t="n"/>
      <ns0:c r="C9" s="13" t="n">
        <ns0:v>0.3041183629</ns0:v>
      </ns0:c>
      <ns0:c r="D9" s="13" t="n">
        <ns0:v>0.3421515314</ns0:v>
      </ns0:c>
      <ns0:c r="E9" s="14" t="n">
        <ns0:v>3.8</ns0:v>
      </ns0:c>
      <ns0:c r="F9" s="15" t="n"/>
      <ns0:c r="G9" s="12" t="inlineStr">
        <ns0:is>
          <ns0:t>同后端可比</ns0:t>
        </ns0:is>
      </ns0:c>
      <ns0:c r="H9" s="12" t="inlineStr">
        <ns0:is>
          <ns0:t>论文未报告</ns0:t>
        </ns0:is>
      </ns0:c>
    </ns0:row>
    <ns0:row r="10" ht="24" customHeight="1" s="2">
      <ns0:c r="A10" s="8" t="inlineStr">
        <ns0:is>
          <ns0:t>fwIoU / F-mIoU</ns0:t>
        </ns0:is>
      </ns0:c>
      <ns0:c r="B10" s="10" t="n">
        <ns0:v>0.3595</ns0:v>
      </ns0:c>
      <ns0:c r="C10" s="10" t="n">
        <ns0:v>0.3647047971</ns0:v>
      </ns0:c>
      <ns0:c r="D10" s="10" t="n">
        <ns0:v>0.4073802701</ns0:v>
      </ns0:c>
      <ns0:c r="E10" s="11" t="n">
        <ns0:v>4.27</ns0:v>
      </ns0:c>
      <ns0:c r="F10" s="11" t="n">
        <ns0:v>4.79</ns0:v>
      </ns0:c>
      <ns0:c r="G10" s="8" t="inlineStr">
        <ns0:is>
          <ns0:t>可直接对齐</ns0:t>
        </ns0:is>
      </ns0:c>
      <ns0:c r="H10" s="8" t="inlineStr">
        <ns0:is>
          <ns0:t>论文名称 F-mIoU</ns0:t>
        </ns0:is>
      </ns0:c>
    </ns0:row>
    <ns0:row r="11" ht="24" customHeight="1" s="2">
      <ns0:c r="A11" s="12" t="inlineStr">
        <ns0:is>
          <ns0:t>点准确率</ns0:t>
        </ns0:is>
      </ns0:c>
      <ns0:c r="B11" s="15" t="n"/>
      <ns0:c r="C11" s="13" t="n">
        <ns0:v>0.4325967455</ns0:v>
      </ns0:c>
      <ns0:c r="D11" s="13" t="n">
        <ns0:v>0.5110663723</ns0:v>
      </ns0:c>
      <ns0:c r="E11" s="14" t="n">
        <ns0:v>7.85</ns0:v>
      </ns0:c>
      <ns0:c r="F11" s="15" t="n"/>
      <ns0:c r="G11" s="12" t="inlineStr">
        <ns0:is>
          <ns0:t>同后端可比</ns0:t>
        </ns0:is>
      </ns0:c>
      <ns0:c r="H11" s="12" t="inlineStr">
        <ns0:is>
          <ns0:t>论文未报告</ns0:t>
        </ns0:is>
      </ns0:c>
    </ns0:row>
    <ns0:row r="12"/>
    <ns0:row r="13" ht="22" customHeight="1" s="2">
      <ns0:c r="A13" s="245" t="inlineStr">
        <ns0:is>
          <ns0:t>B. ReplicaSSG 8 场景对象识别</ns0:t>
        </ns0:is>
      </ns0:c>
      <ns0:c r="B13" s="158" t="n"/>
      <ns0:c r="C13" s="158" t="n"/>
      <ns0:c r="D13" s="158" t="n"/>
      <ns0:c r="E13" s="158" t="n"/>
      <ns0:c r="F13" s="158" t="n"/>
      <ns0:c r="G13" s="158" t="n"/>
      <ns0:c r="H13" s="159" t="n"/>
    </ns0:row>
    <ns0:row r="14" ht="30" customHeight="1" s="2">
      <ns0:c r="A14" s="7" t="inlineStr">
        <ns0:is>
          <ns0:t>指标</ns0:t>
        </ns0:is>
      </ns0:c>
      <ns0:c r="B14" s="7" t="inlineStr">
        <ns0:is>
          <ns0:t>论文官方</ns0:t>
        </ns0:is>
      </ns0:c>
      <ns0:c r="C14" s="7" t="inlineStr">
        <ns0:is>
          <ns0:t>main</ns0:t>
        </ns0:is>
      </ns0:c>
      <ns0:c r="D14" s="7" t="inlineStr">
        <ns0:is>
          <ns0:t>ali-my</ns0:t>
        </ns0:is>
      </ns0:c>
      <ns0:c r="E14" s="7" t="inlineStr">
        <ns0:is>
          <ns0:t>差值</ns0:t>
        </ns0:is>
      </ns0:c>
      <ns0:c r="F14" s="7" t="inlineStr">
        <ns0:is>
          <ns0:t>论文差值</ns0:t>
        </ns0:is>
      </ns0:c>
      <ns0:c r="G14" s="7" t="inlineStr">
        <ns0:is>
          <ns0:t>判断</ns0:t>
        </ns0:is>
      </ns0:c>
      <ns0:c r="H14" s="7" t="inlineStr">
        <ns0:is>
          <ns0:t>备注</ns0:t>
        </ns0:is>
      </ns0:c>
    </ns0:row>
    <ns0:row r="15" ht="24" customHeight="1" s="2">
      <ns0:c r="A15" s="8" t="inlineStr">
        <ns0:is>
          <ns0:t>GT 对象</ns0:t>
        </ns0:is>
      </ns0:c>
      <ns0:c r="B15" s="9" t="n"/>
      <ns0:c r="C15" s="10" t="n">
        <ns0:v>248</ns0:v>
      </ns0:c>
      <ns0:c r="D15" s="10" t="n">
        <ns0:v>248</ns0:v>
      </ns0:c>
      <ns0:c r="E15" s="9" t="n">
        <ns0:v>0</ns0:v>
      </ns0:c>
      <ns0:c r="F15" s="9" t="n"/>
      <ns0:c r="G15" s="8" t="inlineStr">
        <ns0:is>
          <ns0:t>相同</ns0:t>
        </ns0:is>
      </ns0:c>
      <ns0:c r="H15" s="8" t="inlineStr">
        <ns0:is>
          <ns0:t>8 场景池化</ns0:t>
        </ns0:is>
      </ns0:c>
    </ns0:row>
    <ns0:row r="16" ht="24" customHeight="1" s="2">
      <ns0:c r="A16" s="12" t="inlineStr">
        <ns0:is>
          <ns0:t>预测对象</ns0:t>
        </ns0:is>
      </ns0:c>
      <ns0:c r="B16" s="15" t="n"/>
      <ns0:c r="C16" s="13" t="n">
        <ns0:v>612</ns0:v>
      </ns0:c>
      <ns0:c r="D16" s="13" t="n">
        <ns0:v>381</ns0:v>
      </ns0:c>
      <ns0:c r="E16" s="15" t="n">
        <ns0:v>-231</ns0:v>
      </ns0:c>
      <ns0:c r="F16" s="15" t="n"/>
      <ns0:c r="G16" s="12" t="inlineStr">
        <ns0:is>
          <ns0:t>ali-my 更紧凑</ns0:t>
        </ns0:is>
      </ns0:c>
      <ns0:c r="H16" s="12" t="inlineStr">
        <ns0:is>
          <ns0:t>数量，不是百分比</ns0:t>
        </ns0:is>
      </ns0:c>
    </ns0:row>
    <ns0:row r="17" ht="24" customHeight="1" s="2">
      <ns0:c r="A17" s="8" t="inlineStr">
        <ns0:is>
          <ns0:t>几何匹配</ns0:t>
        </ns0:is>
      </ns0:c>
      <ns0:c r="B17" s="9" t="n"/>
      <ns0:c r="C17" s="10" t="n">
        <ns0:v>175</ns0:v>
      </ns0:c>
      <ns0:c r="D17" s="10" t="n">
        <ns0:v>138</ns0:v>
      </ns0:c>
      <ns0:c r="E17" s="9" t="n">
        <ns0:v>-37</ns0:v>
      </ns0:c>
      <ns0:c r="F17" s="9" t="n"/>
      <ns0:c r="G17" s="8" t="inlineStr">
        <ns0:is>
          <ns0:t>main 更高</ns0:t>
        </ns0:is>
      </ns0:c>
      <ns0:c r="H17" s="8" t="inlineStr">
        <ns0:is>
          <ns0:t>单向 KD-tree 协议</ns0:t>
        </ns0:is>
      </ns0:c>
    </ns0:row>
    <ns0:row r="18" ht="24" customHeight="1" s="2">
      <ns0:c r="A18" s="12" t="inlineStr">
        <ns0:is>
          <ns0:t>几何覆盖率</ns0:t>
        </ns0:is>
      </ns0:c>
      <ns0:c r="B18" s="15" t="n"/>
      <ns0:c r="C18" s="13" t="n">
        <ns0:v>0.7056</ns0:v>
      </ns0:c>
      <ns0:c r="D18" s="13" t="n">
        <ns0:v>0.5565</ns0:v>
      </ns0:c>
      <ns0:c r="E18" s="12" t="inlineStr">
        <ns0:is>
          <ns0:t>-14.92 pp</ns0:t>
        </ns0:is>
      </ns0:c>
      <ns0:c r="F18" s="15" t="n"/>
      <ns0:c r="G18" s="12" t="inlineStr">
        <ns0:is>
          <ns0:t>main 更高</ns0:t>
        </ns0:is>
      </ns0:c>
      <ns0:c r="H18" s="12" t="inlineStr">
        <ns0:is>
          <ns0:t>论文无对应指标</ns0:t>
        </ns0:is>
      </ns0:c>
    </ns0:row>
    <ns0:row r="19" ht="24" customHeight="1" s="2">
      <ns0:c r="A19" s="8" t="inlineStr">
        <ns0:is>
          <ns0:t>R@1</ns0:t>
        </ns0:is>
      </ns0:c>
      <ns0:c r="B19" s="9" t="n"/>
      <ns0:c r="C19" s="10" t="n">
        <ns0:v>0.2056</ns0:v>
      </ns0:c>
      <ns0:c r="D19" s="10" t="n">
        <ns0:v>0.1774</ns0:v>
      </ns0:c>
      <ns0:c r="E19" s="8" t="inlineStr">
        <ns0:is>
          <ns0:t>-2.82 pp</ns0:t>
        </ns0:is>
      </ns0:c>
      <ns0:c r="F19" s="9" t="n"/>
      <ns0:c r="G19" s="8" t="inlineStr">
        <ns0:is>
          <ns0:t>main 更高</ns0:t>
        </ns0:is>
      </ns0:c>
      <ns0:c r="H19" s="8" t="inlineStr">
        <ns0:is>
          <ns0:t>论文无 ReplicaSSG 对应值</ns0:t>
        </ns0:is>
      </ns0:c>
    </ns0:row>
    <ns0:row r="20" ht="24" customHeight="1" s="2">
      <ns0:c r="A20" s="12" t="inlineStr">
        <ns0:is>
          <ns0:t>R@5</ns0:t>
        </ns0:is>
      </ns0:c>
      <ns0:c r="B20" s="15" t="n"/>
      <ns0:c r="C20" s="13" t="n">
        <ns0:v>0.5565</ns0:v>
      </ns0:c>
      <ns0:c r="D20" s="13" t="n">
        <ns0:v>0.4395</ns0:v>
      </ns0:c>
      <ns0:c r="E20" s="12" t="inlineStr">
        <ns0:is>
          <ns0:t>-11.69 pp</ns0:t>
        </ns0:is>
      </ns0:c>
      <ns0:c r="F20" s="15" t="n"/>
      <ns0:c r="G20" s="12" t="inlineStr">
        <ns0:is>
          <ns0:t>main 更高</ns0:t>
        </ns0:is>
      </ns0:c>
      <ns0:c r="H20" s="12" t="inlineStr">
        <ns0:is>
          <ns0:t>论文无 ReplicaSSG 对应值</ns0:t>
        </ns0:is>
      </ns0:c>
    </ns0:row>
    <ns0:row r="21" ht="24" customHeight="1" s="2">
      <ns0:c r="A21" s="8" t="inlineStr">
        <ns0:is>
          <ns0:t>mR@1</ns0:t>
        </ns0:is>
      </ns0:c>
      <ns0:c r="B21" s="9" t="n"/>
      <ns0:c r="C21" s="10" t="n">
        <ns0:v>0.3159</ns0:v>
      </ns0:c>
      <ns0:c r="D21" s="10" t="n">
        <ns0:v>0.3232</ns0:v>
      </ns0:c>
      <ns0:c r="E21" s="8" t="inlineStr">
        <ns0:is>
          <ns0:t>+0.74 pp</ns0:t>
        </ns0:is>
      </ns0:c>
      <ns0:c r="F21" s="9" t="n"/>
      <ns0:c r="G21" s="8" t="inlineStr">
        <ns0:is>
          <ns0:t>ali-my 略高</ns0:t>
        </ns0:is>
      </ns0:c>
      <ns0:c r="H21" s="8" t="inlineStr">
        <ns0:is>
          <ns0:t>24 个出现类别</ns0:t>
        </ns0:is>
      </ns0:c>
    </ns0:row>
    <ns0:row r="22" ht="24" customHeight="1" s="2">
      <ns0:c r="A22" s="12" t="inlineStr">
        <ns0:is>
          <ns0:t>mR@5</ns0:t>
        </ns0:is>
      </ns0:c>
      <ns0:c r="B22" s="15" t="n"/>
      <ns0:c r="C22" s="13" t="n">
        <ns0:v>0.546</ns0:v>
      </ns0:c>
      <ns0:c r="D22" s="13" t="n">
        <ns0:v>0.553</ns0:v>
      </ns0:c>
      <ns0:c r="E22" s="12" t="inlineStr">
        <ns0:is>
          <ns0:t>+0.70 pp</ns0:t>
        </ns0:is>
      </ns0:c>
      <ns0:c r="F22" s="15" t="n"/>
      <ns0:c r="G22" s="12" t="inlineStr">
        <ns0:is>
          <ns0:t>ali-my 略高</ns0:t>
        </ns0:is>
      </ns0:c>
      <ns0:c r="H22" s="12" t="inlineStr">
        <ns0:is>
          <ns0:t>24 个出现类别</ns0:t>
        </ns0:is>
      </ns0:c>
    </ns0:row>
    <ns0:row r="23"/>
    <ns0:row r="24" ht="22" customHeight="1" s="2">
      <ns0:c r="A24" s="245" t="inlineStr">
        <ns0:is>
          <ns0:t>C. 已完成的关系、审计、VLM 与修订结果摘要</ns0:t>
        </ns0:is>
      </ns0:c>
      <ns0:c r="B24" s="158" t="n"/>
      <ns0:c r="C24" s="158" t="n"/>
      <ns0:c r="D24" s="158" t="n"/>
      <ns0:c r="E24" s="158" t="n"/>
      <ns0:c r="F24" s="158" t="n"/>
      <ns0:c r="G24" s="158" t="n"/>
      <ns0:c r="H24" s="159" t="n"/>
    </ns0:row>
    <ns0:row r="25" ht="30" customHeight="1" s="2">
      <ns0:c r="A25" s="7" t="inlineStr">
        <ns0:is>
          <ns0:t>实验</ns0:t>
        </ns0:is>
      </ns0:c>
      <ns0:c r="B25" s="7" t="inlineStr">
        <ns0:is>
          <ns0:t>指标1</ns0:t>
        </ns0:is>
      </ns0:c>
      <ns0:c r="C25" s="7" t="inlineStr">
        <ns0:is>
          <ns0:t>数值1</ns0:t>
        </ns0:is>
      </ns0:c>
      <ns0:c r="D25" s="7" t="inlineStr">
        <ns0:is>
          <ns0:t>指标2</ns0:t>
        </ns0:is>
      </ns0:c>
      <ns0:c r="E25" s="7" t="inlineStr">
        <ns0:is>
          <ns0:t>数值2</ns0:t>
        </ns0:is>
      </ns0:c>
      <ns0:c r="F25" s="7" t="inlineStr">
        <ns0:is>
          <ns0:t>指标3</ns0:t>
        </ns0:is>
      </ns0:c>
      <ns0:c r="G25" s="7" t="inlineStr">
        <ns0:is>
          <ns0:t>数值3</ns0:t>
        </ns0:is>
      </ns0:c>
      <ns0:c r="H25" s="7" t="inlineStr">
        <ns0:is>
          <ns0:t>口径/边界</ns0:t>
        </ns0:is>
      </ns0:c>
    </ns0:row>
    <ns0:row r="26" ht="24" customHeight="1" s="2">
      <ns0:c r="A26" s="8" t="inlineStr">
        <ns0:is>
          <ns0:t>ali-dev 派生关系（8场景）</ns0:t>
        </ns0:is>
      </ns0:c>
      <ns0:c r="B26" s="8" t="inlineStr">
        <ns0:is>
          <ns0:t>R@1</ns0:t>
        </ns0:is>
      </ns0:c>
      <ns0:c r="C26" s="10" t="n">
        <ns0:v>0.5503</ns0:v>
      </ns0:c>
      <ns0:c r="D26" s="8" t="inlineStr">
        <ns0:is>
          <ns0:t>R@3</ns0:t>
        </ns0:is>
      </ns0:c>
      <ns0:c r="E26" s="10" t="n">
        <ns0:v>0.7315</ns0:v>
      </ns0:c>
      <ns0:c r="F26" s="8" t="inlineStr">
        <ns0:is>
          <ns0:t>mR@1 / mR@3</ns0:t>
        </ns0:is>
      </ns0:c>
      <ns0:c r="G26" s="8" t="inlineStr">
        <ns0:is>
          <ns0:t>19.18% / 32.96%</ns0:t>
        </ns0:is>
      </ns0:c>
      <ns0:c r="H26" s="8" t="inlineStr">
        <ns0:is>
          <ns0:t>ReplicaSSG；不是论文 AMT precision</ns0:t>
        </ns0:is>
      </ns0:c>
    </ns0:row>
    <ns0:row r="27" ht="24" customHeight="1" s="2">
      <ns0:c r="A27" s="12" t="inlineStr">
        <ns0:is>
          <ns0:t>严格 ali-dev room0</ns0:t>
        </ns0:is>
      </ns0:c>
      <ns0:c r="B27" s="12" t="inlineStr">
        <ns0:is>
          <ns0:t>paper R@1</ns0:t>
        </ns0:is>
      </ns0:c>
      <ns0:c r="C27" s="13" t="n">
        <ns0:v>0.5600000000000001</ns0:v>
      </ns0:c>
      <ns0:c r="D27" s="12" t="inlineStr">
        <ns0:is>
          <ns0:t>paper R@3</ns0:t>
        </ns0:is>
      </ns0:c>
      <ns0:c r="E27" s="13" t="n">
        <ns0:v>0.64</ns0:v>
      </ns0:c>
      <ns0:c r="F27" s="12" t="inlineStr">
        <ns0:is>
          <ns0:t>0.99 edge F1</ns0:t>
        </ns0:is>
      </ns0:c>
      <ns0:c r="G27" s="12" t="inlineStr">
        <ns0:is>
          <ns0:t>14.08%</ns0:t>
        </ns0:is>
      </ns0:c>
      <ns0:c r="H27" s="12" t="inlineStr">
        <ns0:is>
          <ns0:t>仅 room0 可严格归属 ali-dev</ns0:t>
        </ns0:is>
      </ns0:c>
    </ns0:row>
    <ns0:row r="28" ht="24" customHeight="1" s="2">
      <ns0:c r="A28" s="8" t="inlineStr">
        <ns0:is>
          <ns0:t>ali-my R1 人工审计</ns0:t>
        </ns0:is>
      </ns0:c>
      <ns0:c r="B28" s="8" t="inlineStr">
        <ns0:is>
          <ns0:t>错误率</ns0:t>
        </ns0:is>
      </ns0:c>
      <ns0:c r="C28" s="10" t="n">
        <ns0:v>0.421053</ns0:v>
      </ns0:c>
      <ns0:c r="D28" s="8" t="inlineStr">
        <ns0:is>
          <ns0:t>证据充分</ns0:t>
        </ns0:is>
      </ns0:c>
      <ns0:c r="E28" s="10" t="n">
        <ns0:v>0.9793809999999999</ns0:v>
      </ns0:c>
      <ns0:c r="F28" s="8" t="inlineStr">
        <ns0:is>
          <ns0:t>错误/正确/不明确</ns0:t>
        </ns0:is>
      </ns0:c>
      <ns0:c r="G28" s="8" t="inlineStr">
        <ns0:is>
          <ns0:t>40 / 55 / 2</ns0:t>
        </ns0:is>
      </ns0:c>
      <ns0:c r="H28" s="8" t="inlineStr">
        <ns0:is>
          <ns0:t>97 endpoint</ns0:t>
        </ns0:is>
      </ns0:c>
    </ns0:row>
    <ns0:row r="29" ht="24" customHeight="1" s="2">
      <ns0:c r="A29" s="12" t="inlineStr">
        <ns0:is>
          <ns0:t>ali-my-VLM full_97</ns0:t>
        </ns0:is>
      </ns0:c>
      <ns0:c r="B29" s="12" t="inlineStr">
        <ns0:is>
          <ns0:t>状态准确率</ns0:t>
        </ns0:is>
      </ns0:c>
      <ns0:c r="C29" s="13" t="n">
        <ns0:v>0.670103</ns0:v>
      </ns0:c>
      <ns0:c r="D29" s="12" t="inlineStr">
        <ns0:is>
          <ns0:t>WRONG F1</ns0:t>
        </ns0:is>
      </ns0:c>
      <ns0:c r="E29" s="13" t="n">
        <ns0:v>0.666667</ns0:v>
      </ns0:c>
      <ns0:c r="F29" s="12" t="inlineStr">
        <ns0:is>
          <ns0:t>Precision / Recall</ns0:t>
        </ns0:is>
      </ns0:c>
      <ns0:c r="G29" s="12" t="inlineStr">
        <ns0:is>
          <ns0:t>58.49% / 77.50%</ns0:t>
        </ns0:is>
      </ns0:c>
      <ns0:c r="H29" s="12" t="inlineStr">
        <ns0:is>
          <ns0:t>19 个动作中 8 个对应 R1 CORRECT</ns0:t>
        </ns0:is>
      </ns0:c>
    </ns0:row>
    <ns0:row r="30" ht="24" customHeight="1" s="2">
      <ns0:c r="A30" s="8" t="inlineStr">
        <ns0:is>
          <ns0:t>Revision Kernel V1</ns0:t>
        </ns0:is>
      </ns0:c>
      <ns0:c r="B30" s="8" t="inlineStr">
        <ns0:is>
          <ns0:t>损伤案例修复</ns0:t>
        </ns0:is>
      </ns0:c>
      <ns0:c r="C30" s="10" t="n">
        <ns0:v>1</ns0:v>
      </ns0:c>
      <ns0:c r="D30" s="8" t="inlineStr">
        <ns0:is>
          <ns0:t>collateral-safe</ns0:t>
        </ns0:is>
      </ns0:c>
      <ns0:c r="E30" s="10" t="n">
        <ns0:v>1</ns0:v>
      </ns0:c>
      <ns0:c r="F30" s="8" t="inlineStr">
        <ns0:is>
          <ns0:t>修复/损伤/冻结</ns0:t>
        </ns0:is>
      </ns0:c>
      <ns0:c r="G30" s="8" t="inlineStr">
        <ns0:is>
          <ns0:t>49 / 49 / 60</ns0:t>
        </ns0:is>
      </ns0:c>
      <ns0:c r="H30" s="8" t="inlineStr">
        <ns0:is>
          <ns0:t>两开发场景 controlled benchmark</ns0:t>
        </ns0:is>
      </ns0:c>
    </ns0:row>
    <ns0:row r="31" ht="50" customHeight="1" s="2">
      <ns0:c r="A31" s="73" t="inlineStr">
        <ns0:is>
          <ns0:t>可修性对比验证（2场景）</ns0:t>
        </ns0:is>
      </ns0:c>
      <ns0:c r="B31" s="74" t="inlineStr">
        <ns0:is>
          <ns0:t>OA差距恢复(F1)</ns0:t>
        </ns0:is>
      </ns0:c>
      <ns0:c r="C31" s="75" t="inlineStr">
        <ns0:is>
          <ns0:t>room 12.09%; office 2.58%</ns0:t>
        </ns0:is>
      </ns0:c>
      <ns0:c r="D31" s="74" t="inlineStr">
        <ns0:is>
          <ns0:t>OM_all差距恢复(F1)</ns0:t>
        </ns0:is>
      </ns0:c>
      <ns0:c r="E31" s="75" t="inlineStr">
        <ns0:is>
          <ns0:t>room 81.47%; office 85.26%</ns0:t>
        </ns0:is>
      </ns0:c>
      <ns0:c r="F31" s="74" t="inlineStr">
        <ns0:is>
          <ns0:t>最终方向</ns0:t>
        </ns0:is>
      </ns0:c>
      <ns0:c r="G31" s="76" t="inlineStr">
        <ns0:is>
          <ns0:t>mask partition/cleanup + local replay</ns0:t>
        </ns0:is>
      </ns0:c>
      <ns0:c r="H31" s="77" t="inlineStr">
        <ns0:is>
          <ns0:t>旧ρ作废；严格语义收益未识别；详见新页</ns0:t>
        </ns0:is>
      </ns0:c>
    </ns0:row>
    <ns0:row r="32" ht="34" customHeight="1" s="2">
      <ns0:c r="A32" s="246" t="inlineStr">
        <ns0:is>
          <ns0:t>重要：论文 Table I 的 Edge Precision=88% 是 7 场景 AMT 开放词汇人工判断；本地 ReplicaSSG P/R/F1 使用稀疏封闭 GT，不能直接相减。</ns0:t>
        </ns0:is>
      </ns0:c>
      <ns0:c r="B32" s="158" t="n"/>
      <ns0:c r="C32" s="158" t="n"/>
      <ns0:c r="D32" s="158" t="n"/>
      <ns0:c r="E32" s="158" t="n"/>
      <ns0:c r="F32" s="158" t="n"/>
      <ns0:c r="G32" s="158" t="n"/>
      <ns0:c r="H32" s="159" t="n"/>
    </ns0:row>
  </ns0:sheetData>
  <ns0:mergeCells count="6">
    <ns0:mergeCell ref="A4:H4"/>
    <ns0:mergeCell ref="A24:H24"/>
    <ns0:mergeCell ref="A2:H2"/>
    <ns0:mergeCell ref="A13:H13"/>
    <ns0:mergeCell ref="A1:H1"/>
    <ns0:mergeCell ref="A32:H32"/>
  </ns0:mergeCells>
  <ns0:hyperlinks>
    <ns0:hyperlink ref="A31" ns1:id="rId1"/>
  </ns0:hyperlink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L168"/>
  <ns0:sheetViews>
    <ns0:sheetView showGridLines="0" workbookViewId="0">
      <ns0:pane xSplit="2" ySplit="5" topLeftCell="C6" activePane="bottomRight" state="frozen"/>
      <ns0:selection activeCell="A1" sqref="A1"/>
    </ns0:sheetView>
  </ns0:sheetViews>
  <ns0:sheetFormatPr baseColWidth="8" defaultRowHeight="15"/>
  <ns0:cols>
    <ns0:col width="24" customWidth="1" style="2" min="1" max="1"/>
    <ns0:col width="20" customWidth="1" style="2" min="2" max="2"/>
    <ns0:col width="13" customWidth="1" style="2" min="3" max="3"/>
    <ns0:col width="14" customWidth="1" style="2" min="4" max="4"/>
    <ns0:col width="14" customWidth="1" style="2" min="5" max="5"/>
    <ns0:col width="14" customWidth="1" style="2" min="6" max="6"/>
    <ns0:col width="13" customWidth="1" style="2" min="7" max="7"/>
    <ns0:col width="16" customWidth="1" style="2" min="8" max="8"/>
    <ns0:col width="15" customWidth="1" style="2" min="9" max="9"/>
    <ns0:col width="15" customWidth="1" style="2" min="10" max="10"/>
    <ns0:col width="15" customWidth="1" style="2" min="11" max="11"/>
    <ns0:col width="15" customWidth="1" style="2" min="12" max="12"/>
  </ns0:cols>
  <ns0:sheetData>
    <ns0:row r="1" ht="30" customHeight="1" s="2">
      <ns0:c r="A1" s="237" t="inlineStr">
        <ns0:is>
          <ns0:t>在线门控 room0：点级语义、实例PQ与几何覆盖率汇总（2026-09-05）</ns0:t>
        </ns0:is>
      </ns0:c>
    </ns0:row>
    <ns0:row r="2" ht="34" customHeight="1" s="2">
      <ns0:c r="A2" s="216" t="inlineStr">
        <ns0:is>
          <ns0:t>统一口径：Replica room0；23类；4,085,377评测点。语义评估均为ali-dev点级流程；PQ与覆盖率为fixed-support流程。单场景结果，不与8场景池化值直接比较。</ns0:t>
        </ns0:is>
      </ns0:c>
    </ns0:row>
    <ns0:row r="3">
      <ns0:c r="A3" s="238" t="n"/>
      <ns0:c r="B3" s="238" t="n"/>
      <ns0:c r="C3" s="238" t="n"/>
      <ns0:c r="D3" s="238" t="n"/>
      <ns0:c r="E3" s="238" t="n"/>
      <ns0:c r="F3" s="238" t="n"/>
      <ns0:c r="G3" s="238" t="n"/>
      <ns0:c r="H3" s="238" t="n"/>
      <ns0:c r="I3" s="238" t="n"/>
      <ns0:c r="J3" s="238" t="n"/>
      <ns0:c r="K3" s="238" t="n"/>
      <ns0:c r="L3" s="238" t="n"/>
    </ns0:row>
    <ns0:row r="4" ht="24" customHeight="1" s="2">
      <ns0:c r="A4" s="236" t="inlineStr">
        <ns0:is>
          <ns0:t>A. 点级语义主指标（百分比显示；保存原始精度）</ns0:t>
        </ns0:is>
      </ns0:c>
    </ns0:row>
    <ns0:row r="5" ht="42" customHeight="1" s="2">
      <ns0:c r="A5" s="223" t="inlineStr">
        <ns0:is>
          <ns0:t>实验目录</ns0:t>
        </ns0:is>
      </ns0:c>
      <ns0:c r="B5" s="223" t="inlineStr">
        <ns0:is>
          <ns0:t>模式 / 建图stride</ns0:t>
        </ns0:is>
      </ns0:c>
      <ns0:c r="C5" s="223" t="inlineStr">
        <ns0:is>
          <ns0:t>mIoU</ns0:t>
        </ns0:is>
      </ns0:c>
      <ns0:c r="D5" s="223" t="inlineStr">
        <ns0:is>
          <ns0:t>mAcc / mRecall</ns0:t>
        </ns0:is>
      </ns0:c>
      <ns0:c r="E5" s="223" t="inlineStr">
        <ns0:is>
          <ns0:t>mPrecision</ns0:t>
        </ns0:is>
      </ns0:c>
      <ns0:c r="F5" s="223" t="inlineStr">
        <ns0:is>
          <ns0:t>mF1（原公式）</ns0:t>
        </ns0:is>
      </ns0:c>
      <ns0:c r="G5" s="223" t="inlineStr">
        <ns0:is>
          <ns0:t>fwIoU</ns0:t>
        </ns0:is>
      </ns0:c>
      <ns0:c r="H5" s="223" t="inlineStr">
        <ns0:is>
          <ns0:t>Point Accuracy</ns0:t>
        </ns0:is>
      </ns0:c>
      <ns0:c r="I5" s="223" t="inlineStr">
        <ns0:is>
          <ns0:t>IoU &gt; 0.15 类数</ns0:t>
        </ns0:is>
      </ns0:c>
      <ns0:c r="J5" s="223" t="inlineStr">
        <ns0:is>
          <ns0:t>IoU &gt; 0.25 类数</ns0:t>
        </ns0:is>
      </ns0:c>
      <ns0:c r="K5" s="223" t="inlineStr">
        <ns0:is>
          <ns0:t>IoU &gt; 0.50 类数</ns0:t>
        </ns0:is>
      </ns0:c>
      <ns0:c r="L5" s="223" t="inlineStr">
        <ns0:is>
          <ns0:t>IoU &gt; 0.75 类数</ns0:t>
        </ns0:is>
      </ns0:c>
    </ns0:row>
    <ns0:row r="6" ht="38" customHeight="1" s="2">
      <ns0:c r="A6" s="226" t="inlineStr">
        <ns0:is>
          <ns0:t>off2000</ns0:t>
        </ns0:is>
      </ns0:c>
      <ns0:c r="B6" s="226" t="inlineStr">
        <ns0:is>
          <ns0:t>off / 5</ns0:t>
        </ns0:is>
      </ns0:c>
      <ns0:c r="C6" s="230" t="n">
        <ns0:v>0.1992985184308735</ns0:v>
      </ns0:c>
      <ns0:c r="D6" s="230" t="n">
        <ns0:v>0.3873306699705193</ns0:v>
      </ns0:c>
      <ns0:c r="E6" s="230" t="n">
        <ns0:v>0.2376431515604744</ns0:v>
      </ns0:c>
      <ns0:c r="F6" s="230" t="n">
        <ns0:v>0.2474773274218771</ns0:v>
      </ns0:c>
      <ns0:c r="G6" s="230" t="n">
        <ns0:v>0.4068411421813301</ns0:v>
      </ns0:c>
      <ns0:c r="H6" s="230" t="n">
        <ns0:v>0.5170443266312998</ns0:v>
      </ns0:c>
      <ns0:c r="I6" s="226" t="n">
        <ns0:v>8</ns0:v>
      </ns0:c>
      <ns0:c r="J6" s="226" t="n">
        <ns0:v>6</ns0:v>
      </ns0:c>
      <ns0:c r="K6" s="226" t="n">
        <ns0:v>5</ns0:v>
      </ns0:c>
      <ns0:c r="L6" s="226" t="n">
        <ns0:v>2</ns0:v>
      </ns0:c>
    </ns0:row>
    <ns0:row r="7" ht="38" customHeight="1" s="2">
      <ns0:c r="A7" s="279" t="inlineStr">
        <ns0:is>
          <ns0:t>my_vlm_pointcloud2000</ns0:t>
        </ns0:is>
      </ns0:c>
      <ns0:c r="B7" s="279" t="inlineStr">
        <ns0:is>
          <ns0:t>VLM / 5</ns0:t>
        </ns0:is>
      </ns0:c>
      <ns0:c r="C7" s="231" t="n">
        <ns0:v>0.1951881265880493</ns0:v>
      </ns0:c>
      <ns0:c r="D7" s="231" t="n">
        <ns0:v>0.3710469788561864</ns0:v>
      </ns0:c>
      <ns0:c r="E7" s="231" t="n">
        <ns0:v>0.2234635190740883</ns0:v>
      </ns0:c>
      <ns0:c r="F7" s="231" t="n">
        <ns0:v>0.2384099230758029</ns0:v>
      </ns0:c>
      <ns0:c r="G7" s="231" t="n">
        <ns0:v>0.481758077116731</ns0:v>
      </ns0:c>
      <ns0:c r="H7" s="231" t="n">
        <ns0:v>0.6069425171777293</ns0:v>
      </ns0:c>
      <ns0:c r="I7" s="279" t="n">
        <ns0:v>7</ns0:v>
      </ns0:c>
      <ns0:c r="J7" s="279" t="n">
        <ns0:v>6</ns0:v>
      </ns0:c>
      <ns0:c r="K7" s="279" t="n">
        <ns0:v>5</ns0:v>
      </ns0:c>
      <ns0:c r="L7" s="279" t="n">
        <ns0:v>2</ns0:v>
      </ns0:c>
    </ns0:row>
    <ns0:row r="8" ht="38" customHeight="1" s="2">
      <ns0:c r="A8" s="226" t="inlineStr">
        <ns0:is>
          <ns0:t>my_human2000</ns0:t>
        </ns0:is>
      </ns0:c>
      <ns0:c r="B8" s="226" t="inlineStr">
        <ns0:is>
          <ns0:t>human / 5</ns0:t>
        </ns0:is>
      </ns0:c>
      <ns0:c r="C8" s="230" t="n">
        <ns0:v>0.1989467221995654</ns0:v>
      </ns0:c>
      <ns0:c r="D8" s="230" t="n">
        <ns0:v>0.3753383216356859</ns0:v>
      </ns0:c>
      <ns0:c r="E8" s="230" t="n">
        <ns0:v>0.2247541988540486</ns0:v>
      </ns0:c>
      <ns0:c r="F8" s="230" t="n">
        <ns0:v>0.2416700366116194</ns0:v>
      </ns0:c>
      <ns0:c r="G8" s="230" t="n">
        <ns0:v>0.4918921916010184</ns0:v>
      </ns0:c>
      <ns0:c r="H8" s="230" t="n">
        <ns0:v>0.6162344380946972</ns0:v>
      </ns0:c>
      <ns0:c r="I8" s="226" t="n">
        <ns0:v>7</ns0:v>
      </ns0:c>
      <ns0:c r="J8" s="226" t="n">
        <ns0:v>6</ns0:v>
      </ns0:c>
      <ns0:c r="K8" s="226" t="n">
        <ns0:v>6</ns0:v>
      </ns0:c>
      <ns0:c r="L8" s="226" t="n">
        <ns0:v>2</ns0:v>
      </ns0:c>
    </ns0:row>
    <ns0:row r="9" ht="38" customHeight="1" s="2">
      <ns0:c r="A9" s="279" t="inlineStr">
        <ns0:is>
          <ns0:t>huamn2000_2</ns0:t>
        </ns0:is>
      </ns0:c>
      <ns0:c r="B9" s="279" t="inlineStr">
        <ns0:is>
          <ns0:t>human（第2版）/ 5</ns0:t>
        </ns0:is>
      </ns0:c>
      <ns0:c r="C9" s="231" t="n">
        <ns0:v>0.2001506539844413</ns0:v>
      </ns0:c>
      <ns0:c r="D9" s="231" t="n">
        <ns0:v>0.3758489806491229</ns0:v>
      </ns0:c>
      <ns0:c r="E9" s="231" t="n">
        <ns0:v>0.2268666163881042</ns0:v>
      </ns0:c>
      <ns0:c r="F9" s="231" t="n">
        <ns0:v>0.2425912546339255</ns0:v>
      </ns0:c>
      <ns0:c r="G9" s="231" t="n">
        <ns0:v>0.4925232370169597</ns0:v>
      </ns0:c>
      <ns0:c r="H9" s="231" t="n">
        <ns0:v>0.6170752417708329</ns0:v>
      </ns0:c>
      <ns0:c r="I9" s="279" t="n">
        <ns0:v>7</ns0:v>
      </ns0:c>
      <ns0:c r="J9" s="279" t="n">
        <ns0:v>6</ns0:v>
      </ns0:c>
      <ns0:c r="K9" s="279" t="n">
        <ns0:v>6</ns0:v>
      </ns0:c>
      <ns0:c r="L9" s="279" t="n">
        <ns0:v>2</ns0:v>
      </ns0:c>
    </ns0:row>
    <ns0:row r="10" ht="38" customHeight="1" s="2">
      <ns0:c r="A10" s="226" t="inlineStr">
        <ns0:is>
          <ns0:t>v4_human2000_2</ns0:t>
        </ns0:is>
      </ns0:c>
      <ns0:c r="B10" s="226" t="inlineStr">
        <ns0:is>
          <ns0:t>human（v4）/ 5</ns0:t>
        </ns0:is>
      </ns0:c>
      <ns0:c r="C10" s="230" t="n">
        <ns0:v>0.2004011363473277</ns0:v>
      </ns0:c>
      <ns0:c r="D10" s="230" t="n">
        <ns0:v>0.3759975685394643</ns0:v>
      </ns0:c>
      <ns0:c r="E10" s="230" t="n">
        <ns0:v>0.2270760441649825</ns0:v>
      </ns0:c>
      <ns0:c r="F10" s="230" t="n">
        <ns0:v>0.242490522577796</ns0:v>
      </ns0:c>
      <ns0:c r="G10" s="230" t="n">
        <ns0:v>0.4944336143580671</ns0:v>
      </ns0:c>
      <ns0:c r="H10" s="230" t="n">
        <ns0:v>0.6172820770274078</ns0:v>
      </ns0:c>
      <ns0:c r="I10" s="226" t="n">
        <ns0:v>7</ns0:v>
      </ns0:c>
      <ns0:c r="J10" s="226" t="n">
        <ns0:v>6</ns0:v>
      </ns0:c>
      <ns0:c r="K10" s="226" t="n">
        <ns0:v>5</ns0:v>
      </ns0:c>
      <ns0:c r="L10" s="226" t="n">
        <ns0:v>2</ns0:v>
      </ns0:c>
    </ns0:row>
    <ns0:row r="11" ht="38" customHeight="1" s="2">
      <ns0:c r="A11" s="279" t="inlineStr">
        <ns0:is>
          <ns0:t>v5_human2000</ns0:t>
        </ns0:is>
      </ns0:c>
      <ns0:c r="B11" s="279" t="inlineStr">
        <ns0:is>
          <ns0:t>human（v5）/ 5</ns0:t>
        </ns0:is>
      </ns0:c>
      <ns0:c r="C11" s="231" t="n">
        <ns0:v>0.2324101812631144</ns0:v>
      </ns0:c>
      <ns0:c r="D11" s="231" t="n">
        <ns0:v>0.4141970919216541</ns0:v>
      </ns0:c>
      <ns0:c r="E11" s="231" t="n">
        <ns0:v>0.2575068962924104</ns0:v>
      </ns0:c>
      <ns0:c r="F11" s="231" t="n">
        <ns0:v>0.2764887002311317</ns0:v>
      </ns0:c>
      <ns0:c r="G11" s="231" t="n">
        <ns0:v>0.5015772021690386</ns0:v>
      </ns0:c>
      <ns0:c r="H11" s="231" t="n">
        <ns0:v>0.6247942356360257</ns0:v>
      </ns0:c>
      <ns0:c r="I11" s="279" t="n">
        <ns0:v>8</ns0:v>
      </ns0:c>
      <ns0:c r="J11" s="279" t="n">
        <ns0:v>7</ns0:v>
      </ns0:c>
      <ns0:c r="K11" s="279" t="n">
        <ns0:v>5</ns0:v>
      </ns0:c>
      <ns0:c r="L11" s="279" t="n">
        <ns0:v>3</ns0:v>
      </ns0:c>
    </ns0:row>
    <ns0:row r="12" ht="38" customHeight="1" s="2">
      <ns0:c r="A12" s="226" t="inlineStr">
        <ns0:is>
          <ns0:t>off2000_10</ns0:t>
        </ns0:is>
      </ns0:c>
      <ns0:c r="B12" s="226" t="inlineStr">
        <ns0:is>
          <ns0:t>off / 10</ns0:t>
        </ns0:is>
      </ns0:c>
      <ns0:c r="C12" s="230" t="n">
        <ns0:v>0.2354780741715967</ns0:v>
      </ns0:c>
      <ns0:c r="D12" s="230" t="n">
        <ns0:v>0.4184566036919283</ns0:v>
      </ns0:c>
      <ns0:c r="E12" s="230" t="n">
        <ns0:v>0.2634417394464008</ns0:v>
      </ns0:c>
      <ns0:c r="F12" s="230" t="n">
        <ns0:v>0.2804552112809722</ns0:v>
      </ns0:c>
      <ns0:c r="G12" s="230" t="n">
        <ns0:v>0.4991844134589501</ns0:v>
      </ns0:c>
      <ns0:c r="H12" s="230" t="n">
        <ns0:v>0.6209125865250624</ns0:v>
      </ns0:c>
      <ns0:c r="I12" s="226" t="n">
        <ns0:v>8</ns0:v>
      </ns0:c>
      <ns0:c r="J12" s="226" t="n">
        <ns0:v>7</ns0:v>
      </ns0:c>
      <ns0:c r="K12" s="226" t="n">
        <ns0:v>7</ns0:v>
      </ns0:c>
      <ns0:c r="L12" s="226" t="n">
        <ns0:v>3</ns0:v>
      </ns0:c>
    </ns0:row>
    <ns0:row r="13" ht="38" customHeight="1" s="2">
      <ns0:c r="A13" s="279" t="inlineStr">
        <ns0:is>
          <ns0:t>v7_auto_20260908_104929_2348977</ns0:t>
        </ns0:is>
      </ns0:c>
      <ns0:c r="B13" s="279" t="inlineStr">
        <ns0:is>
          <ns0:t>VLM（v7 auto）/ 5</ns0:t>
        </ns0:is>
      </ns0:c>
      <ns0:c r="C13" s="231" t="n">
        <ns0:v>0.2703738445498065</ns0:v>
      </ns0:c>
      <ns0:c r="D13" s="231" t="n">
        <ns0:v>0.4547260235755364</ns0:v>
      </ns0:c>
      <ns0:c r="E13" s="231" t="n">
        <ns0:v>0.3012769106043296</ns0:v>
      </ns0:c>
      <ns0:c r="F13" s="231" t="n">
        <ns0:v>0.3179232381961332</ns0:v>
      </ns0:c>
      <ns0:c r="G13" s="231" t="n">
        <ns0:v>0.4990657085109017</ns0:v>
      </ns0:c>
      <ns0:c r="H13" s="231" t="n">
        <ns0:v>0.6297717444436585</ns0:v>
      </ns0:c>
      <ns0:c r="I13" s="279" t="n">
        <ns0:v>9</ns0:v>
      </ns0:c>
      <ns0:c r="J13" s="279" t="n">
        <ns0:v>8</ns0:v>
      </ns0:c>
      <ns0:c r="K13" s="279" t="n">
        <ns0:v>7</ns0:v>
      </ns0:c>
      <ns0:c r="L13" s="279" t="n">
        <ns0:v>4</ns0:v>
      </ns0:c>
    </ns0:row>
    <ns0:row r="14" ht="38" customHeight="1" s="2">
      <ns0:c r="A14" s="279" t="inlineStr">
        <ns0:is>
          <ns0:t>v7_auto_image</ns0:t>
        </ns0:is>
      </ns0:c>
      <ns0:c r="B14" s="279" t="inlineStr">
        <ns0:is>
          <ns0:t>VLM（image auto）/ 5</ns0:t>
        </ns0:is>
      </ns0:c>
      <ns0:c r="C14" s="231" t="n">
        <ns0:v>0.3513408412316174</ns0:v>
      </ns0:c>
      <ns0:c r="D14" s="231" t="n">
        <ns0:v>0.4855892489540388</ns0:v>
      </ns0:c>
      <ns0:c r="E14" s="231" t="n">
        <ns0:v>0.3974043204193368</ns0:v>
      </ns0:c>
      <ns0:c r="F14" s="231" t="n">
        <ns0:v>0.3992393070863591</ns0:v>
      </ns0:c>
      <ns0:c r="G14" s="231" t="n">
        <ns0:v>0.6909589143666327</ns0:v>
      </ns0:c>
      <ns0:c r="H14" s="231" t="n">
        <ns0:v>0.7741351654939067</ns0:v>
      </ns0:c>
      <ns0:c r="I14" s="279" t="n">
        <ns0:v>11</ns0:v>
      </ns0:c>
      <ns0:c r="J14" s="279" t="n">
        <ns0:v>10</ns0:v>
      </ns0:c>
      <ns0:c r="K14" s="305" t="n">
        <ns0:v>10</ns0:v>
      </ns0:c>
      <ns0:c r="L14" s="279" t="n">
        <ns0:v>6</ns0:v>
      </ns0:c>
    </ns0:row>
    <ns0:row r="15" ht="60" customHeight="1" s="2">
      <ns0:c r="A15" s="279" t="inlineStr">
        <ns0:is>
          <ns0:t>v7_merge_auto_20260909_110828_335106</ns0:t>
        </ns0:is>
      </ns0:c>
      <ns0:c r="B15" s="279" t="inlineStr">
        <ns0:is>
          <ns0:t>VLM（merge auto）/ 5</ns0:t>
        </ns0:is>
      </ns0:c>
      <ns0:c r="C15" s="231" t="n">
        <ns0:v>0.3623751155930481</ns0:v>
      </ns0:c>
      <ns0:c r="D15" s="231" t="n">
        <ns0:v>0.4918075287366498</ns0:v>
      </ns0:c>
      <ns0:c r="E15" s="231" t="n">
        <ns0:v>0.4076312743060154</ns0:v>
      </ns0:c>
      <ns0:c r="F15" s="231" t="n">
        <ns0:v>0.4079380617747496</ns0:v>
      </ns0:c>
      <ns0:c r="G15" s="231" t="n">
        <ns0:v>0.7144979195757243</ns0:v>
      </ns0:c>
      <ns0:c r="H15" s="231" t="n">
        <ns0:v>0.793369130927207</ns0:v>
      </ns0:c>
      <ns0:c r="I15" s="305" t="n">
        <ns0:v>12</ns0:v>
      </ns0:c>
      <ns0:c r="J15" s="279" t="n">
        <ns0:v>10</ns0:v>
      </ns0:c>
      <ns0:c r="K15" s="305" t="n">
        <ns0:v>10</ns0:v>
      </ns0:c>
      <ns0:c r="L15" s="279" t="n">
        <ns0:v>6</ns0:v>
      </ns0:c>
    </ns0:row>
    <ns0:row r="16" ht="60" customHeight="1" s="2">
      <ns0:c r="A16" s="247" t="inlineStr">
        <ns0:is>
          <ns0:t>v7_CLIP_auto_20260909_160519_2075470</ns0:t>
        </ns0:is>
      </ns0:c>
      <ns0:c r="B16" s="247" t="inlineStr">
        <ns0:is>
          <ns0:t>VLM（v7_CLIP）/ 5</ns0:t>
        </ns0:is>
      </ns0:c>
      <ns0:c r="C16" s="267" t="n">
        <ns0:v>0.3695175589357339</ns0:v>
      </ns0:c>
      <ns0:c r="D16" s="267" t="n">
        <ns0:v>0.4972475077611224</ns0:v>
      </ns0:c>
      <ns0:c r="E16" s="267" t="n">
        <ns0:v>0.4209613151059786</ns0:v>
      </ns0:c>
      <ns0:c r="F16" s="267" t="n">
        <ns0:v>0.4132811289293476</ns0:v>
      </ns0:c>
      <ns0:c r="G16" s="248" t="n">
        <ns0:v>0.7183999961874783</ns0:v>
      </ns0:c>
      <ns0:c r="H16" s="248" t="n">
        <ns0:v>0.7911703130457728</ns0:v>
      </ns0:c>
      <ns0:c r="I16" s="249" t="n">
        <ns0:v>11</ns0:v>
      </ns0:c>
      <ns0:c r="J16" s="270" t="n">
        <ns0:v>11</ns0:v>
      </ns0:c>
      <ns0:c r="K16" s="270" t="n">
        <ns0:v>10</ns0:v>
      </ns0:c>
      <ns0:c r="L16" s="270" t="n">
        <ns0:v>7</ns0:v>
      </ns0:c>
    </ns0:row>
    <ns0:row r="17" ht="60" customHeight="1" s="2">
      <ns0:c r="A17" s="247" t="inlineStr">
        <ns0:is>
          <ns0:t>v7_merge_2_auto_20260909_171304_2134673</ns0:t>
        </ns0:is>
      </ns0:c>
      <ns0:c r="B17" s="247" t="inlineStr">
        <ns0:is>
          <ns0:t>VLM（merge_2 auto）/ 5</ns0:t>
        </ns0:is>
      </ns0:c>
      <ns0:c r="C17" s="248">
        <ns0:v>0.35687331370802433</ns0:v>
      </ns0:c>
      <ns0:c r="D17" s="248">
        <ns0:v>0.49114552860076766</ns0:v>
      </ns0:c>
      <ns0:c r="E17" s="248">
        <ns0:v>0.4105716248520932</ns0:v>
      </ns0:c>
      <ns0:c r="F17" s="248">
        <ns0:v>0.40291215212799397</ns0:v>
      </ns0:c>
      <ns0:c r="G17" s="248">
        <ns0:v>0.7049859174529858</ns0:v>
      </ns0:c>
      <ns0:c r="H17" s="248">
        <ns0:v>0.786894085906882</ns0:v>
      </ns0:c>
      <ns0:c r="I17" s="249">
        <ns0:v>11</ns0:v>
      </ns0:c>
      <ns0:c r="J17" s="249">
        <ns0:v>10</ns0:v>
      </ns0:c>
      <ns0:c r="K17" s="270">
        <ns0:v>10</ns0:v>
      </ns0:c>
      <ns0:c r="L17" s="270">
        <ns0:v>7</ns0:v>
      </ns0:c>
    </ns0:row>
    <ns0:row r="18" ht="42" customHeight="1" s="2">
      <ns0:c r="A18" s="238" t="n"/>
      <ns0:c r="B18" s="238" t="n"/>
      <ns0:c r="C18" s="238" t="n"/>
      <ns0:c r="D18" s="238" t="n"/>
      <ns0:c r="E18" s="238" t="n"/>
      <ns0:c r="F18" s="238" t="n"/>
      <ns0:c r="G18" s="238" t="n"/>
      <ns0:c r="H18" s="238" t="n"/>
      <ns0:c r="I18" s="238" t="n"/>
      <ns0:c r="J18" s="238" t="n"/>
      <ns0:c r="K18" s="238" t="n"/>
      <ns0:c r="L18" s="238" t="n"/>
    </ns0:row>
    <ns0:row r="19" ht="24" customHeight="1" s="2">
      <ns0:c r="A19" s="236" t="inlineStr">
        <ns0:is>
          <ns0:t>B. 相对 off2000（stride 5）的变化（百分点；正数为提升，负数为退化）</ns0:t>
        </ns0:is>
      </ns0:c>
    </ns0:row>
    <ns0:row r="20" ht="42" customHeight="1" s="2">
      <ns0:c r="A20" s="223" t="inlineStr">
        <ns0:is>
          <ns0:t>实验目录</ns0:t>
        </ns0:is>
      </ns0:c>
      <ns0:c r="B20" s="223" t="inlineStr">
        <ns0:is>
          <ns0:t>参照</ns0:t>
        </ns0:is>
      </ns0:c>
      <ns0:c r="C20" s="223" t="inlineStr">
        <ns0:is>
          <ns0:t>ΔmIoU</ns0:t>
        </ns0:is>
      </ns0:c>
      <ns0:c r="D20" s="223" t="inlineStr">
        <ns0:is>
          <ns0:t>ΔmAcc</ns0:t>
        </ns0:is>
      </ns0:c>
      <ns0:c r="E20" s="223" t="inlineStr">
        <ns0:is>
          <ns0:t>ΔmPrecision</ns0:t>
        </ns0:is>
      </ns0:c>
      <ns0:c r="F20" s="223" t="inlineStr">
        <ns0:is>
          <ns0:t>ΔmF1</ns0:t>
        </ns0:is>
      </ns0:c>
      <ns0:c r="G20" s="223" t="inlineStr">
        <ns0:is>
          <ns0:t>ΔfwIoU</ns0:t>
        </ns0:is>
      </ns0:c>
      <ns0:c r="H20" s="223" t="inlineStr">
        <ns0:is>
          <ns0:t>ΔPoint Accuracy</ns0:t>
        </ns0:is>
      </ns0:c>
      <ns0:c r="I20" s="223" t="str"/>
      <ns0:c r="J20" s="223" t="str"/>
      <ns0:c r="K20" s="223" t="str"/>
      <ns0:c r="L20" s="223" t="str"/>
    </ns0:row>
    <ns0:row r="21" ht="38" customHeight="1" s="2">
      <ns0:c r="A21" s="226" t="str">
        <ns0:f>A7</ns0:f>
        <ns0:v>my_vlm_pointcloud2000</ns0:v>
      </ns0:c>
      <ns0:c r="B21" s="226" t="inlineStr">
        <ns0:is>
          <ns0:t>off2000</ns0:t>
        </ns0:is>
      </ns0:c>
      <ns0:c r="C21" s="232">
        <ns0:f>(C7-$C$6)*100</ns0:f>
        <ns0:v>-0.411039184282422</ns0:v>
      </ns0:c>
      <ns0:c r="D21" s="232">
        <ns0:f>(D7-$D$6)*100</ns0:f>
        <ns0:v>-1.62836911143329</ns0:v>
      </ns0:c>
      <ns0:c r="E21" s="232">
        <ns0:f>(E7-$E$6)*100</ns0:f>
        <ns0:v>-1.41796324863861</ns0:v>
      </ns0:c>
      <ns0:c r="F21" s="232">
        <ns0:f>(F7-$F$6)*100</ns0:f>
        <ns0:v>-0.906740434607423</ns0:v>
      </ns0:c>
      <ns0:c r="G21" s="232">
        <ns0:f>(G7-$G$6)*100</ns0:f>
        <ns0:v>7.49169349354009</ns0:v>
      </ns0:c>
      <ns0:c r="H21" s="232">
        <ns0:f>(H7-$H$6)*100</ns0:f>
        <ns0:v>8.98981905464295</ns0:v>
      </ns0:c>
      <ns0:c r="I21" s="226" t="n"/>
      <ns0:c r="J21" s="226" t="n"/>
      <ns0:c r="K21" s="226" t="n"/>
      <ns0:c r="L21" s="226" t="n"/>
    </ns0:row>
    <ns0:row r="22" ht="38" customHeight="1" s="2">
      <ns0:c r="A22" s="279" t="str">
        <ns0:f>A8</ns0:f>
        <ns0:v>my_human2000</ns0:v>
      </ns0:c>
      <ns0:c r="B22" s="279" t="inlineStr">
        <ns0:is>
          <ns0:t>off2000</ns0:t>
        </ns0:is>
      </ns0:c>
      <ns0:c r="C22" s="233">
        <ns0:f>(C8-$C$6)*100</ns0:f>
        <ns0:v>-0.0351796231308099</ns0:v>
      </ns0:c>
      <ns0:c r="D22" s="233">
        <ns0:f>(D8-$D$6)*100</ns0:f>
        <ns0:v>-1.19923483348334</ns0:v>
      </ns0:c>
      <ns0:c r="E22" s="233">
        <ns0:f>(E8-$E$6)*100</ns0:f>
        <ns0:v>-1.28889527064258</ns0:v>
      </ns0:c>
      <ns0:c r="F22" s="233">
        <ns0:f>(F8-$F$6)*100</ns0:f>
        <ns0:v>-0.580729081025771</ns0:v>
      </ns0:c>
      <ns0:c r="G22" s="233">
        <ns0:f>(G8-$G$6)*100</ns0:f>
        <ns0:v>8.50510494196883</ns0:v>
      </ns0:c>
      <ns0:c r="H22" s="233">
        <ns0:f>(H8-$H$6)*100</ns0:f>
        <ns0:v>9.91901114633974</ns0:v>
      </ns0:c>
      <ns0:c r="I22" s="279" t="n"/>
      <ns0:c r="J22" s="279" t="n"/>
      <ns0:c r="K22" s="279" t="n"/>
      <ns0:c r="L22" s="279" t="n"/>
    </ns0:row>
    <ns0:row r="23" ht="38" customHeight="1" s="2">
      <ns0:c r="A23" s="226" t="str">
        <ns0:f>A9</ns0:f>
        <ns0:v>huamn2000_2</ns0:v>
      </ns0:c>
      <ns0:c r="B23" s="226" t="inlineStr">
        <ns0:is>
          <ns0:t>off2000</ns0:t>
        </ns0:is>
      </ns0:c>
      <ns0:c r="C23" s="232">
        <ns0:f>(C9-$C$6)*100</ns0:f>
        <ns0:v>0.0852135553567779</ns0:v>
      </ns0:c>
      <ns0:c r="D23" s="232">
        <ns0:f>(D9-$D$6)*100</ns0:f>
        <ns0:v>-1.14816893213964</ns0:v>
      </ns0:c>
      <ns0:c r="E23" s="232">
        <ns0:f>(E9-$E$6)*100</ns0:f>
        <ns0:v>-1.07765351723702</ns0:v>
      </ns0:c>
      <ns0:c r="F23" s="232">
        <ns0:f>(F9-$F$6)*100</ns0:f>
        <ns0:v>-0.488607278795161</ns0:v>
      </ns0:c>
      <ns0:c r="G23" s="232">
        <ns0:f>(G9-$G$6)*100</ns0:f>
        <ns0:v>8.56820948356296</ns0:v>
      </ns0:c>
      <ns0:c r="H23" s="232">
        <ns0:f>(H9-$H$6)*100</ns0:f>
        <ns0:v>10.0030915139533</ns0:v>
      </ns0:c>
      <ns0:c r="I23" s="226" t="n"/>
      <ns0:c r="J23" s="226" t="n"/>
      <ns0:c r="K23" s="226" t="n"/>
      <ns0:c r="L23" s="226" t="n"/>
    </ns0:row>
    <ns0:row r="24" ht="38" customHeight="1" s="2">
      <ns0:c r="A24" s="279" t="str">
        <ns0:f>A10</ns0:f>
        <ns0:v>v4_human2000_2</ns0:v>
      </ns0:c>
      <ns0:c r="B24" s="279" t="inlineStr">
        <ns0:is>
          <ns0:t>off2000</ns0:t>
        </ns0:is>
      </ns0:c>
      <ns0:c r="C24" s="233">
        <ns0:f>(C10-$C$6)*100</ns0:f>
        <ns0:v>0.110261791645419</ns0:v>
      </ns0:c>
      <ns0:c r="D24" s="233">
        <ns0:f>(D10-$D$6)*100</ns0:f>
        <ns0:v>-1.1333101431055</ns0:v>
      </ns0:c>
      <ns0:c r="E24" s="233">
        <ns0:f>(E10-$E$6)*100</ns0:f>
        <ns0:v>-1.05671073954919</ns0:v>
      </ns0:c>
      <ns0:c r="F24" s="233">
        <ns0:f>(F10-$F$6)*100</ns0:f>
        <ns0:v>-0.498680484408112</ns0:v>
      </ns0:c>
      <ns0:c r="G24" s="271">
        <ns0:f>(G10-$G$6)*100</ns0:f>
        <ns0:v>8.7592472176737</ns0:v>
      </ns0:c>
      <ns0:c r="H24" s="271">
        <ns0:f>(H10-$H$6)*100</ns0:f>
        <ns0:v>10.0237750396108</ns0:v>
      </ns0:c>
      <ns0:c r="I24" s="279" t="n"/>
      <ns0:c r="J24" s="279" t="n"/>
      <ns0:c r="K24" s="279" t="n"/>
      <ns0:c r="L24" s="279" t="n"/>
    </ns0:row>
    <ns0:row r="25" ht="38" customHeight="1" s="2">
      <ns0:c r="A25" s="226" t="str">
        <ns0:f>A11</ns0:f>
        <ns0:v>v5_human2000</ns0:v>
      </ns0:c>
      <ns0:c r="B25" s="226" t="inlineStr">
        <ns0:is>
          <ns0:t>off2000</ns0:t>
        </ns0:is>
      </ns0:c>
      <ns0:c r="C25" s="232">
        <ns0:f>(C11-$C$6)*100</ns0:f>
        <ns0:v>3.31116628322409</ns0:v>
      </ns0:c>
      <ns0:c r="D25" s="232">
        <ns0:f>(D11-$D$6)*100</ns0:f>
        <ns0:v>2.68664219511348</ns0:v>
      </ns0:c>
      <ns0:c r="E25" s="232">
        <ns0:f>(E11-$E$6)*100</ns0:f>
        <ns0:v>1.9863744731936</ns0:v>
      </ns0:c>
      <ns0:c r="F25" s="232">
        <ns0:f>(F11-$F$6)*100</ns0:f>
        <ns0:v>2.90113728092546</ns0:v>
      </ns0:c>
      <ns0:c r="G25" s="232">
        <ns0:f>(G11-$G$6)*100</ns0:f>
        <ns0:v>9.47360599877085</ns0:v>
      </ns0:c>
      <ns0:c r="H25" s="232">
        <ns0:f>(H11-$H$6)*100</ns0:f>
        <ns0:v>10.7749909004726</ns0:v>
      </ns0:c>
      <ns0:c r="I25" s="226" t="n"/>
      <ns0:c r="J25" s="226" t="n"/>
      <ns0:c r="K25" s="226" t="n"/>
      <ns0:c r="L25" s="226" t="n"/>
    </ns0:row>
    <ns0:row r="26" ht="38" customHeight="1" s="2">
      <ns0:c r="A26" s="279" t="str">
        <ns0:f>A12</ns0:f>
        <ns0:v>off2000_10</ns0:v>
      </ns0:c>
      <ns0:c r="B26" s="279" t="inlineStr">
        <ns0:is>
          <ns0:t>off2000</ns0:t>
        </ns0:is>
      </ns0:c>
      <ns0:c r="C26" s="233">
        <ns0:f>(C12-$C$6)*100</ns0:f>
        <ns0:v>3.61795557407232</ns0:v>
      </ns0:c>
      <ns0:c r="D26" s="233">
        <ns0:f>(D12-$D$6)*100</ns0:f>
        <ns0:v>3.1125933721409</ns0:v>
      </ns0:c>
      <ns0:c r="E26" s="233">
        <ns0:f>(E12-$E$6)*100</ns0:f>
        <ns0:v>2.57985878859264</ns0:v>
      </ns0:c>
      <ns0:c r="F26" s="233">
        <ns0:f>(F12-$F$6)*100</ns0:f>
        <ns0:v>3.29778838590951</ns0:v>
      </ns0:c>
      <ns0:c r="G26" s="233">
        <ns0:f>(G12-$G$6)*100</ns0:f>
        <ns0:v>9.234327127762</ns0:v>
      </ns0:c>
      <ns0:c r="H26" s="233">
        <ns0:f>(H12-$H$6)*100</ns0:f>
        <ns0:v>10.3868259893763</ns0:v>
      </ns0:c>
      <ns0:c r="I26" s="279" t="n"/>
      <ns0:c r="J26" s="279" t="n"/>
      <ns0:c r="K26" s="279" t="n"/>
      <ns0:c r="L26" s="279" t="n"/>
    </ns0:row>
    <ns0:row r="27" ht="38" customHeight="1" s="2">
      <ns0:c r="A27" s="226" t="inlineStr">
        <ns0:is>
          <ns0:t>v7_auto_20260908_104929_2348977</ns0:t>
        </ns0:is>
      </ns0:c>
      <ns0:c r="B27" s="226" t="inlineStr">
        <ns0:is>
          <ns0:t>off2000</ns0:t>
        </ns0:is>
      </ns0:c>
      <ns0:c r="C27" s="232">
        <ns0:f>(C13-$C$6)*100</ns0:f>
        <ns0:v>7.1075326118933</ns0:v>
      </ns0:c>
      <ns0:c r="D27" s="232">
        <ns0:f>(D13-$D$6)*100</ns0:f>
        <ns0:v>6.73953536050171</ns0:v>
      </ns0:c>
      <ns0:c r="E27" s="232">
        <ns0:f>(E13-$E$6)*100</ns0:f>
        <ns0:v>6.36337590438552</ns0:v>
      </ns0:c>
      <ns0:c r="F27" s="232">
        <ns0:f>(F13-$F$6)*100</ns0:f>
        <ns0:v>7.04459107742561</ns0:v>
      </ns0:c>
      <ns0:c r="G27" s="232">
        <ns0:f>(G13-$G$6)*100</ns0:f>
        <ns0:v>9.22245663295716</ns0:v>
      </ns0:c>
      <ns0:c r="H27" s="232">
        <ns0:f>(H13-$H$6)*100</ns0:f>
        <ns0:v>11.2727417812359</ns0:v>
      </ns0:c>
      <ns0:c r="I27" s="226" t="n"/>
      <ns0:c r="J27" s="226" t="n"/>
      <ns0:c r="K27" s="226" t="n"/>
      <ns0:c r="L27" s="226" t="n"/>
    </ns0:row>
    <ns0:row r="28" ht="38" customHeight="1" s="2">
      <ns0:c r="A28" s="226" t="inlineStr">
        <ns0:is>
          <ns0:t>v7_auto_image</ns0:t>
        </ns0:is>
      </ns0:c>
      <ns0:c r="B28" s="226" t="inlineStr">
        <ns0:is>
          <ns0:t>off2000</ns0:t>
        </ns0:is>
      </ns0:c>
      <ns0:c r="C28" s="232">
        <ns0:f>(C14-$C$6)*100</ns0:f>
        <ns0:v>15.2042322800744</ns0:v>
      </ns0:c>
      <ns0:c r="D28" s="232">
        <ns0:f>(D14-$D$6)*100</ns0:f>
        <ns0:v>9.82585789835195</ns0:v>
      </ns0:c>
      <ns0:c r="E28" s="232">
        <ns0:f>(E14-$E$6)*100</ns0:f>
        <ns0:v>15.9761168858862</ns0:v>
      </ns0:c>
      <ns0:c r="F28" s="232">
        <ns0:f>(F14-$F$6)*100</ns0:f>
        <ns0:v>15.1761979664482</ns0:v>
      </ns0:c>
      <ns0:c r="G28" s="232">
        <ns0:f>(G14-$G$6)*100</ns0:f>
        <ns0:v>28.4117772185303</ns0:v>
      </ns0:c>
      <ns0:c r="H28" s="232">
        <ns0:f>(H14-$H$6)*100</ns0:f>
        <ns0:v>25.7090838862607</ns0:v>
      </ns0:c>
      <ns0:c r="I28" s="226" t="n"/>
      <ns0:c r="J28" s="226" t="n"/>
      <ns0:c r="K28" s="226" t="n"/>
      <ns0:c r="L28" s="226" t="n"/>
    </ns0:row>
    <ns0:row r="29" ht="48" customHeight="1" s="2">
      <ns0:c r="A29" s="226" t="inlineStr">
        <ns0:is>
          <ns0:t>v7_merge_auto_20260909_110828_335106</ns0:t>
        </ns0:is>
      </ns0:c>
      <ns0:c r="B29" s="226" t="inlineStr">
        <ns0:is>
          <ns0:t>off2000</ns0:t>
        </ns0:is>
      </ns0:c>
      <ns0:c r="C29" s="232">
        <ns0:f>(C15-$C$6)*100</ns0:f>
        <ns0:v>16.3076597162175</ns0:v>
      </ns0:c>
      <ns0:c r="D29" s="232">
        <ns0:f>(D15-$D$6)*100</ns0:f>
        <ns0:v>10.4476858766131</ns0:v>
      </ns0:c>
      <ns0:c r="E29" s="232">
        <ns0:f>(E15-$E$6)*100</ns0:f>
        <ns0:v>16.9988122745541</ns0:v>
      </ns0:c>
      <ns0:c r="F29" s="232">
        <ns0:f>(F15-$F$6)*100</ns0:f>
        <ns0:v>16.0460734352873</ns0:v>
      </ns0:c>
      <ns0:c r="G29" s="232">
        <ns0:f>(G15-$G$6)*100</ns0:f>
        <ns0:v>30.7656777394394</ns0:v>
      </ns0:c>
      <ns0:c r="H29" s="232">
        <ns0:f>(H15-$H$6)*100</ns0:f>
        <ns0:v>27.6324804295907</ns0:v>
      </ns0:c>
      <ns0:c r="I29" s="226" t="n"/>
      <ns0:c r="J29" s="226" t="n"/>
      <ns0:c r="K29" s="226" t="n"/>
      <ns0:c r="L29" s="226" t="n"/>
    </ns0:row>
    <ns0:row r="30" ht="60" customHeight="1" s="2">
      <ns0:c r="A30" s="250" t="inlineStr">
        <ns0:is>
          <ns0:t>v7_CLIP_auto_20260909_160519_2075470</ns0:t>
        </ns0:is>
      </ns0:c>
      <ns0:c r="B30" s="250" t="inlineStr">
        <ns0:is>
          <ns0:t>off2000</ns0:t>
        </ns0:is>
      </ns0:c>
      <ns0:c r="C30" s="251">
        <ns0:f>(C16-$C$6)*100</ns0:f>
        <ns0:v>17.021904050486</ns0:v>
      </ns0:c>
      <ns0:c r="D30" s="251">
        <ns0:f>(D16-$D$6)*100</ns0:f>
        <ns0:v>10.9916837790603</ns0:v>
      </ns0:c>
      <ns0:c r="E30" s="251">
        <ns0:f>(E16-$E$6)*100</ns0:f>
        <ns0:v>18.3318163545504</ns0:v>
      </ns0:c>
      <ns0:c r="F30" s="251">
        <ns0:f>(F16-$F$6)*100</ns0:f>
        <ns0:v>16.580380150747</ns0:v>
      </ns0:c>
      <ns0:c r="G30" s="251">
        <ns0:f>(G16-$G$6)*100</ns0:f>
        <ns0:v>31.1558854006148</ns0:v>
      </ns0:c>
      <ns0:c r="H30" s="251">
        <ns0:f>(H16-$H$6)*100</ns0:f>
        <ns0:v>27.4125986414473</ns0:v>
      </ns0:c>
    </ns0:row>
    <ns0:row r="31" ht="60" customHeight="1" s="2">
      <ns0:c r="A31" s="250" t="inlineStr">
        <ns0:is>
          <ns0:t>v7_merge_2_auto_20260909_171304_2134673</ns0:t>
        </ns0:is>
      </ns0:c>
      <ns0:c r="B31" s="250" t="inlineStr">
        <ns0:is>
          <ns0:t>off2000</ns0:t>
        </ns0:is>
      </ns0:c>
      <ns0:c r="C31" s="251">
        <ns0:f>(C17-$C$6)*100</ns0:f>
        <ns0:v>15.757479527715082</ns0:v>
      </ns0:c>
      <ns0:c r="D31" s="251">
        <ns0:f>(D17-$D$6)*100</ns0:f>
        <ns0:v>10.381485863024837</ns0:v>
      </ns0:c>
      <ns0:c r="E31" s="251">
        <ns0:f>(E17-$E$6)*100</ns0:f>
        <ns0:v>17.29284732916188</ns0:v>
      </ns0:c>
      <ns0:c r="F31" s="251">
        <ns0:f>(F17-$F$6)*100</ns0:f>
        <ns0:v>15.543482470611686</ns0:v>
      </ns0:c>
      <ns0:c r="G31" s="251">
        <ns0:f>(G17-$G$6)*100</ns0:f>
        <ns0:v>29.814477527165568</ns0:v>
      </ns0:c>
      <ns0:c r="H31" s="251">
        <ns0:f>(H17-$H$6)*100</ns0:f>
        <ns0:v>26.984975927558217</ns0:v>
      </ns0:c>
      <ns0:c r="I31" s="0" t="n"/>
      <ns0:c r="J31" s="0" t="n"/>
      <ns0:c r="K31" s="0" t="n"/>
      <ns0:c r="L31" s="0" t="n"/>
    </ns0:row>
    <ns0:row r="32" ht="24" customHeight="1" s="2">
      <ns0:c r="A32" s="236" t="inlineStr">
        <ns0:is>
          <ns0:t>C. 完成状态与评估诊断（秒数仅为语义评估耗时）</ns0:t>
        </ns0:is>
      </ns0:c>
    </ns0:row>
    <ns0:row r="33" ht="42" customHeight="1" s="2">
      <ns0:c r="A33" s="223" t="inlineStr">
        <ns0:is>
          <ns0:t>实验目录</ns0:t>
        </ns0:is>
      </ns0:c>
      <ns0:c r="B33" s="223" t="inlineStr">
        <ns0:is>
          <ns0:t>状态</ns0:t>
        </ns0:is>
      </ns0:c>
      <ns0:c r="C33" s="223" t="inlineStr">
        <ns0:is>
          <ns0:t>处理帧</ns0:t>
        </ns0:is>
      </ns0:c>
      <ns0:c r="D33" s="223" t="inlineStr">
        <ns0:is>
          <ns0:t>对象数</ns0:t>
        </ns0:is>
      </ns0:c>
      <ns0:c r="E33" s="223" t="inlineStr">
        <ns0:is>
          <ns0:t>对象点数</ns0:t>
        </ns0:is>
      </ns0:c>
      <ns0:c r="F33" s="223" t="inlineStr">
        <ns0:is>
          <ns0:t>语义评估总秒</ns0:t>
        </ns0:is>
      </ns0:c>
      <ns0:c r="G33" s="223" t="inlineStr">
        <ns0:is>
          <ns0:t>场景计算秒</ns0:t>
        </ns0:is>
      </ns0:c>
      <ns0:c r="H33" s="223" t="inlineStr">
        <ns0:is>
          <ns0:t>IoU为0类数</ns0:t>
        </ns0:is>
      </ns0:c>
      <ns0:c r="I33" s="223" t="inlineStr">
        <ns0:is>
          <ns0:t>说明</ns0:t>
        </ns0:is>
      </ns0:c>
      <ns0:c r="J33" s="223" t="str"/>
      <ns0:c r="K33" s="223" t="str"/>
      <ns0:c r="L33" s="223" t="str"/>
    </ns0:row>
    <ns0:row r="34" ht="38" customHeight="1" s="2">
      <ns0:c r="A34" s="226" t="inlineStr">
        <ns0:is>
          <ns0:t>off2000</ns0:t>
        </ns0:is>
      </ns0:c>
      <ns0:c r="B34" s="226" t="inlineStr">
        <ns0:is>
          <ns0:t>完成</ns0:t>
        </ns0:is>
      </ns0:c>
      <ns0:c r="C34" s="226" t="n">
        <ns0:v>400</ns0:v>
      </ns0:c>
      <ns0:c r="D34" s="226" t="n">
        <ns0:v>72</ns0:v>
      </ns0:c>
      <ns0:c r="E34" s="226" t="n">
        <ns0:v>740267</ns0:v>
      </ns0:c>
      <ns0:c r="F34" s="226" t="n">
        <ns0:v>36.472</ns0:v>
      </ns0:c>
      <ns0:c r="G34" s="226" t="n">
        <ns0:v>24.254</ns0:v>
      </ns0:c>
      <ns0:c r="H34" s="226" t="n">
        <ns0:v>12</ns0:v>
      </ns0:c>
      <ns0:c r="I34" s="226" t="inlineStr">
        <ns0:is>
          <ns0:t>manifest/gate完成；无独立audit报告</ns0:t>
        </ns0:is>
      </ns0:c>
      <ns0:c r="J34" s="226" t="n"/>
      <ns0:c r="K34" s="226" t="n"/>
      <ns0:c r="L34" s="226" t="n"/>
    </ns0:row>
    <ns0:row r="35" ht="38" customHeight="1" s="2">
      <ns0:c r="A35" s="279" t="inlineStr">
        <ns0:is>
          <ns0:t>my_vlm_pointcloud2000</ns0:t>
        </ns0:is>
      </ns0:c>
      <ns0:c r="B35" s="279" t="inlineStr">
        <ns0:is>
          <ns0:t>完成</ns0:t>
        </ns0:is>
      </ns0:c>
      <ns0:c r="C35" s="279" t="n">
        <ns0:v>400</ns0:v>
      </ns0:c>
      <ns0:c r="D35" s="279" t="n">
        <ns0:v>57</ns0:v>
      </ns0:c>
      <ns0:c r="E35" s="279" t="n">
        <ns0:v>721802</ns0:v>
      </ns0:c>
      <ns0:c r="F35" s="279" t="n">
        <ns0:v>38.724</ns0:v>
      </ns0:c>
      <ns0:c r="G35" s="279" t="n">
        <ns0:v>39.74</ns0:v>
      </ns0:c>
      <ns0:c r="H35" s="279" t="n">
        <ns0:v>13</ns0:v>
      </ns0:c>
      <ns0:c r="I35" s="279" t="inlineStr">
        <ns0:is>
          <ns0:t>严格证据审计通过；前两次环境启动失败未产生指标</ns0:t>
        </ns0:is>
      </ns0:c>
      <ns0:c r="J35" s="279" t="n"/>
      <ns0:c r="K35" s="279" t="n"/>
      <ns0:c r="L35" s="279" t="n"/>
    </ns0:row>
    <ns0:row r="36" ht="38" customHeight="1" s="2">
      <ns0:c r="A36" s="226" t="inlineStr">
        <ns0:is>
          <ns0:t>my_human2000</ns0:t>
        </ns0:is>
      </ns0:c>
      <ns0:c r="B36" s="226" t="inlineStr">
        <ns0:is>
          <ns0:t>完成</ns0:t>
        </ns0:is>
      </ns0:c>
      <ns0:c r="C36" s="226" t="n">
        <ns0:v>400</ns0:v>
      </ns0:c>
      <ns0:c r="D36" s="226" t="n">
        <ns0:v>64</ns0:v>
      </ns0:c>
      <ns0:c r="E36" s="226" t="n">
        <ns0:v>729935</ns0:v>
      </ns0:c>
      <ns0:c r="F36" s="226" t="n">
        <ns0:v>35.305</ns0:v>
      </ns0:c>
      <ns0:c r="G36" s="226" t="n">
        <ns0:v>36.29</ns0:v>
      </ns0:c>
      <ns0:c r="H36" s="226" t="n">
        <ns0:v>13</ns0:v>
      </ns0:c>
      <ns0:c r="I36" s="226" t="inlineStr">
        <ns0:is>
          <ns0:t>85个人工事件，25次改变原决定</ns0:t>
        </ns0:is>
      </ns0:c>
      <ns0:c r="J36" s="226" t="n"/>
      <ns0:c r="K36" s="226" t="n"/>
      <ns0:c r="L36" s="226" t="n"/>
    </ns0:row>
    <ns0:row r="37" ht="38" customHeight="1" s="2">
      <ns0:c r="A37" s="279" t="inlineStr">
        <ns0:is>
          <ns0:t>huamn2000_2</ns0:t>
        </ns0:is>
      </ns0:c>
      <ns0:c r="B37" s="279" t="inlineStr">
        <ns0:is>
          <ns0:t>评估JSON已生成</ns0:t>
        </ns0:is>
      </ns0:c>
      <ns0:c r="C37" s="279" t="str"/>
      <ns0:c r="D37" s="279" t="n">
        <ns0:v>59</ns0:v>
      </ns0:c>
      <ns0:c r="E37" s="279" t="n">
        <ns0:v>732654</ns0:v>
      </ns0:c>
      <ns0:c r="F37" s="279" t="n">
        <ns0:v>37.619</ns0:v>
      </ns0:c>
      <ns0:c r="G37" s="279" t="n">
        <ns0:v>24.365</ns0:v>
      </ns0:c>
      <ns0:c r="H37" s="279" t="n">
        <ns0:v>13</ns0:v>
      </ns0:c>
      <ns0:c r="I37" s="279" t="inlineStr">
        <ns0:is>
          <ns0:t>按指定JSON汇总；未另查wall时间</ns0:t>
        </ns0:is>
      </ns0:c>
      <ns0:c r="J37" s="279" t="n"/>
      <ns0:c r="K37" s="279" t="n"/>
      <ns0:c r="L37" s="279" t="n"/>
    </ns0:row>
    <ns0:row r="38" ht="38" customHeight="1" s="2">
      <ns0:c r="A38" s="226" t="inlineStr">
        <ns0:is>
          <ns0:t>v4_human2000_2</ns0:t>
        </ns0:is>
      </ns0:c>
      <ns0:c r="B38" s="226" t="inlineStr">
        <ns0:is>
          <ns0:t>完成</ns0:t>
        </ns0:is>
      </ns0:c>
      <ns0:c r="C38" s="226" t="n">
        <ns0:v>400</ns0:v>
      </ns0:c>
      <ns0:c r="D38" s="226" t="n">
        <ns0:v>51</ns0:v>
      </ns0:c>
      <ns0:c r="E38" s="226" t="n">
        <ns0:v>733129</ns0:v>
      </ns0:c>
      <ns0:c r="F38" s="226" t="n">
        <ns0:v>34.359</ns0:v>
      </ns0:c>
      <ns0:c r="G38" s="226" t="n">
        <ns0:v>21.76</ns0:v>
      </ns0:c>
      <ns0:c r="H38" s="226" t="n">
        <ns0:v>13</ns0:v>
      </ns0:c>
      <ns0:c r="I38" s="226" t="inlineStr">
        <ns0:is>
          <ns0:t>本次新增；stride 5</ns0:t>
        </ns0:is>
      </ns0:c>
      <ns0:c r="J38" s="226" t="n"/>
      <ns0:c r="K38" s="226" t="n"/>
      <ns0:c r="L38" s="226" t="n"/>
    </ns0:row>
    <ns0:row r="39" ht="38" customHeight="1" s="2">
      <ns0:c r="A39" s="279" t="inlineStr">
        <ns0:is>
          <ns0:t>v5_human2000</ns0:t>
        </ns0:is>
      </ns0:c>
      <ns0:c r="B39" s="279" t="inlineStr">
        <ns0:is>
          <ns0:t>完成</ns0:t>
        </ns0:is>
      </ns0:c>
      <ns0:c r="C39" s="279" t="n">
        <ns0:v>400</ns0:v>
      </ns0:c>
      <ns0:c r="D39" s="279" t="n">
        <ns0:v>65</ns0:v>
      </ns0:c>
      <ns0:c r="E39" s="279" t="n">
        <ns0:v>741117</ns0:v>
      </ns0:c>
      <ns0:c r="F39" s="279" t="n">
        <ns0:v>38.373</ns0:v>
      </ns0:c>
      <ns0:c r="G39" s="279" t="n">
        <ns0:v>24.389</ns0:v>
      </ns0:c>
      <ns0:c r="H39" s="279" t="n">
        <ns0:v>12</ns0:v>
      </ns0:c>
      <ns0:c r="I39" s="279" t="inlineStr">
        <ns0:is>
          <ns0:t>本次补全PQ与覆盖率；stride 5</ns0:t>
        </ns0:is>
      </ns0:c>
      <ns0:c r="J39" s="279" t="n"/>
      <ns0:c r="K39" s="279" t="n"/>
      <ns0:c r="L39" s="279" t="n"/>
    </ns0:row>
    <ns0:row r="40" ht="38" customHeight="1" s="2">
      <ns0:c r="A40" s="226" t="inlineStr">
        <ns0:is>
          <ns0:t>off2000_10</ns0:t>
        </ns0:is>
      </ns0:c>
      <ns0:c r="B40" s="226" t="inlineStr">
        <ns0:is>
          <ns0:t>完成</ns0:t>
        </ns0:is>
      </ns0:c>
      <ns0:c r="C40" s="226" t="n">
        <ns0:v>200</ns0:v>
      </ns0:c>
      <ns0:c r="D40" s="226" t="n">
        <ns0:v>72</ns0:v>
      </ns0:c>
      <ns0:c r="E40" s="226" t="n">
        <ns0:v>630662</ns0:v>
      </ns0:c>
      <ns0:c r="F40" s="226" t="n">
        <ns0:v>30.029</ns0:v>
      </ns0:c>
      <ns0:c r="G40" s="226" t="n">
        <ns0:v>16.56</ns0:v>
      </ns0:c>
      <ns0:c r="H40" s="226" t="n">
        <ns0:v>12</ns0:v>
      </ns0:c>
      <ns0:c r="I40" s="226" t="inlineStr">
        <ns0:is>
          <ns0:t>本次新增；建图stride 10，语义评估仍使用统一stride5参考点云</ns0:t>
        </ns0:is>
      </ns0:c>
      <ns0:c r="J40" s="226" t="n"/>
      <ns0:c r="K40" s="226" t="n"/>
      <ns0:c r="L40" s="226" t="n"/>
    </ns0:row>
    <ns0:row r="41" ht="60" customHeight="1" s="2">
      <ns0:c r="A41" s="279" t="inlineStr">
        <ns0:is>
          <ns0:t>v7_auto_20260908_104929_2348977</ns0:t>
        </ns0:is>
      </ns0:c>
      <ns0:c r="B41" s="279" t="inlineStr">
        <ns0:is>
          <ns0:t>完成</ns0:t>
        </ns0:is>
      </ns0:c>
      <ns0:c r="C41" s="279" t="n">
        <ns0:v>400</ns0:v>
      </ns0:c>
      <ns0:c r="D41" s="279" t="n">
        <ns0:v>72</ns0:v>
      </ns0:c>
      <ns0:c r="E41" s="279" t="n">
        <ns0:v>734607</ns0:v>
      </ns0:c>
      <ns0:c r="F41" s="279" t="n">
        <ns0:v>36.102</ns0:v>
      </ns0:c>
      <ns0:c r="G41" s="279" t="n">
        <ns0:v>24.481</ns0:v>
      </ns0:c>
      <ns0:c r="H41" s="279" t="n">
        <ns0:v>12</ns0:v>
      </ns0:c>
      <ns0:c r="I41" s="279" t="inlineStr">
        <ns0:is>
          <ns0:t>严格证据审计通过；建图2小时56分28秒</ns0:t>
        </ns0:is>
      </ns0:c>
      <ns0:c r="J41" s="279" t="n"/>
      <ns0:c r="K41" s="279" t="n"/>
      <ns0:c r="L41" s="279" t="n"/>
    </ns0:row>
    <ns0:row r="42" ht="60" customHeight="1" s="2">
      <ns0:c r="A42" s="279" t="inlineStr">
        <ns0:is>
          <ns0:t>v7_auto_image</ns0:t>
        </ns0:is>
      </ns0:c>
      <ns0:c r="B42" s="279" t="inlineStr">
        <ns0:is>
          <ns0:t>完成</ns0:t>
        </ns0:is>
      </ns0:c>
      <ns0:c r="C42" s="279" t="n">
        <ns0:v>400</ns0:v>
      </ns0:c>
      <ns0:c r="D42" s="279" t="n">
        <ns0:v>97</ns0:v>
      </ns0:c>
      <ns0:c r="E42" s="279" t="n">
        <ns0:v>1047152</ns0:v>
      </ns0:c>
      <ns0:c r="F42" s="279" t="n">
        <ns0:v>43.457</ns0:v>
      </ns0:c>
      <ns0:c r="G42" s="279" t="n">
        <ns0:v>28.291</ns0:v>
      </ns0:c>
      <ns0:c r="H42" s="279" t="n">
        <ns0:v>10</ns0:v>
      </ns0:c>
      <ns0:c r="I42" s="279" t="inlineStr">
        <ns0:is>
          <ns0:t>在线重新检测；差异包含检测输入变化</ns0:t>
        </ns0:is>
      </ns0:c>
      <ns0:c r="J42" s="279" t="n"/>
      <ns0:c r="K42" s="279" t="n"/>
      <ns0:c r="L42" s="279" t="n"/>
    </ns0:row>
    <ns0:row r="43" ht="60" customHeight="1" s="2">
      <ns0:c r="A43" s="279" t="inlineStr">
        <ns0:is>
          <ns0:t>v7_merge_auto_20260909_110828_335106</ns0:t>
        </ns0:is>
      </ns0:c>
      <ns0:c r="B43" s="279" t="inlineStr">
        <ns0:is>
          <ns0:t>完成</ns0:t>
        </ns0:is>
      </ns0:c>
      <ns0:c r="C43" s="279" t="n">
        <ns0:v>400</ns0:v>
      </ns0:c>
      <ns0:c r="D43" s="279" t="n">
        <ns0:v>80</ns0:v>
      </ns0:c>
      <ns0:c r="E43" s="279" t="n">
        <ns0:v>1027959</ns0:v>
      </ns0:c>
      <ns0:c r="F43" s="279" t="n">
        <ns0:v>40.582</ns0:v>
      </ns0:c>
      <ns0:c r="G43" s="279" t="n">
        <ns0:v>28.665</ns0:v>
      </ns0:c>
      <ns0:c r="H43" s="279" t="n">
        <ns0:v>10</ns0:v>
      </ns0:c>
      <ns0:c r="I43" s="279" t="inlineStr">
        <ns0:is>
          <ns0:t>严格证据校验通过；独立检测缓存，未做前端配对归因</ns0:t>
        </ns0:is>
      </ns0:c>
      <ns0:c r="J43" s="279" t="n"/>
      <ns0:c r="K43" s="279" t="n"/>
      <ns0:c r="L43" s="279" t="n"/>
    </ns0:row>
    <ns0:row r="44" ht="60" customHeight="1" s="2">
      <ns0:c r="A44" s="247" t="inlineStr">
        <ns0:is>
          <ns0:t>v7_CLIP_auto_20260909_160519_2075470</ns0:t>
        </ns0:is>
      </ns0:c>
      <ns0:c r="B44" s="247" t="inlineStr">
        <ns0:is>
          <ns0:t>完成</ns0:t>
        </ns0:is>
      </ns0:c>
      <ns0:c r="C44" s="249" t="n">
        <ns0:v>400</ns0:v>
      </ns0:c>
      <ns0:c r="D44" s="249" t="n">
        <ns0:v>76</ns0:v>
      </ns0:c>
      <ns0:c r="E44" s="249" t="n">
        <ns0:v>868558</ns0:v>
      </ns0:c>
      <ns0:c r="F44" s="249" t="n">
        <ns0:v>43.207</ns0:v>
      </ns0:c>
      <ns0:c r="G44" s="249" t="n">
        <ns0:v>29.931</ns0:v>
      </ns0:c>
      <ns0:c r="H44" s="270" t="n">
        <ns0:v>8</ns0:v>
      </ns0:c>
      <ns0:c r="I44" s="247" t="inlineStr">
        <ns0:is>
          <ns0:t>400帧；相同检测，CLIP特征不同；建图证据通过</ns0:t>
        </ns0:is>
      </ns0:c>
    </ns0:row>
    <ns0:row r="45" ht="60" customHeight="1" s="2">
      <ns0:c r="A45" s="247" t="inlineStr">
        <ns0:is>
          <ns0:t>v7_merge_2_auto_20260909_171304_2134673</ns0:t>
        </ns0:is>
      </ns0:c>
      <ns0:c r="B45" s="247" t="inlineStr">
        <ns0:is>
          <ns0:t>完成</ns0:t>
        </ns0:is>
      </ns0:c>
      <ns0:c r="C45" s="249">
        <ns0:v>400</ns0:v>
      </ns0:c>
      <ns0:c r="D45" s="249">
        <ns0:v>78</ns0:v>
      </ns0:c>
      <ns0:c r="E45" s="249">
        <ns0:v>1022419</ns0:v>
      </ns0:c>
      <ns0:c r="F45" s="249">
        <ns0:v>43.781</ns0:v>
      </ns0:c>
      <ns0:c r="G45" s="249">
        <ns0:v>30.367</ns0:v>
      </ns0:c>
      <ns0:c r="H45" s="249">
        <ns0:v>9</ns0:v>
      </ns0:c>
      <ns0:c r="I45" s="247" t="inlineStr">
        <ns0:is>
          <ns0:t>严格证据校验通过；完整在线结果，未重跑建图</ns0:t>
        </ns0:is>
      </ns0:c>
      <ns0:c r="J45" s="0" t="n"/>
      <ns0:c r="K45" s="0" t="n"/>
      <ns0:c r="L45" s="0" t="n"/>
    </ns0:row>
    <ns0:row r="46" ht="48" customHeight="1" s="2">
      <ns0:c r="A46" s="238" t="n"/>
      <ns0:c r="B46" s="238" t="n"/>
      <ns0:c r="C46" s="238" t="n"/>
      <ns0:c r="D46" s="238" t="n"/>
      <ns0:c r="E46" s="238" t="n"/>
      <ns0:c r="F46" s="238" t="n"/>
      <ns0:c r="G46" s="238" t="n"/>
      <ns0:c r="H46" s="238" t="n"/>
      <ns0:c r="I46" s="238" t="n"/>
      <ns0:c r="J46" s="238" t="n"/>
      <ns0:c r="K46" s="238" t="n"/>
      <ns0:c r="L46" s="238" t="n"/>
    </ns0:row>
    <ns0:row r="47" ht="24" customHeight="1" s="2">
      <ns0:c r="A47" s="236" t="inlineStr">
        <ns0:is>
          <ns0:t>D. 实例级评估（fixed-support；百分比显示）</ns0:t>
        </ns0:is>
      </ns0:c>
    </ns0:row>
    <ns0:row r="48" ht="42" customHeight="1" s="2">
      <ns0:c r="A48" s="223" t="inlineStr">
        <ns0:is>
          <ns0:t>实验目录</ns0:t>
        </ns0:is>
      </ns0:c>
      <ns0:c r="B48" s="223" t="inlineStr">
        <ns0:is>
          <ns0:t>PQ</ns0:t>
        </ns0:is>
      </ns0:c>
      <ns0:c r="C48" s="223" t="inlineStr">
        <ns0:is>
          <ns0:t>RQ</ns0:t>
        </ns0:is>
      </ns0:c>
      <ns0:c r="D48" s="223" t="inlineStr">
        <ns0:is>
          <ns0:t>SQ</ns0:t>
        </ns0:is>
      </ns0:c>
      <ns0:c r="E48" s="223" t="inlineStr">
        <ns0:is>
          <ns0:t>TP</ns0:t>
        </ns0:is>
      </ns0:c>
      <ns0:c r="F48" s="223" t="inlineStr">
        <ns0:is>
          <ns0:t>FP</ns0:t>
        </ns0:is>
      </ns0:c>
      <ns0:c r="G48" s="223" t="inlineStr">
        <ns0:is>
          <ns0:t>FN</ns0:t>
        </ns0:is>
      </ns0:c>
      <ns0:c r="H48" s="223" t="inlineStr">
        <ns0:is>
          <ns0:t>GT实例数</ns0:t>
        </ns0:is>
      </ns0:c>
      <ns0:c r="I48" s="223" t="inlineStr">
        <ns0:is>
          <ns0:t>预测地图实例数</ns0:t>
        </ns0:is>
      </ns0:c>
      <ns0:c r="J48" s="223" t="inlineStr">
        <ns0:is>
          <ns0:t>状态</ns0:t>
        </ns0:is>
      </ns0:c>
      <ns0:c r="K48" s="223" t="str"/>
      <ns0:c r="L48" s="223" t="str"/>
    </ns0:row>
    <ns0:row r="49" ht="38" customHeight="1" s="2">
      <ns0:c r="A49" s="226" t="inlineStr">
        <ns0:is>
          <ns0:t>v4_human2000_2</ns0:t>
        </ns0:is>
      </ns0:c>
      <ns0:c r="B49" s="226" t="n">
        <ns0:v>0.4225284960198734</ns0:v>
      </ns0:c>
      <ns0:c r="C49" s="226" t="n">
        <ns0:v>0.4705882352941176</ns0:v>
      </ns0:c>
      <ns0:c r="D49" s="305" t="n">
        <ns0:v>0.8978730540422308</ns0:v>
      </ns0:c>
      <ns0:c r="E49" s="226" t="n">
        <ns0:v>28</ns0:v>
      </ns0:c>
      <ns0:c r="F49" s="226" t="n">
        <ns0:v>11</ns0:v>
      </ns0:c>
      <ns0:c r="G49" s="226" t="n">
        <ns0:v>52</ns0:v>
      </ns0:c>
      <ns0:c r="H49" s="226" t="n">
        <ns0:v>80</ns0:v>
      </ns0:c>
      <ns0:c r="I49" s="226" t="n">
        <ns0:v>51</ns0:v>
      </ns0:c>
      <ns0:c r="J49" s="226" t="inlineStr">
        <ns0:is>
          <ns0:t>completed</ns0:t>
        </ns0:is>
      </ns0:c>
      <ns0:c r="K49" s="226" t="n"/>
      <ns0:c r="L49" s="226" t="n"/>
    </ns0:row>
    <ns0:row r="50" ht="38" customHeight="1" s="2">
      <ns0:c r="A50" s="279" t="inlineStr">
        <ns0:is>
          <ns0:t>v5_human2000</ns0:t>
        </ns0:is>
      </ns0:c>
      <ns0:c r="B50" s="231" t="n">
        <ns0:v>0.4486500363031833</ns0:v>
      </ns0:c>
      <ns0:c r="C50" s="231" t="n">
        <ns0:v>0.515625</ns0:v>
      </ns0:c>
      <ns0:c r="D50" s="231" t="n">
        <ns0:v>0.8701091613152646</ns0:v>
      </ns0:c>
      <ns0:c r="E50" s="279" t="n">
        <ns0:v>33</ns0:v>
      </ns0:c>
      <ns0:c r="F50" s="279" t="n">
        <ns0:v>15</ns0:v>
      </ns0:c>
      <ns0:c r="G50" s="279" t="n">
        <ns0:v>47</ns0:v>
      </ns0:c>
      <ns0:c r="H50" s="279" t="n">
        <ns0:v>80</ns0:v>
      </ns0:c>
      <ns0:c r="I50" s="279" t="n">
        <ns0:v>65</ns0:v>
      </ns0:c>
      <ns0:c r="J50" s="279" t="inlineStr">
        <ns0:is>
          <ns0:t>completed</ns0:t>
        </ns0:is>
      </ns0:c>
      <ns0:c r="K50" s="279" t="str"/>
      <ns0:c r="L50" s="279" t="str"/>
    </ns0:row>
    <ns0:row r="51" ht="38" customHeight="1" s="2">
      <ns0:c r="A51" s="226" t="inlineStr">
        <ns0:is>
          <ns0:t>off2000_10</ns0:t>
        </ns0:is>
      </ns0:c>
      <ns0:c r="B51" s="230" t="n">
        <ns0:v>0.4081250212935538</ns0:v>
      </ns0:c>
      <ns0:c r="C51" s="230" t="n">
        <ns0:v>0.4661654135338346</ns0:v>
      </ns0:c>
      <ns0:c r="D51" s="230" t="n">
        <ns0:v>0.8754939972910105</ns0:v>
      </ns0:c>
      <ns0:c r="E51" s="226" t="n">
        <ns0:v>31</ns0:v>
      </ns0:c>
      <ns0:c r="F51" s="226" t="n">
        <ns0:v>22</ns0:v>
      </ns0:c>
      <ns0:c r="G51" s="226" t="n">
        <ns0:v>49</ns0:v>
      </ns0:c>
      <ns0:c r="H51" s="226" t="n">
        <ns0:v>80</ns0:v>
      </ns0:c>
      <ns0:c r="I51" s="226" t="n">
        <ns0:v>72</ns0:v>
      </ns0:c>
      <ns0:c r="J51" s="226" t="inlineStr">
        <ns0:is>
          <ns0:t>completed</ns0:t>
        </ns0:is>
      </ns0:c>
      <ns0:c r="K51" s="226" t="str"/>
      <ns0:c r="L51" s="226" t="str"/>
    </ns0:row>
    <ns0:row r="52" ht="38" customHeight="1" s="2">
      <ns0:c r="A52" s="226" t="inlineStr">
        <ns0:is>
          <ns0:t>v7_auto_20260908_104929_2348977</ns0:t>
        </ns0:is>
      </ns0:c>
      <ns0:c r="B52" s="226" t="n">
        <ns0:v>0.4221042752189245</ns0:v>
      </ns0:c>
      <ns0:c r="C52" s="226" t="n">
        <ns0:v>0.4888888888888889</ns0:v>
      </ns0:c>
      <ns0:c r="D52" s="226" t="n">
        <ns0:v>0.8633951084023455</ns0:v>
      </ns0:c>
      <ns0:c r="E52" s="226" t="n">
        <ns0:v>33</ns0:v>
      </ns0:c>
      <ns0:c r="F52" s="226" t="n">
        <ns0:v>22</ns0:v>
      </ns0:c>
      <ns0:c r="G52" s="226" t="n">
        <ns0:v>47</ns0:v>
      </ns0:c>
      <ns0:c r="H52" s="226" t="n">
        <ns0:v>80</ns0:v>
      </ns0:c>
      <ns0:c r="I52" s="226" t="n">
        <ns0:v>72</ns0:v>
      </ns0:c>
      <ns0:c r="J52" s="226" t="inlineStr">
        <ns0:is>
          <ns0:t>completed</ns0:t>
        </ns0:is>
      </ns0:c>
      <ns0:c r="K52" s="226" t="n"/>
      <ns0:c r="L52" s="226" t="n"/>
    </ns0:row>
    <ns0:row r="53" ht="38" customHeight="1" s="2">
      <ns0:c r="A53" s="226" t="inlineStr">
        <ns0:is>
          <ns0:t>off2000</ns0:t>
        </ns0:is>
      </ns0:c>
      <ns0:c r="B53" s="226" t="n">
        <ns0:v>0.395657552832716</ns0:v>
      </ns0:c>
      <ns0:c r="C53" s="226" t="n">
        <ns0:v>0.4511278195488722</ns0:v>
      </ns0:c>
      <ns0:c r="D53" s="226" t="n">
        <ns0:v>0.8770409087791872</ns0:v>
      </ns0:c>
      <ns0:c r="E53" s="226" t="n">
        <ns0:v>30</ns0:v>
      </ns0:c>
      <ns0:c r="F53" s="226" t="n">
        <ns0:v>23</ns0:v>
      </ns0:c>
      <ns0:c r="G53" s="226" t="n">
        <ns0:v>50</ns0:v>
      </ns0:c>
      <ns0:c r="H53" s="226" t="n">
        <ns0:v>80</ns0:v>
      </ns0:c>
      <ns0:c r="I53" s="226" t="n">
        <ns0:v>72</ns0:v>
      </ns0:c>
      <ns0:c r="J53" s="226" t="inlineStr">
        <ns0:is>
          <ns0:t>completed</ns0:t>
        </ns0:is>
      </ns0:c>
      <ns0:c r="K53" s="226" t="n"/>
      <ns0:c r="L53" s="226" t="n"/>
    </ns0:row>
    <ns0:row r="54" ht="38" customHeight="1" s="2">
      <ns0:c r="A54" s="226" t="inlineStr">
        <ns0:is>
          <ns0:t>v7_auto_image</ns0:t>
        </ns0:is>
      </ns0:c>
      <ns0:c r="B54" s="226" t="n">
        <ns0:v>0.4902818447124996</ns0:v>
      </ns0:c>
      <ns0:c r="C54" s="226" t="n">
        <ns0:v>0.5753424657534246</ns0:v>
      </ns0:c>
      <ns0:c r="D54" s="226" t="n">
        <ns0:v>0.8521565396193447</ns0:v>
      </ns0:c>
      <ns0:c r="E54" s="305" t="n">
        <ns0:v>42</ns0:v>
      </ns0:c>
      <ns0:c r="F54" s="226" t="n">
        <ns0:v>24</ns0:v>
      </ns0:c>
      <ns0:c r="G54" s="305" t="n">
        <ns0:v>38</ns0:v>
      </ns0:c>
      <ns0:c r="H54" s="226" t="n">
        <ns0:v>80</ns0:v>
      </ns0:c>
      <ns0:c r="I54" s="226" t="n">
        <ns0:v>97</ns0:v>
      </ns0:c>
      <ns0:c r="J54" s="226" t="inlineStr">
        <ns0:is>
          <ns0:t>completed</ns0:t>
        </ns0:is>
      </ns0:c>
      <ns0:c r="K54" s="226" t="n"/>
      <ns0:c r="L54" s="226" t="n"/>
    </ns0:row>
    <ns0:row r="55" ht="48" customHeight="1" s="2">
      <ns0:c r="A55" s="226" t="inlineStr">
        <ns0:is>
          <ns0:t>v7_merge_auto_20260909_110828_335106</ns0:t>
        </ns0:is>
      </ns0:c>
      <ns0:c r="B55" s="226" t="n">
        <ns0:v>0.5292371802833029</ns0:v>
      </ns0:c>
      <ns0:c r="C55" s="226" t="n">
        <ns0:v>0.6074074074074074</ns0:v>
      </ns0:c>
      <ns0:c r="D55" s="226" t="n">
        <ns0:v>0.8713051138810475</ns0:v>
      </ns0:c>
      <ns0:c r="E55" s="226" t="n">
        <ns0:v>41</ns0:v>
      </ns0:c>
      <ns0:c r="F55" s="226" t="n">
        <ns0:v>14</ns0:v>
      </ns0:c>
      <ns0:c r="G55" s="226" t="n">
        <ns0:v>39</ns0:v>
      </ns0:c>
      <ns0:c r="H55" s="226" t="n">
        <ns0:v>80</ns0:v>
      </ns0:c>
      <ns0:c r="I55" s="226" t="n">
        <ns0:v>80</ns0:v>
      </ns0:c>
      <ns0:c r="J55" s="226" t="inlineStr">
        <ns0:is>
          <ns0:t>completed</ns0:t>
        </ns0:is>
      </ns0:c>
      <ns0:c r="K55" s="226" t="n"/>
      <ns0:c r="L55" s="226" t="n"/>
    </ns0:row>
    <ns0:row r="56" ht="60" customHeight="1" s="2">
      <ns0:c r="A56" s="250" t="inlineStr">
        <ns0:is>
          <ns0:t>v7_CLIP_auto_20260909_160519_2075470</ns0:t>
        </ns0:is>
      </ns0:c>
      <ns0:c r="B56" s="267" t="n">
        <ns0:v>0.5499855917862291</ns0:v>
      </ns0:c>
      <ns0:c r="C56" s="267" t="n">
        <ns0:v>0.6363636363636364</ns0:v>
      </ns0:c>
      <ns0:c r="D56" s="252" t="n">
        <ns0:v>0.8642630728069314</ns0:v>
      </ns0:c>
      <ns0:c r="E56" s="270" t="n">
        <ns0:v>42</ns0:v>
      </ns0:c>
      <ns0:c r="F56" s="270" t="n">
        <ns0:v>10</ns0:v>
      </ns0:c>
      <ns0:c r="G56" s="270" t="n">
        <ns0:v>38</ns0:v>
      </ns0:c>
      <ns0:c r="H56" s="253" t="n">
        <ns0:v>80</ns0:v>
      </ns0:c>
      <ns0:c r="I56" s="253" t="n">
        <ns0:v>76</ns0:v>
      </ns0:c>
      <ns0:c r="J56" s="250" t="inlineStr">
        <ns0:is>
          <ns0:t>completed</ns0:t>
        </ns0:is>
      </ns0:c>
    </ns0:row>
    <ns0:row r="57" ht="60" customHeight="1" s="2">
      <ns0:c r="A57" s="250" t="inlineStr">
        <ns0:is>
          <ns0:t>v7_merge_2_auto_20260909_171304_2134673</ns0:t>
        </ns0:is>
      </ns0:c>
      <ns0:c r="B57" s="252">
        <ns0:v>0.5341773823517003</ns0:v>
      </ns0:c>
      <ns0:c r="C57" s="252">
        <ns0:v>0.6119402985074627</ns0:v>
      </ns0:c>
      <ns0:c r="D57" s="252">
        <ns0:v>0.8729240150625347</ns0:v>
      </ns0:c>
      <ns0:c r="E57" s="253">
        <ns0:v>41</ns0:v>
      </ns0:c>
      <ns0:c r="F57" s="253">
        <ns0:v>13</ns0:v>
      </ns0:c>
      <ns0:c r="G57" s="253">
        <ns0:v>39</ns0:v>
      </ns0:c>
      <ns0:c r="H57" s="253">
        <ns0:v>80</ns0:v>
      </ns0:c>
      <ns0:c r="I57" s="253">
        <ns0:v>78</ns0:v>
      </ns0:c>
      <ns0:c r="J57" s="250" t="inlineStr">
        <ns0:is>
          <ns0:t>completed</ns0:t>
        </ns0:is>
      </ns0:c>
      <ns0:c r="K57" s="0" t="n"/>
      <ns0:c r="L57" s="0" t="n"/>
    </ns0:row>
    <ns0:row r="58" ht="24" customHeight="1" s="2">
      <ns0:c r="A58" s="236" t="inlineStr">
        <ns0:is>
          <ns0:t>E. 几何覆盖率（fixed-support；阈值为当前点到预测地图的最近距离）</ns0:t>
        </ns0:is>
      </ns0:c>
    </ns0:row>
    <ns0:row r="59" ht="42" customHeight="1" s="2">
      <ns0:c r="A59" s="223" t="inlineStr">
        <ns0:is>
          <ns0:t>实验目录</ns0:t>
        </ns0:is>
      </ns0:c>
      <ns0:c r="B59" s="223" t="inlineStr">
        <ns0:is>
          <ns0:t>覆盖点@2.5cm</ns0:t>
        </ns0:is>
      </ns0:c>
      <ns0:c r="C59" s="223" t="inlineStr">
        <ns0:is>
          <ns0:t>覆盖点@5cm</ns0:t>
        </ns0:is>
      </ns0:c>
      <ns0:c r="D59" s="223" t="inlineStr">
        <ns0:is>
          <ns0:t>覆盖点@10cm</ns0:t>
        </ns0:is>
      </ns0:c>
      <ns0:c r="E59" s="223" t="inlineStr">
        <ns0:is>
          <ns0:t>总评测点</ns0:t>
        </ns0:is>
      </ns0:c>
      <ns0:c r="F59" s="223" t="inlineStr">
        <ns0:is>
          <ns0:t>Coverage@2.5cm</ns0:t>
        </ns0:is>
      </ns0:c>
      <ns0:c r="G59" s="223" t="inlineStr">
        <ns0:is>
          <ns0:t>Coverage@5cm</ns0:t>
        </ns0:is>
      </ns0:c>
      <ns0:c r="H59" s="223" t="inlineStr">
        <ns0:is>
          <ns0:t>Coverage@10cm</ns0:t>
        </ns0:is>
      </ns0:c>
      <ns0:c r="I59" s="223" t="inlineStr">
        <ns0:is>
          <ns0:t>状态</ns0:t>
        </ns0:is>
      </ns0:c>
      <ns0:c r="J59" s="223" t="str"/>
      <ns0:c r="K59" s="223" t="str"/>
      <ns0:c r="L59" s="223" t="str"/>
    </ns0:row>
    <ns0:row r="60" ht="38" customHeight="1" s="2">
      <ns0:c r="A60" s="226" t="inlineStr">
        <ns0:is>
          <ns0:t>v4_human2000_2</ns0:t>
        </ns0:is>
      </ns0:c>
      <ns0:c r="B60" s="226" t="n">
        <ns0:v>3354826</ns0:v>
      </ns0:c>
      <ns0:c r="C60" s="226" t="n">
        <ns0:v>3395387</ns0:v>
      </ns0:c>
      <ns0:c r="D60" s="226" t="n">
        <ns0:v>3465628</ns0:v>
      </ns0:c>
      <ns0:c r="E60" s="226" t="n">
        <ns0:v>4085377</ns0:v>
      </ns0:c>
      <ns0:c r="F60" s="226" t="n">
        <ns0:v>0.8211790490816392</ns0:v>
      </ns0:c>
      <ns0:c r="G60" s="226" t="n">
        <ns0:v>0.8311073861726836</ns0:v>
      </ns0:c>
      <ns0:c r="H60" s="226" t="n">
        <ns0:v>0.8483006586662626</ns0:v>
      </ns0:c>
      <ns0:c r="I60" s="226" t="inlineStr">
        <ns0:is>
          <ns0:t>completed</ns0:t>
        </ns0:is>
      </ns0:c>
      <ns0:c r="J60" s="226" t="n"/>
      <ns0:c r="K60" s="226" t="n"/>
      <ns0:c r="L60" s="226" t="n"/>
    </ns0:row>
    <ns0:row r="61" ht="38" customHeight="1" s="2">
      <ns0:c r="A61" s="279" t="inlineStr">
        <ns0:is>
          <ns0:t>v5_human2000</ns0:t>
        </ns0:is>
      </ns0:c>
      <ns0:c r="B61" s="279" t="n">
        <ns0:v>3352304</ns0:v>
      </ns0:c>
      <ns0:c r="C61" s="279" t="n">
        <ns0:v>3393706</ns0:v>
      </ns0:c>
      <ns0:c r="D61" s="279" t="n">
        <ns0:v>3464909</ns0:v>
      </ns0:c>
      <ns0:c r="E61" s="279" t="n">
        <ns0:v>4085377</ns0:v>
      </ns0:c>
      <ns0:c r="F61" s="231" t="n">
        <ns0:v>0.820561725392785</ns0:v>
      </ns0:c>
      <ns0:c r="G61" s="231" t="n">
        <ns0:v>0.8306959186385982</ns0:v>
      </ns0:c>
      <ns0:c r="H61" s="231" t="n">
        <ns0:v>0.8481246651165854</ns0:v>
      </ns0:c>
      <ns0:c r="I61" s="279" t="inlineStr">
        <ns0:is>
          <ns0:t>completed</ns0:t>
        </ns0:is>
      </ns0:c>
      <ns0:c r="J61" s="279" t="str"/>
      <ns0:c r="K61" s="279" t="str"/>
      <ns0:c r="L61" s="279" t="str"/>
    </ns0:row>
    <ns0:row r="62" ht="38" customHeight="1" s="2">
      <ns0:c r="A62" s="226" t="inlineStr">
        <ns0:is>
          <ns0:t>off2000_10</ns0:t>
        </ns0:is>
      </ns0:c>
      <ns0:c r="B62" s="226" t="n">
        <ns0:v>3323083</ns0:v>
      </ns0:c>
      <ns0:c r="C62" s="226" t="n">
        <ns0:v>3363896</ns0:v>
      </ns0:c>
      <ns0:c r="D62" s="226" t="n">
        <ns0:v>3438149</ns0:v>
      </ns0:c>
      <ns0:c r="E62" s="226" t="n">
        <ns0:v>4085377</ns0:v>
      </ns0:c>
      <ns0:c r="F62" s="230" t="n">
        <ns0:v>0.8134091419225202</ns0:v>
      </ns0:c>
      <ns0:c r="G62" s="230" t="n">
        <ns0:v>0.8233991624273598</ns0:v>
      </ns0:c>
      <ns0:c r="H62" s="230" t="n">
        <ns0:v>0.8415744740326291</ns0:v>
      </ns0:c>
      <ns0:c r="I62" s="226" t="inlineStr">
        <ns0:is>
          <ns0:t>completed</ns0:t>
        </ns0:is>
      </ns0:c>
      <ns0:c r="J62" s="226" t="str"/>
      <ns0:c r="K62" s="226" t="str"/>
      <ns0:c r="L62" s="226" t="str"/>
    </ns0:row>
    <ns0:row r="63" ht="38" customHeight="1" s="2">
      <ns0:c r="A63" s="226" t="inlineStr">
        <ns0:is>
          <ns0:t>v7_auto_20260908_104929_2348977</ns0:t>
        </ns0:is>
      </ns0:c>
      <ns0:c r="B63" s="226" t="n">
        <ns0:v>3257121</ns0:v>
      </ns0:c>
      <ns0:c r="C63" s="226" t="n">
        <ns0:v>3294680</ns0:v>
      </ns0:c>
      <ns0:c r="D63" s="226" t="n">
        <ns0:v>3365798</ns0:v>
      </ns0:c>
      <ns0:c r="E63" s="226" t="n">
        <ns0:v>4085377</ns0:v>
      </ns0:c>
      <ns0:c r="F63" s="226" t="n">
        <ns0:v>0.7972632635862003</ns0:v>
      </ns0:c>
      <ns0:c r="G63" s="226" t="n">
        <ns0:v>0.806456784771638</ns0:v>
      </ns0:c>
      <ns0:c r="H63" s="226" t="n">
        <ns0:v>0.8238647253362419</ns0:v>
      </ns0:c>
      <ns0:c r="I63" s="226" t="inlineStr">
        <ns0:is>
          <ns0:t>completed</ns0:t>
        </ns0:is>
      </ns0:c>
      <ns0:c r="J63" s="226" t="n"/>
      <ns0:c r="K63" s="226" t="n"/>
      <ns0:c r="L63" s="226" t="n"/>
    </ns0:row>
    <ns0:row r="64" ht="38" customHeight="1" s="2">
      <ns0:c r="A64" s="226" t="inlineStr">
        <ns0:is>
          <ns0:t>off2000</ns0:t>
        </ns0:is>
      </ns0:c>
      <ns0:c r="B64" s="226" t="n">
        <ns0:v>3357024</ns0:v>
      </ns0:c>
      <ns0:c r="C64" s="226" t="n">
        <ns0:v>3396296</ns0:v>
      </ns0:c>
      <ns0:c r="D64" s="226" t="n">
        <ns0:v>3466234</ns0:v>
      </ns0:c>
      <ns0:c r="E64" s="226" t="n">
        <ns0:v>4085377</ns0:v>
      </ns0:c>
      <ns0:c r="F64" s="226" t="n">
        <ns0:v>0.8217170655241854</ns0:v>
      </ns0:c>
      <ns0:c r="G64" s="226" t="n">
        <ns0:v>0.8313298870581589</ns0:v>
      </ns0:c>
      <ns0:c r="H64" s="226" t="n">
        <ns0:v>0.8484489925899128</ns0:v>
      </ns0:c>
      <ns0:c r="I64" s="226" t="inlineStr">
        <ns0:is>
          <ns0:t>completed</ns0:t>
        </ns0:is>
      </ns0:c>
      <ns0:c r="J64" s="226" t="n"/>
      <ns0:c r="K64" s="226" t="n"/>
      <ns0:c r="L64" s="226" t="n"/>
    </ns0:row>
    <ns0:row r="65" ht="38" customHeight="1" s="2">
      <ns0:c r="A65" s="226" t="inlineStr">
        <ns0:is>
          <ns0:t>v7_auto_image</ns0:t>
        </ns0:is>
      </ns0:c>
      <ns0:c r="B65" s="226" t="n">
        <ns0:v>3921882</ns0:v>
      </ns0:c>
      <ns0:c r="C65" s="226" t="n">
        <ns0:v>3965061</ns0:v>
      </ns0:c>
      <ns0:c r="D65" s="226" t="n">
        <ns0:v>4007322</ns0:v>
      </ns0:c>
      <ns0:c r="E65" s="226" t="n">
        <ns0:v>4085377</ns0:v>
      </ns0:c>
      <ns0:c r="F65" s="226" t="n">
        <ns0:v>0.9599804375459107</ns0:v>
      </ns0:c>
      <ns0:c r="G65" s="226" t="n">
        <ns0:v>0.9705495967691599</ns0:v>
      </ns0:c>
      <ns0:c r="H65" s="226" t="n">
        <ns0:v>0.9808940521278697</ns0:v>
      </ns0:c>
      <ns0:c r="I65" s="226" t="inlineStr">
        <ns0:is>
          <ns0:t>completed</ns0:t>
        </ns0:is>
      </ns0:c>
      <ns0:c r="J65" s="226" t="n"/>
      <ns0:c r="K65" s="226" t="n"/>
      <ns0:c r="L65" s="226" t="n"/>
    </ns0:row>
    <ns0:row r="66" ht="48" customHeight="1" s="2">
      <ns0:c r="A66" s="226" t="inlineStr">
        <ns0:is>
          <ns0:t>v7_merge_auto_20260909_110828_335106</ns0:t>
        </ns0:is>
      </ns0:c>
      <ns0:c r="B66" s="226" t="n">
        <ns0:v>3919667</ns0:v>
      </ns0:c>
      <ns0:c r="C66" s="226" t="n">
        <ns0:v>3963253</ns0:v>
      </ns0:c>
      <ns0:c r="D66" s="226" t="n">
        <ns0:v>4006634</ns0:v>
      </ns0:c>
      <ns0:c r="E66" s="226" t="n">
        <ns0:v>4085377</ns0:v>
      </ns0:c>
      <ns0:c r="F66" s="226" t="n">
        <ns0:v>0.9594382599206879</ns0:v>
      </ns0:c>
      <ns0:c r="G66" s="226" t="n">
        <ns0:v>0.9701070427527252</ns0:v>
      </ns0:c>
      <ns0:c r="H66" s="226" t="n">
        <ns0:v>0.980725646617191</ns0:v>
      </ns0:c>
      <ns0:c r="I66" s="226" t="inlineStr">
        <ns0:is>
          <ns0:t>completed</ns0:t>
        </ns0:is>
      </ns0:c>
      <ns0:c r="J66" s="226" t="n"/>
      <ns0:c r="K66" s="226" t="n"/>
      <ns0:c r="L66" s="226" t="n"/>
    </ns0:row>
    <ns0:row r="67" ht="60" customHeight="1" s="2">
      <ns0:c r="A67" s="250" t="inlineStr">
        <ns0:is>
          <ns0:t>v7_CLIP_auto_20260909_160519_2075470</ns0:t>
        </ns0:is>
      </ns0:c>
      <ns0:c r="B67" s="253" t="n">
        <ns0:v>3922609</ns0:v>
      </ns0:c>
      <ns0:c r="C67" s="253" t="n">
        <ns0:v>3965257</ns0:v>
      </ns0:c>
      <ns0:c r="D67" s="253" t="n">
        <ns0:v>4007307</ns0:v>
      </ns0:c>
      <ns0:c r="E67" s="253" t="n">
        <ns0:v>4085377</ns0:v>
      </ns0:c>
      <ns0:c r="F67" s="252" t="n">
        <ns0:v>0.9601583892992005</ns0:v>
      </ns0:c>
      <ns0:c r="G67" s="252" t="n">
        <ns0:v>0.9705975727576671</ns0:v>
      </ns0:c>
      <ns0:c r="H67" s="252" t="n">
        <ns0:v>0.9808903804960962</ns0:v>
      </ns0:c>
      <ns0:c r="I67" s="250" t="inlineStr">
        <ns0:is>
          <ns0:t>completed</ns0:t>
        </ns0:is>
      </ns0:c>
    </ns0:row>
    <ns0:row r="68" ht="60" customHeight="1" s="2">
      <ns0:c r="A68" s="250" t="inlineStr">
        <ns0:is>
          <ns0:t>v7_merge_2_auto_20260909_171304_2134673</ns0:t>
        </ns0:is>
      </ns0:c>
      <ns0:c r="B68" s="270">
        <ns0:v>3936551</ns0:v>
      </ns0:c>
      <ns0:c r="C68" s="270">
        <ns0:v>3983688</ns0:v>
      </ns0:c>
      <ns0:c r="D68" s="270">
        <ns0:v>4024494</ns0:v>
      </ns0:c>
      <ns0:c r="E68" s="253">
        <ns0:v>4085377</ns0:v>
      </ns0:c>
      <ns0:c r="F68" s="267">
        <ns0:v>0.9635710486449598</ns0:v>
      </ns0:c>
      <ns0:c r="G68" s="267">
        <ns0:v>0.9751090291055147</ns0:v>
      </ns0:c>
      <ns0:c r="H68" s="267">
        <ns0:v>0.9850973361821932</ns0:v>
      </ns0:c>
      <ns0:c r="I68" s="250" t="inlineStr">
        <ns0:is>
          <ns0:t>completed</ns0:t>
        </ns0:is>
      </ns0:c>
      <ns0:c r="J68" s="0" t="n"/>
      <ns0:c r="K68" s="0" t="n"/>
      <ns0:c r="L68" s="0" t="n"/>
    </ns0:row>
    <ns0:row r="69" ht="24" customHeight="1" s="2">
      <ns0:c r="A69" s="236" t="inlineStr">
        <ns0:is>
          <ns0:t>F. 评估口径、结论与局限</ns0:t>
        </ns0:is>
      </ns0:c>
    </ns0:row>
    <ns0:row r="70" ht="34" customHeight="1" s="2">
      <ns0:c r="A70" s="279" t="inlineStr">
        <ns0:is>
          <ns0:t>原生1024维CLIP；ViT-H-14 / laion2b_s32b_b79k；文本提示 an image of {class}；不使用Oracle语义标签。</ns0:t>
        </ns0:is>
      </ns0:c>
    </ns0:row>
    <ns0:row r="71" ht="34" customHeight="1" s="2">
      <ns0:c r="A71" s="279" t="inlineStr">
        <ns0:is>
          <ns0:t>排除 other/floor/wall/ceiling/door/window；共享Replica Semantic GT；CPU cKDTree精确k=1，无额外距离阈值。</ns0:t>
        </ns0:is>
      </ns0:c>
    </ns0:row>
    <ns0:row r="72" ht="34" customHeight="1" s="2">
      <ns0:c r="A72" s="279" t="inlineStr">
        <ns0:is>
          <ns0:t>mAcc等于mRecall宏平均；mF1沿用ali-dev原公式。PQ/RQ/SQ及覆盖率在已生成fixed-support结果的off2000、v5、off2000_10与v7 auto之间可直接比较。</ns0:t>
        </ns0:is>
      </ns0:c>
    </ns0:row>
    <ns0:row r="73" ht="34" customHeight="1" s="2">
      <ns0:c r="A73" s="279" t="inlineStr">
        <ns0:is>
          <ns0:t>v4_human2000_2 的 PQ、覆盖率已于2026-09-09补测，使用相同 fixed-support 口径。</ns0:t>
        </ns0:is>
      </ns0:c>
    </ns0:row>
    <ns0:row r="74" ht="34" customHeight="1" s="2">
      <ns0:c r="A74" s="279" t="inlineStr">
        <ns0:is>
          <ns0:t>off2000_10相对off2000的语义差异同时包含建图stride变化，不能归因于门控策略；其评估参考点云仍为统一stride5 SLAM RGB cloud。</ns0:t>
        </ns0:is>
      </ns0:c>
    </ns0:row>
    <ns0:row r="75" ht="34" customHeight="1" s="2">
      <ns0:c r="A75" s="279" t="inlineStr">
        <ns0:is>
          <ns0:t>单场景无重复运行/方差，不能推断多场景总体效果；最近邻无距离门限会混合覆盖误差与语义误差。</ns0:t>
        </ns0:is>
      </ns0:c>
    </ns0:row>
    <ns0:row r="76" ht="34" customHeight="1" s="2">
      <ns0:c r="A76" s="279" t="inlineStr">
        <ns0:is>
          <ns0:t>本次仅汇总服务器上已经完成的评估，没有重跑建图、评估或调用API；保留工作簿其他历史sheet。</ns0:t>
        </ns0:is>
      </ns0:c>
    </ns0:row>
    <ns0:row r="77">
      <ns0:c r="A77" s="238" t="n"/>
      <ns0:c r="B77" s="238" t="n"/>
      <ns0:c r="C77" s="238" t="n"/>
      <ns0:c r="D77" s="238" t="n"/>
      <ns0:c r="E77" s="238" t="n"/>
      <ns0:c r="F77" s="238" t="n"/>
      <ns0:c r="G77" s="238" t="n"/>
      <ns0:c r="H77" s="238" t="n"/>
      <ns0:c r="I77" s="238" t="n"/>
      <ns0:c r="J77" s="238" t="n"/>
      <ns0:c r="K77" s="238" t="n"/>
      <ns0:c r="L77" s="238" t="n"/>
    </ns0:row>
    <ns0:row r="78" ht="24" customHeight="1" s="2">
      <ns0:c r="A78" s="236" t="inlineStr">
        <ns0:is>
          <ns0:t>G. 本次三组原始产物路径（服务器绝对路径）</ns0:t>
        </ns0:is>
      </ns0:c>
    </ns0:row>
    <ns0:row r="79" ht="48" customHeight="1" s="2">
      <ns0:c r="A79" s="279" t="inlineStr">
        <ns0:is>
          <ns0:t>v4语义：/home/chenkejun/beauty/conceptgraphs/results/experiments/oracle_three_error_20260828/pilot/b0_dataset/Replica/room0/exps/v4_human2000_2/point_semantic_ali_dev_nexclude6_20260905_134217/semseg_results.json</ns0:t>
        </ns0:is>
      </ns0:c>
    </ns0:row>
    <ns0:row r="80" ht="48" customHeight="1" s="2">
      <ns0:c r="A80" s="279" t="inlineStr">
        <ns0:is>
          <ns0:t>v5语义：/home/chenkejun/beauty/conceptgraphs/results/experiments/oracle_three_error_20260828/pilot/b0_dataset/Replica/room0/exps/v5_human2000/point_semantic_ali_dev_nexclude6_20260905_163016/semseg_results.json</ns0:t>
        </ns0:is>
      </ns0:c>
    </ns0:row>
    <ns0:row r="81" ht="48" customHeight="1" s="2">
      <ns0:c r="A81" s="279" t="inlineStr">
        <ns0:is>
          <ns0:t>v5 PQ：/home/chenkejun/beauty/conceptgraphs/results/experiments/oracle_three_error_20260828/pilot/b0_dataset/Replica/room0/exps/v5_human2000/instance_pq_fixed_support_20260905_172135_329285483/instance_pq.csv</ns0:t>
        </ns0:is>
      </ns0:c>
    </ns0:row>
    <ns0:row r="82" ht="48" customHeight="1" s="2">
      <ns0:c r="A82" s="279" t="inlineStr">
        <ns0:is>
          <ns0:t>v5覆盖率：/home/chenkejun/beauty/conceptgraphs/results/experiments/oracle_three_error_20260828/pilot/b0_dataset/Replica/room0/exps/v5_human2000/geometry_coverage_fixed_support_20260905_172426_506789443/coverage.csv</ns0:t>
        </ns0:is>
      </ns0:c>
    </ns0:row>
    <ns0:row r="83" ht="48" customHeight="1" s="2">
      <ns0:c r="A83" s="279" t="inlineStr">
        <ns0:is>
          <ns0:t>off10语义：/home/chenkejun/beauty/conceptgraphs/results/experiments/oracle_three_error_20260828/pilot/b0_dataset/Replica/room0/exps/off2000_10/point_semantic_ali_dev_nexclude6_20260905_165233/semseg_results.json</ns0:t>
        </ns0:is>
      </ns0:c>
    </ns0:row>
    <ns0:row r="84" ht="48" customHeight="1" s="2">
      <ns0:c r="A84" s="279" t="inlineStr">
        <ns0:is>
          <ns0:t>off10 PQ：/home/chenkejun/beauty/conceptgraphs/results/experiments/oracle_three_error_20260828/pilot/b0_dataset/Replica/room0/exps/off2000_10/instance_pq_fixed_support_20260905_171448_777402372/instance_pq.csv</ns0:t>
        </ns0:is>
      </ns0:c>
    </ns0:row>
    <ns0:row r="85" ht="48" customHeight="1" s="2">
      <ns0:c r="A85" s="279" t="inlineStr">
        <ns0:is>
          <ns0:t>off10覆盖率：/home/chenkejun/beauty/conceptgraphs/results/experiments/oracle_three_error_20260828/pilot/b0_dataset/Replica/room0/exps/off2000_10/geometry_coverage_fixed_support_20260905_171406_320380481/coverage.csv</ns0:t>
        </ns0:is>
      </ns0:c>
    </ns0:row>
    <ns0:row r="86" ht="64" customHeight="1" s="2">
      <ns0:c r="A86" s="279" t="inlineStr">
        <ns0:is>
          <ns0:t>v7 auto语义：/home/chenkejun/beauty/conceptgraphs/results/experiments/oracle_three_error_20260828/pilot/b0_dataset/Replica/room0/exps/v7_auto_20260908_104929_2348977/point_semantic_ali_dev_nexclude6_20260908_141324/semseg_results.json</ns0:t>
        </ns0:is>
      </ns0:c>
    </ns0:row>
    <ns0:row r="87" ht="64" customHeight="1" s="2">
      <ns0:c r="A87" s="279" t="inlineStr">
        <ns0:is>
          <ns0:t>v7 auto PQ：/home/chenkejun/beauty/conceptgraphs/results/experiments/oracle_three_error_20260828/pilot/b0_dataset/Replica/room0/exps/v7_auto_20260908_104929_2348977/instance_pq_fixed_support_20260908_150943_273261252/instance_pq.csv</ns0:t>
        </ns0:is>
      </ns0:c>
    </ns0:row>
    <ns0:row r="88" ht="64" customHeight="1" s="2">
      <ns0:c r="A88" s="279" t="inlineStr">
        <ns0:is>
          <ns0:t>v7 auto覆盖率：/home/chenkejun/beauty/conceptgraphs/results/experiments/oracle_three_error_20260828/pilot/b0_dataset/Replica/room0/exps/v7_auto_20260908_104929_2348977/geometry_coverage_fixed_support_20260908_151118_392332578/coverage.csv</ns0:t>
        </ns0:is>
      </ns0:c>
    </ns0:row>
    <ns0:row r="89" ht="64" customHeight="1" s="2">
      <ns0:c r="A89" s="279" t="inlineStr">
        <ns0:is>
          <ns0:t>off2000语义：/home/chenkejun/beauty/conceptgraphs/results/experiments/oracle_three_error_20260828/pilot/b0_dataset/Replica/room0/exps/off2000/point_semantic_ali_dev_nexclude6_20260905_163306/semseg_results.json</ns0:t>
        </ns0:is>
      </ns0:c>
    </ns0:row>
    <ns0:row r="90" ht="64" customHeight="1" s="2">
      <ns0:c r="A90" s="279" t="inlineStr">
        <ns0:is>
          <ns0:t>off2000 PQ：/home/chenkejun/beauty/conceptgraphs/results/experiments/oracle_three_error_20260828/pilot/b0_dataset/Replica/room0/exps/off2000/instance_pq_fixed_support_20260905_171948_048142826/instance_pq.csv</ns0:t>
        </ns0:is>
      </ns0:c>
    </ns0:row>
    <ns0:row r="91" ht="64" customHeight="1" s="2">
      <ns0:c r="A91" s="279" t="inlineStr">
        <ns0:is>
          <ns0:t>off2000覆盖率：/home/chenkejun/beauty/conceptgraphs/results/experiments/oracle_three_error_20260828/pilot/b0_dataset/Replica/room0/exps/off2000/geometry_coverage_fixed_support_20260905_172319_049956075/coverage.csv</ns0:t>
        </ns0:is>
      </ns0:c>
    </ns0:row>
    <ns0:row r="92" ht="64" customHeight="1" s="2">
      <ns0:c r="A92" s="279" t="inlineStr">
        <ns0:is>
          <ns0:t>v7 image语义：/home/chenkejun/beauty/conceptgraphs/results/experiments/oracle_three_error_20260828/pilot/b0_dataset/Replica/room0/exps/v7_auto_image/point_semantic_ali_dev_nexclude6_20260908_184531/semseg_results.json</ns0:t>
        </ns0:is>
      </ns0:c>
    </ns0:row>
    <ns0:row r="93" ht="64" customHeight="1" s="2">
      <ns0:c r="A93" s="279" t="inlineStr">
        <ns0:is>
          <ns0:t>v7 image PQ：/home/chenkejun/beauty/conceptgraphs/results/experiments/oracle_three_error_20260828/pilot/b0_dataset/Replica/room0/exps/v7_auto_image/instance_pq_fixed_support_20260908_205302_387800607/instance_pq.csv</ns0:t>
        </ns0:is>
      </ns0:c>
    </ns0:row>
    <ns0:row r="94" ht="64" customHeight="1" s="2">
      <ns0:c r="A94" s="279" t="inlineStr">
        <ns0:is>
          <ns0:t>v7 image覆盖率：/home/chenkejun/beauty/conceptgraphs/results/experiments/oracle_three_error_20260828/pilot/b0_dataset/Replica/room0/exps/v7_auto_image/geometry_coverage_fixed_support_20260908_205208_088299959/coverage.csv</ns0:t>
        </ns0:is>
      </ns0:c>
    </ns0:row>
    <ns0:row r="95" ht="64" customHeight="1" s="2">
      <ns0:c r="A95" s="279" t="inlineStr">
        <ns0:is>
          <ns0:t>v7 merge semantic：/home/chenkejun/beauty/conceptgraphs/results/experiments/oracle_three_error_20260828/pilot/b0_dataset/Replica/room0/exps/v7_merge_auto_20260909_110828_335106/point_semantic_ali_dev_nexclude6_20260909_132416_393130395/semseg_results.json</ns0:t>
        </ns0:is>
      </ns0:c>
    </ns0:row>
    <ns0:row r="96" ht="64" customHeight="1" s="2">
      <ns0:c r="A96" s="279" t="inlineStr">
        <ns0:is>
          <ns0:t>v7 merge pq：/home/chenkejun/beauty/conceptgraphs/results/experiments/oracle_three_error_20260828/pilot/b0_dataset/Replica/room0/exps/v7_merge_auto_20260909_110828_335106/instance_pq_fixed_support_20260909_133143_019242651/instance_pq.csv</ns0:t>
        </ns0:is>
      </ns0:c>
    </ns0:row>
    <ns0:row r="97" ht="64" customHeight="1" s="2">
      <ns0:c r="A97" s="279" t="inlineStr">
        <ns0:is>
          <ns0:t>v7 merge coverage：/home/chenkejun/beauty/conceptgraphs/results/experiments/oracle_three_error_20260828/pilot/b0_dataset/Replica/room0/exps/v7_merge_auto_20260909_110828_335106/geometry_coverage_fixed_support_20260909_133231_086433246/coverage.csv</ns0:t>
        </ns0:is>
      </ns0:c>
    </ns0:row>
    <ns0:row r="98" ht="64" customHeight="1" s="2">
      <ns0:c r="A98" s="279" t="inlineStr">
        <ns0:is>
          <ns0:t>v7 merge common：/home/chenkejun/beauty/conceptgraphs/results/experiments/oracle_three_error_20260828/pilot/b0_dataset/Replica/room0/exps/v7_merge_auto_20260909_110828_335106/ovimap_common_eval_v3_20260909/result.json</ns0:t>
        </ns0:is>
      </ns0:c>
    </ns0:row>
    <ns0:row r="99" ht="64" customHeight="1" s="2">
      <ns0:c r="A99" s="279" t="inlineStr">
        <ns0:is>
          <ns0:t>v4 PQ补测：/home/chenkejun/beauty/conceptgraphs/results/experiments/oracle_three_error_20260828/pilot/b0_dataset/Replica/room0/exps/v4_human2000_2/instance_pq_fixed_support_20260909_142331_549544966/instance_pq.csv</ns0:t>
        </ns0:is>
      </ns0:c>
    </ns0:row>
    <ns0:row r="100" ht="64" customHeight="1" s="2">
      <ns0:c r="A100" s="279" t="inlineStr">
        <ns0:is>
          <ns0:t>v4覆盖率补测：/home/chenkejun/beauty/conceptgraphs/results/experiments/oracle_three_error_20260828/pilot/b0_dataset/Replica/room0/exps/v4_human2000_2/geometry_coverage_fixed_support_20260909_142410_229965039/coverage.csv</ns0:t>
        </ns0:is>
      </ns0:c>
    </ns0:row>
    <ns0:row r="101"/>
    <ns0:row r="102" ht="42" customHeight="1" s="2">
      <ns0:c r="A102" s="236" t="inlineStr">
        <ns0:is>
          <ns0:t>H. v7_CLIP 本次补充指标与评估记录</ns0:t>
        </ns0:is>
      </ns0:c>
    </ns0:row>
    <ns0:row r="103" ht="60" customHeight="1" s="2">
      <ns0:c r="A103" s="254" t="inlineStr">
        <ns0:is>
          <ns0:t>指标</ns0:t>
        </ns0:is>
      </ns0:c>
      <ns0:c r="B103" s="254" t="inlineStr">
        <ns0:is>
          <ns0:t>数值</ns0:t>
        </ns0:is>
      </ns0:c>
      <ns0:c r="C103" s="254" t="inlineStr">
        <ns0:is>
          <ns0:t>单位</ns0:t>
        </ns0:is>
      </ns0:c>
      <ns0:c r="D103" s="254" t="inlineStr">
        <ns0:is>
          <ns0:t>说明</ns0:t>
        </ns0:is>
      </ns0:c>
    </ns0:row>
    <ns0:row r="104" ht="35" customHeight="1" s="2">
      <ns0:c r="A104" s="250" t="inlineStr">
        <ns0:is>
          <ns0:t>语义 mF1 标准公式</ns0:t>
        </ns0:is>
      </ns0:c>
      <ns0:c r="B104" s="255" t="n">
        <ns0:v>0.4181553531814044</ns0:v>
      </ns0:c>
      <ns0:c r="C104" s="250" t="inlineStr">
        <ns0:is>
          <ns0:t>比例</ns0:t>
        </ns0:is>
      </ns0:c>
      <ns0:c r="D104" s="226" t="inlineStr">
        <ns0:is>
          <ns0:t>逐类 2PR/(P+R) 后取均值；不覆盖主表历史公式</ns0:t>
        </ns0:is>
      </ns0:c>
    </ns0:row>
    <ns0:row r="105" ht="35" customHeight="1" s="2">
      <ns0:c r="A105" s="250" t="inlineStr">
        <ns0:is>
          <ns0:t>地图对象数</ns0:t>
        </ns0:is>
      </ns0:c>
      <ns0:c r="B105" s="256" t="n">
        <ns0:v>76</ns0:v>
      </ns0:c>
      <ns0:c r="C105" s="250" t="inlineStr">
        <ns0:is>
          <ns0:t>个</ns0:t>
        </ns0:is>
      </ns0:c>
      <ns0:c r="D105" s="226" t="inlineStr">
        <ns0:is>
          <ns0:t>统一与旧版使用同一地图</ns0:t>
        </ns0:is>
      </ns0:c>
    </ns0:row>
    <ns0:row r="106" ht="35" customHeight="1" s="2">
      <ns0:c r="A106" s="250" t="inlineStr">
        <ns0:is>
          <ns0:t>旧版忽略void实例数</ns0:t>
        </ns0:is>
      </ns0:c>
      <ns0:c r="B106" s="256" t="n">
        <ns0:v>24</ns0:v>
      </ns0:c>
      <ns0:c r="C106" s="250" t="inlineStr">
        <ns0:is>
          <ns0:t>个</ns0:t>
        </ns0:is>
      </ns0:c>
      <ns0:c r="D106" s="226" t="inlineStr">
        <ns0:is>
          <ns0:t>不计FP</ns0:t>
        </ns0:is>
      </ns0:c>
    </ns0:row>
    <ns0:row r="107" ht="35" customHeight="1" s="2">
      <ns0:c r="A107" s="250" t="inlineStr">
        <ns0:is>
          <ns0:t>旧版零支持FP</ns0:t>
        </ns0:is>
      </ns0:c>
      <ns0:c r="B107" s="256" t="n">
        <ns0:v>0</ns0:v>
      </ns0:c>
      <ns0:c r="C107" s="250" t="inlineStr">
        <ns0:is>
          <ns0:t>个</ns0:t>
        </ns0:is>
      </ns0:c>
      <ns0:c r="D107" s="226" t="inlineStr">
        <ns0:is>
          <ns0:t>已检查，不是未计算</ns0:t>
        </ns0:is>
      </ns0:c>
    </ns0:row>
    <ns0:row r="108" ht="35" customHeight="1" s="2">
      <ns0:c r="A108" s="250" t="inlineStr">
        <ns0:is>
          <ns0:t>旧版未覆盖前景点数</ns0:t>
        </ns0:is>
      </ns0:c>
      <ns0:c r="B108" s="256" t="n">
        <ns0:v>120120</ns0:v>
      </ns0:c>
      <ns0:c r="C108" s="250" t="inlineStr">
        <ns0:is>
          <ns0:t>点</ns0:t>
        </ns0:is>
      </ns0:c>
      <ns0:c r="D108" s="226" t="inlineStr">
        <ns0:is>
          <ns0:t>仍保留在真值分母中</ns0:t>
        </ns0:is>
      </ns0:c>
    </ns0:row>
    <ns0:row r="109" ht="35" customHeight="1" s="2">
      <ns0:c r="A109" s="250" t="inlineStr">
        <ns0:is>
          <ns0:t>前景最近距离均值</ns0:t>
        </ns0:is>
      </ns0:c>
      <ns0:c r="B109" s="257" t="n">
        <ns0:v>0.01041309937011303</ns0:v>
      </ns0:c>
      <ns0:c r="C109" s="250" t="inlineStr">
        <ns0:is>
          <ns0:t>m</ns0:t>
        </ns0:is>
      </ns0:c>
      <ns0:c r="D109" s="226" t="inlineStr">
        <ns0:is>
          <ns0:t>固定SLAM前景到地图</ns0:t>
        </ns0:is>
      </ns0:c>
    </ns0:row>
    <ns0:row r="110" ht="35" customHeight="1" s="2">
      <ns0:c r="A110" s="250" t="inlineStr">
        <ns0:is>
          <ns0:t>前景最近距离P95</ns0:t>
        </ns0:is>
      </ns0:c>
      <ns0:c r="B110" s="257" t="n">
        <ns0:v>0.0164064077883538</ns0:v>
      </ns0:c>
      <ns0:c r="C110" s="250" t="inlineStr">
        <ns0:is>
          <ns0:t>m</ns0:t>
        </ns0:is>
      </ns0:c>
      <ns0:c r="D110" s="226" t="inlineStr">
        <ns0:is>
          <ns0:t>固定SLAM前景到地图</ns0:t>
        </ns0:is>
      </ns0:c>
    </ns0:row>
    <ns0:row r="111" ht="35" customHeight="1" s="2">
      <ns0:c r="A111" s="250" t="inlineStr">
        <ns0:is>
          <ns0:t>统一评估耗时</ns0:t>
        </ns0:is>
      </ns0:c>
      <ns0:c r="B111" s="257" t="n">
        <ns0:v>23.74322857800871</ns0:v>
      </ns0:c>
      <ns0:c r="C111" s="250" t="inlineStr">
        <ns0:is>
          <ns0:t>秒</ns0:t>
        </ns0:is>
      </ns0:c>
      <ns0:c r="D111" s="226" t="inlineStr">
        <ns0:is>
          <ns0:t>CPU</ns0:t>
        </ns0:is>
      </ns0:c>
    </ns0:row>
    <ns0:row r="112" ht="35" customHeight="1" s="2">
      <ns0:c r="A112" s="250" t="inlineStr">
        <ns0:is>
          <ns0:t>旧版PQ评估耗时</ns0:t>
        </ns0:is>
      </ns0:c>
      <ns0:c r="B112" s="257" t="n">
        <ns0:v>44.9121559523046</ns0:v>
      </ns0:c>
      <ns0:c r="C112" s="250" t="inlineStr">
        <ns0:is>
          <ns0:t>秒</ns0:t>
        </ns0:is>
      </ns0:c>
      <ns0:c r="D112" s="226" t="inlineStr">
        <ns0:is>
          <ns0:t>CPU</ns0:t>
        </ns0:is>
      </ns0:c>
    </ns0:row>
    <ns0:row r="113" ht="35" customHeight="1" s="2">
      <ns0:c r="A113" s="250" t="inlineStr">
        <ns0:is>
          <ns0:t>旧版覆盖率评估耗时</ns0:t>
        </ns0:is>
      </ns0:c>
      <ns0:c r="B113" s="257" t="n">
        <ns0:v>36.66395713761449</ns0:v>
      </ns0:c>
      <ns0:c r="C113" s="250" t="inlineStr">
        <ns0:is>
          <ns0:t>秒</ns0:t>
        </ns0:is>
      </ns0:c>
      <ns0:c r="D113" s="226" t="inlineStr">
        <ns0:is>
          <ns0:t>CPU</ns0:t>
        </ns0:is>
      </ns0:c>
    </ns0:row>
    <ns0:row r="114"/>
    <ns0:row r="115" ht="42" customHeight="1" s="2">
      <ns0:c r="A115" s="279" t="inlineStr">
        <ns0:is>
          <ns0:t>本次复用已核验的旧版语义评估，补算统一指标、实例PQ和几何覆盖率；没有重跑建图。</ns0:t>
        </ns0:is>
      </ns0:c>
    </ns0:row>
    <ns0:row r="116" ht="42" customHeight="1" s="2">
      <ns0:c r="A116" s="279" t="inlineStr">
        <ns0:is>
          <ns0:t>与 v7_auto_image：原始输入、掩码及检测点云一致，CLIP特征不同。旧版语义mIoU提升不代表统一mIoU提升。</ns0:t>
        </ns0:is>
      </ns0:c>
    </ns0:row>
    <ns0:row r="117" ht="42" customHeight="1" s="2">
      <ns0:c r="A117" s="279" t="inlineStr">
        <ns0:is>
          <ns0:t>统一完整网格：实例F1 61.02%、AP50 30.11%、语义mIoU 17.87%；详见 OVI_MAP_统一指标对比.xlsx 的 room0 指标对比 K列。</ns0:t>
        </ns0:is>
      </ns0:c>
    </ns0:row>
    <ns0:row r="118" ht="42" customHeight="1" s="2">
      <ns0:c r="A118" s="279" t="inlineStr">
        <ns0:is>
          <ns0:t>本次完整实验名：v7_CLIP_auto_20260909_160519_2075470</ns0:t>
        </ns0:is>
      </ns0:c>
    </ns0:row>
    <ns0:row r="119" ht="54" customHeight="1" s="2">
      <ns0:c r="A119" s="279" t="inlineStr">
        <ns0:is>
          <ns0:t>common：/home/chenkejun/beauty/ovimap_aligned_eval_20260908/metrics_v2/H_v7_CLIP_room0/result.json</ns0:t>
        </ns0:is>
      </ns0:c>
    </ns0:row>
    <ns0:row r="120" ht="54" customHeight="1" s="2">
      <ns0:c r="A120" s="279" t="inlineStr">
        <ns0:is>
          <ns0:t>semantic：/home/chenkejun/beauty/conceptgraphs/results/experiments/oracle_three_error_20260828/pilot/b0_dataset/Replica/room0/exps/v7_CLIP_auto_20260909_160519_2075470/point_semantic_ali_dev_nexclude6_20260909_182729_017440822/semseg_results.json</ns0:t>
        </ns0:is>
      </ns0:c>
    </ns0:row>
    <ns0:row r="121" ht="54" customHeight="1" s="2">
      <ns0:c r="A121" s="279" t="inlineStr">
        <ns0:is>
          <ns0:t>pq：/home/chenkejun/beauty/conceptgraphs/results/experiments/oracle_three_error_20260828/pilot/b0_dataset/Replica/room0/exps/v7_CLIP_auto_20260909_160519_2075470/instance_pq_fixed_support_20260909_183221_231549530/results.json</ns0:t>
        </ns0:is>
      </ns0:c>
    </ns0:row>
    <ns0:row r="122" ht="54" customHeight="1" s="2">
      <ns0:c r="A122" s="279" t="inlineStr">
        <ns0:is>
          <ns0:t>coverage：/home/chenkejun/beauty/conceptgraphs/results/experiments/oracle_three_error_20260828/pilot/b0_dataset/Replica/room0/exps/v7_CLIP_auto_20260909_160519_2075470/geometry_coverage_fixed_support_20260909_183307_102544078/results.json</ns0:t>
        </ns0:is>
      </ns0:c>
    </ns0:row>
    <ns0:row r="123" ht="54" customHeight="1" s="2">
      <ns0:c r="A123" s="279" t="inlineStr">
        <ns0:is>
          <ns0:t>alignment：/home/chenkejun/beauty/ovimap_aligned_eval_20260908/alignment_H_v7_CLIP_room0.json</ns0:t>
        </ns0:is>
      </ns0:c>
    </ns0:row>
    <ns0:row r="124"/>
    <ns0:row r="125" ht="42" customHeight="1" s="2">
      <ns0:c r="A125" s="236" t="inlineStr">
        <ns0:is>
          <ns0:t>I. v7_CLIP 旧版逐类语义与几何覆盖率</ns0:t>
        </ns0:is>
      </ns0:c>
    </ns0:row>
    <ns0:row r="126" ht="40" customHeight="1" s="2">
      <ns0:c r="A126" s="254" t="inlineStr">
        <ns0:is>
          <ns0:t>类别</ns0:t>
        </ns0:is>
      </ns0:c>
      <ns0:c r="B126" s="254" t="inlineStr">
        <ns0:is>
          <ns0:t>IoU</ns0:t>
        </ns0:is>
      </ns0:c>
      <ns0:c r="C126" s="254" t="inlineStr">
        <ns0:is>
          <ns0:t>Precision</ns0:t>
        </ns0:is>
      </ns0:c>
      <ns0:c r="D126" s="254" t="inlineStr">
        <ns0:is>
          <ns0:t>Recall</ns0:t>
        </ns0:is>
      </ns0:c>
      <ns0:c r="E126" s="254" t="inlineStr">
        <ns0:is>
          <ns0:t>F1 原公式</ns0:t>
        </ns0:is>
      </ns0:c>
      <ns0:c r="F126" s="254" t="inlineStr">
        <ns0:is>
          <ns0:t>F1 标准公式</ns0:t>
        </ns0:is>
      </ns0:c>
      <ns0:c r="G126" s="254" t="inlineStr">
        <ns0:is>
          <ns0:t>覆盖率2.5cm</ns0:t>
        </ns0:is>
      </ns0:c>
      <ns0:c r="H126" s="254" t="inlineStr">
        <ns0:is>
          <ns0:t>覆盖率5cm</ns0:t>
        </ns0:is>
      </ns0:c>
      <ns0:c r="I126" s="254" t="inlineStr">
        <ns0:is>
          <ns0:t>覆盖率10cm</ns0:t>
        </ns0:is>
      </ns0:c>
    </ns0:row>
    <ns0:row r="127" ht="28" customHeight="1" s="2">
      <ns0:c r="A127" s="247" t="inlineStr">
        <ns0:is>
          <ns0:t>basket</ns0:t>
        </ns0:is>
      </ns0:c>
      <ns0:c r="B127" s="258" t="n">
        <ns0:v>0</ns0:v>
      </ns0:c>
      <ns0:c r="C127" s="258" t="n">
        <ns0:v>0</ns0:v>
      </ns0:c>
      <ns0:c r="D127" s="258" t="n">
        <ns0:v>0</ns0:v>
      </ns0:c>
      <ns0:c r="E127" s="258" t="n">
        <ns0:v>0</ns0:v>
      </ns0:c>
      <ns0:c r="F127" s="258">
        <ns0:f>IF(C127+D127=0,0,2*C127*D127/(C127+D127))</ns0:f>
        <ns0:v>0</ns0:v>
      </ns0:c>
      <ns0:c r="G127" s="258" t="n">
        <ns0:v>0.9983742355035999</ns0:v>
      </ns0:c>
      <ns0:c r="H127" s="258" t="n">
        <ns0:v>1</ns0:v>
      </ns0:c>
      <ns0:c r="I127" s="258" t="n">
        <ns0:v>1</ns0:v>
      </ns0:c>
    </ns0:row>
    <ns0:row r="128" ht="28" customHeight="1" s="2">
      <ns0:c r="A128" s="247" t="inlineStr">
        <ns0:is>
          <ns0:t>blanket</ns0:t>
        </ns0:is>
      </ns0:c>
      <ns0:c r="B128" s="258" t="n">
        <ns0:v>0</ns0:v>
      </ns0:c>
      <ns0:c r="C128" s="258" t="n">
        <ns0:v>0</ns0:v>
      </ns0:c>
      <ns0:c r="D128" s="258" t="n">
        <ns0:v>0</ns0:v>
      </ns0:c>
      <ns0:c r="E128" s="258" t="n">
        <ns0:v>0</ns0:v>
      </ns0:c>
      <ns0:c r="F128" s="258">
        <ns0:f>IF(C128+D128=0,0,2*C128*D128/(C128+D128))</ns0:f>
        <ns0:v>0</ns0:v>
      </ns0:c>
      <ns0:c r="G128" s="258" t="n">
        <ns0:v>0.9976207906295754</ns0:v>
      </ns0:c>
      <ns0:c r="H128" s="258" t="n">
        <ns0:v>0.9996568448023426</ns0:v>
      </ns0:c>
      <ns0:c r="I128" s="258" t="n">
        <ns0:v>1</ns0:v>
      </ns0:c>
    </ns0:row>
    <ns0:row r="129" ht="28" customHeight="1" s="2">
      <ns0:c r="A129" s="247" t="inlineStr">
        <ns0:is>
          <ns0:t>blinds</ns0:t>
        </ns0:is>
      </ns0:c>
      <ns0:c r="B129" s="258" t="n">
        <ns0:v>0.9652754043372678</ns0:v>
      </ns0:c>
      <ns0:c r="C129" s="258" t="n">
        <ns0:v>0.9653070683171188</ns0:v>
      </ns0:c>
      <ns0:c r="D129" s="258" t="n">
        <ns0:v>0.9999660191673819</ns0:v>
      </ns0:c>
      <ns0:c r="E129" s="258" t="n">
        <ns0:v>0.9823309264512766</ns0:v>
      </ns0:c>
      <ns0:c r="F129" s="258">
        <ns0:f>IF(C129+D129=0,0,2*C129*D129/(C129+D129))</ns0:f>
        <ns0:v>0.982330926451277</ns0:v>
      </ns0:c>
      <ns0:c r="G129" s="258" t="n">
        <ns0:v>0.9999978076882182</ns0:v>
      </ns0:c>
      <ns0:c r="H129" s="258" t="n">
        <ns0:v>1</ns0:v>
      </ns0:c>
      <ns0:c r="I129" s="258" t="n">
        <ns0:v>1</ns0:v>
      </ns0:c>
    </ns0:row>
    <ns0:row r="130" ht="28" customHeight="1" s="2">
      <ns0:c r="A130" s="247" t="inlineStr">
        <ns0:is>
          <ns0:t>book</ns0:t>
        </ns0:is>
      </ns0:c>
      <ns0:c r="B130" s="258" t="n">
        <ns0:v>0.260525775313206</ns0:v>
      </ns0:c>
      <ns0:c r="C130" s="258" t="n">
        <ns0:v>0.6198387490838017</ns0:v>
      </ns0:c>
      <ns0:c r="D130" s="258" t="n">
        <ns0:v>0.3100708873136153</ns0:v>
      </ns0:c>
      <ns0:c r="E130" s="258" t="n">
        <ns0:v>0.3843879018395514</ns0:v>
      </ns0:c>
      <ns0:c r="F130" s="258">
        <ns0:f>IF(C130+D130=0,0,2*C130*D130/(C130+D130))</ns0:f>
        <ns0:v>0.413360488798371</ns0:v>
      </ns0:c>
      <ns0:c r="G130" s="258" t="n">
        <ns0:v>1</ns0:v>
      </ns0:c>
      <ns0:c r="H130" s="258" t="n">
        <ns0:v>1</ns0:v>
      </ns0:c>
      <ns0:c r="I130" s="258" t="n">
        <ns0:v>1</ns0:v>
      </ns0:c>
    </ns0:row>
    <ns0:row r="131" ht="28" customHeight="1" s="2">
      <ns0:c r="A131" s="247" t="inlineStr">
        <ns0:is>
          <ns0:t>cabinet</ns0:t>
        </ns0:is>
      </ns0:c>
      <ns0:c r="B131" s="258" t="n">
        <ns0:v>0.9824763323290794</ns0:v>
      </ns0:c>
      <ns0:c r="C131" s="258" t="n">
        <ns0:v>0.9871322487387336</ns0:v>
      </ns0:c>
      <ns0:c r="D131" s="258" t="n">
        <ns0:v>0.9952222019019751</ns0:v>
      </ns0:c>
      <ns0:c r="E131" s="258" t="n">
        <ns0:v>0.9911607178430557</ns0:v>
      </ns0:c>
      <ns0:c r="F131" s="258">
        <ns0:f>IF(C131+D131=0,0,2*C131*D131/(C131+D131))</ns0:f>
        <ns0:v>0.991160717843056</ns0:v>
      </ns0:c>
      <ns0:c r="G131" s="258" t="n">
        <ns0:v>0.9934505303584492</ns0:v>
      </ns0:c>
      <ns0:c r="H131" s="258" t="n">
        <ns0:v>0.9979425749817118</ns0:v>
      </ns0:c>
      <ns0:c r="I131" s="258" t="n">
        <ns0:v>0.9999885698610095</ns0:v>
      </ns0:c>
    </ns0:row>
    <ns0:row r="132" ht="28" customHeight="1" s="2">
      <ns0:c r="A132" s="247" t="inlineStr">
        <ns0:is>
          <ns0:t>candle</ns0:t>
        </ns0:is>
      </ns0:c>
      <ns0:c r="B132" s="258" t="n">
        <ns0:v>0</ns0:v>
      </ns0:c>
      <ns0:c r="C132" s="258" t="n">
        <ns0:v>0</ns0:v>
      </ns0:c>
      <ns0:c r="D132" s="258" t="n">
        <ns0:v>0</ns0:v>
      </ns0:c>
      <ns0:c r="E132" s="258" t="n">
        <ns0:v>0</ns0:v>
      </ns0:c>
      <ns0:c r="F132" s="258">
        <ns0:f>IF(C132+D132=0,0,2*C132*D132/(C132+D132))</ns0:f>
        <ns0:v>0</ns0:v>
      </ns0:c>
      <ns0:c r="G132" s="258" t="n">
        <ns0:v>1</ns0:v>
      </ns0:c>
      <ns0:c r="H132" s="258" t="n">
        <ns0:v>1</ns0:v>
      </ns0:c>
      <ns0:c r="I132" s="258" t="n">
        <ns0:v>1</ns0:v>
      </ns0:c>
    </ns0:row>
    <ns0:row r="133" ht="28" customHeight="1" s="2">
      <ns0:c r="A133" s="247" t="inlineStr">
        <ns0:is>
          <ns0:t>chair</ns0:t>
        </ns0:is>
      </ns0:c>
      <ns0:c r="B133" s="258" t="n">
        <ns0:v>0</ns0:v>
      </ns0:c>
      <ns0:c r="C133" s="258" t="n">
        <ns0:v>0</ns0:v>
      </ns0:c>
      <ns0:c r="D133" s="258" t="n">
        <ns0:v>0</ns0:v>
      </ns0:c>
      <ns0:c r="E133" s="258" t="n">
        <ns0:v>0</ns0:v>
      </ns0:c>
      <ns0:c r="F133" s="258">
        <ns0:f>IF(C133+D133=0,0,2*C133*D133/(C133+D133))</ns0:f>
        <ns0:v>0</ns0:v>
      </ns0:c>
      <ns0:c r="G133" s="258" t="n">
        <ns0:v>0.9925556302602694</ns0:v>
      </ns0:c>
      <ns0:c r="H133" s="258" t="n">
        <ns0:v>0.9971891226336382</ns0:v>
      </ns0:c>
      <ns0:c r="I133" s="258" t="n">
        <ns0:v>0.9980072742590057</ns0:v>
      </ns0:c>
    </ns0:row>
    <ns0:row r="134" ht="28" customHeight="1" s="2">
      <ns0:c r="A134" s="247" t="inlineStr">
        <ns0:is>
          <ns0:t>cushion</ns0:t>
        </ns0:is>
      </ns0:c>
      <ns0:c r="B134" s="258" t="n">
        <ns0:v>0.7082807275667472</ns0:v>
      </ns0:c>
      <ns0:c r="C134" s="258" t="n">
        <ns0:v>0.9517194088599761</ns0:v>
      </ns0:c>
      <ns0:c r="D134" s="258" t="n">
        <ns0:v>0.7346784449867666</ns0:v>
      </ns0:c>
      <ns0:c r="E134" s="258" t="n">
        <ns0:v>0.829232240506059</ns0:v>
      </ns0:c>
      <ns0:c r="F134" s="258">
        <ns0:f>IF(C134+D134=0,0,2*C134*D134/(C134+D134))</ns0:f>
        <ns0:v>0.829232240506059</ns0:v>
      </ns0:c>
      <ns0:c r="G134" s="258" t="n">
        <ns0:v>0.9999793764823154</ns0:v>
      </ns0:c>
      <ns0:c r="H134" s="258" t="n">
        <ns0:v>1</ns0:v>
      </ns0:c>
      <ns0:c r="I134" s="258" t="n">
        <ns0:v>1</ns0:v>
      </ns0:c>
    </ns0:row>
    <ns0:row r="135" ht="28" customHeight="1" s="2">
      <ns0:c r="A135" s="247" t="inlineStr">
        <ns0:is>
          <ns0:t>indoor-plant</ns0:t>
        </ns0:is>
      </ns0:c>
      <ns0:c r="B135" s="258" t="n">
        <ns0:v>0.8623575241667869</ns0:v>
      </ns0:c>
      <ns0:c r="C135" s="258" t="n">
        <ns0:v>0.8654584067379395</ns0:v>
      </ns0:c>
      <ns0:c r="D135" s="258" t="n">
        <ns0:v>0.995862375385299</ns0:v>
      </ns0:c>
      <ns0:c r="E135" s="258" t="n">
        <ns0:v>0.9260923458320421</ns0:v>
      </ns0:c>
      <ns0:c r="F135" s="258">
        <ns0:f>IF(C135+D135=0,0,2*C135*D135/(C135+D135))</ns0:f>
        <ns0:v>0.926092345832042</ns0:v>
      </ns0:c>
      <ns0:c r="G135" s="258" t="n">
        <ns0:v>0.9999444614145677</ns0:v>
      </ns0:c>
      <ns0:c r="H135" s="258" t="n">
        <ns0:v>1</ns0:v>
      </ns0:c>
      <ns0:c r="I135" s="258" t="n">
        <ns0:v>1</ns0:v>
      </ns0:c>
    </ns0:row>
    <ns0:row r="136" ht="28" customHeight="1" s="2">
      <ns0:c r="A136" s="247" t="inlineStr">
        <ns0:is>
          <ns0:t>lamp</ns0:t>
        </ns0:is>
      </ns0:c>
      <ns0:c r="B136" s="258" t="n">
        <ns0:v>0.5294996020234313</ns0:v>
      </ns0:c>
      <ns0:c r="C136" s="258" t="n">
        <ns0:v>0.890972283715576</ns0:v>
      </ns0:c>
      <ns0:c r="D136" s="258" t="n">
        <ns0:v>0.5661853146607206</ns0:v>
      </ns0:c>
      <ns0:c r="E136" s="258" t="n">
        <ns0:v>0.6923827914998302</ns0:v>
      </ns0:c>
      <ns0:c r="F136" s="258">
        <ns0:f>IF(C136+D136=0,0,2*C136*D136/(C136+D136))</ns0:f>
        <ns0:v>0.69238279149983</ns0:v>
      </ns0:c>
      <ns0:c r="G136" s="258" t="n">
        <ns0:v>0.9953857732698408</ns0:v>
      </ns0:c>
      <ns0:c r="H136" s="258" t="n">
        <ns0:v>0.9961243309019547</ns0:v>
      </ns0:c>
      <ns0:c r="I136" s="258" t="n">
        <ns0:v>0.9963283134860623</ns0:v>
      </ns0:c>
    </ns0:row>
    <ns0:row r="137" ht="28" customHeight="1" s="2">
      <ns0:c r="A137" s="247" t="inlineStr">
        <ns0:is>
          <ns0:t>picture</ns0:t>
        </ns0:is>
      </ns0:c>
      <ns0:c r="B137" s="258" t="n">
        <ns0:v>0.671341100275441</ns0:v>
      </ns0:c>
      <ns0:c r="C137" s="258" t="n">
        <ns0:v>0.6713910810005956</ns0:v>
      </ns0:c>
      <ns0:c r="D137" s="258" t="n">
        <ns0:v>0.9998891244993278</ns0:v>
      </ns0:c>
      <ns0:c r="E137" s="258" t="n">
        <ns0:v>0.8033561792560506</ns0:v>
      </ns0:c>
      <ns0:c r="F137" s="258">
        <ns0:f>IF(C137+D137=0,0,2*C137*D137/(C137+D137))</ns0:f>
        <ns0:v>0.803356179256051</ns0:v>
      </ns0:c>
      <ns0:c r="G137" s="258" t="n">
        <ns0:v>0.999993070281208</ns0:v>
      </ns0:c>
      <ns0:c r="H137" s="258" t="n">
        <ns0:v>1</ns0:v>
      </ns0:c>
      <ns0:c r="I137" s="258" t="n">
        <ns0:v>1</ns0:v>
      </ns0:c>
    </ns0:row>
    <ns0:row r="138" ht="28" customHeight="1" s="2">
      <ns0:c r="A138" s="247" t="inlineStr">
        <ns0:is>
          <ns0:t>pillar</ns0:t>
        </ns0:is>
      </ns0:c>
      <ns0:c r="B138" s="258" t="n">
        <ns0:v>0.04669415018525283</ns0:v>
      </ns0:c>
      <ns0:c r="C138" s="258" t="n">
        <ns0:v>0.06321843140856713</ns0:v>
      </ns0:c>
      <ns0:c r="D138" s="258" t="n">
        <ns0:v>0.1515659671053746</ns0:v>
      </ns0:c>
      <ns0:c r="E138" s="258" t="n">
        <ns0:v>0.01916352539064853</ns0:v>
      </ns0:c>
      <ns0:c r="F138" s="258">
        <ns0:f>IF(C138+D138=0,0,2*C138*D138/(C138+D138))</ns0:f>
        <ns0:v>0.0892221479923023</ns0:v>
      </ns0:c>
      <ns0:c r="G138" s="258" t="n">
        <ns0:v>0.2911394549181022</ns0:v>
      </ns0:c>
      <ns0:c r="H138" s="258" t="n">
        <ns0:v>0.3723597066246591</ns0:v>
      </ns0:c>
      <ns0:c r="I138" s="258" t="n">
        <ns0:v>0.451039178820062</ns0:v>
      </ns0:c>
    </ns0:row>
    <ns0:row r="139" ht="28" customHeight="1" s="2">
      <ns0:c r="A139" s="247" t="inlineStr">
        <ns0:is>
          <ns0:t>plant-stand</ns0:t>
        </ns0:is>
      </ns0:c>
      <ns0:c r="B139" s="258" t="n">
        <ns0:v>0.001797471583209782</ns0:v>
      </ns0:c>
      <ns0:c r="C139" s="258" t="n">
        <ns0:v>0.001855402058632351</ns0:v>
      </ns0:c>
      <ns0:c r="D139" s="258" t="n">
        <ns0:v>0.05443572721786361</ns0:v>
      </ns0:c>
      <ns0:c r="E139" s="258" t="n">
        <ns0:v>0.0002020003206863465</ns0:v>
      </ns0:c>
      <ns0:c r="F139" s="258">
        <ns0:f>IF(C139+D139=0,0,2*C139*D139/(C139+D139))</ns0:f>
        <ns0:v>0.00358849295231124</ns0:v>
      </ns0:c>
      <ns0:c r="G139" s="258" t="n">
        <ns0:v>1</ns0:v>
      </ns0:c>
      <ns0:c r="H139" s="258" t="n">
        <ns0:v>1</ns0:v>
      </ns0:c>
      <ns0:c r="I139" s="258" t="n">
        <ns0:v>1</ns0:v>
      </ns0:c>
    </ns0:row>
    <ns0:row r="140" ht="28" customHeight="1" s="2">
      <ns0:c r="A140" s="247" t="inlineStr">
        <ns0:is>
          <ns0:t>plate</ns0:t>
        </ns0:is>
      </ns0:c>
      <ns0:c r="B140" s="258" t="n">
        <ns0:v>0</ns0:v>
      </ns0:c>
      <ns0:c r="C140" s="258" t="n">
        <ns0:v>0</ns0:v>
      </ns0:c>
      <ns0:c r="D140" s="258" t="n">
        <ns0:v>0</ns0:v>
      </ns0:c>
      <ns0:c r="E140" s="258" t="n">
        <ns0:v>0</ns0:v>
      </ns0:c>
      <ns0:c r="F140" s="258">
        <ns0:f>IF(C140+D140=0,0,2*C140*D140/(C140+D140))</ns0:f>
        <ns0:v>0</ns0:v>
      </ns0:c>
      <ns0:c r="G140" s="258" t="n">
        <ns0:v>1</ns0:v>
      </ns0:c>
      <ns0:c r="H140" s="258" t="n">
        <ns0:v>1</ns0:v>
      </ns0:c>
      <ns0:c r="I140" s="258" t="n">
        <ns0:v>1</ns0:v>
      </ns0:c>
    </ns0:row>
    <ns0:row r="141" ht="28" customHeight="1" s="2">
      <ns0:c r="A141" s="247" t="inlineStr">
        <ns0:is>
          <ns0:t>pot</ns0:t>
        </ns0:is>
      </ns0:c>
      <ns0:c r="B141" s="258" t="n">
        <ns0:v>0.7842249040423251</ns0:v>
      </ns0:c>
      <ns0:c r="C141" s="258" t="n">
        <ns0:v>0.8187069058878741</ns0:v>
      </ns0:c>
      <ns0:c r="D141" s="258" t="n">
        <ns0:v>0.9490312591538687</ns0:v>
      </ns0:c>
      <ns0:c r="E141" s="258" t="n">
        <ns0:v>0.8790650800418621</ns0:v>
      </ns0:c>
      <ns0:c r="F141" s="258">
        <ns0:f>IF(C141+D141=0,0,2*C141*D141/(C141+D141))</ns0:f>
        <ns0:v>0.879065080041862</ns0:v>
      </ns0:c>
      <ns0:c r="G141" s="258" t="n">
        <ns0:v>1</ns0:v>
      </ns0:c>
      <ns0:c r="H141" s="258" t="n">
        <ns0:v>1</ns0:v>
      </ns0:c>
      <ns0:c r="I141" s="258" t="n">
        <ns0:v>1</ns0:v>
      </ns0:c>
    </ns0:row>
    <ns0:row r="142" ht="28" customHeight="1" s="2">
      <ns0:c r="A142" s="247" t="inlineStr">
        <ns0:is>
          <ns0:t>sofa</ns0:t>
        </ns0:is>
      </ns0:c>
      <ns0:c r="B142" s="258" t="n">
        <ns0:v>0.8213326644275698</ns0:v>
      </ns0:c>
      <ns0:c r="C142" s="258" t="n">
        <ns0:v>0.8511202607921663</ns0:v>
      </ns0:c>
      <ns0:c r="D142" s="258" t="n">
        <ns0:v>0.959130155807563</ns0:v>
      </ns0:c>
      <ns0:c r="E142" s="258" t="n">
        <ns0:v>0.9019029642074838</ns0:v>
      </ns0:c>
      <ns0:c r="F142" s="258">
        <ns0:f>IF(C142+D142=0,0,2*C142*D142/(C142+D142))</ns0:f>
        <ns0:v>0.901902964207484</ns0:v>
      </ns0:c>
      <ns0:c r="G142" s="258" t="n">
        <ns0:v>0.996955367796896</ns0:v>
      </ns0:c>
      <ns0:c r="H142" s="258" t="n">
        <ns0:v>0.9986583836439467</ns0:v>
      </ns0:c>
      <ns0:c r="I142" s="258" t="n">
        <ns0:v>0.9995802693630873</ns0:v>
      </ns0:c>
    </ns0:row>
    <ns0:row r="143" ht="28" customHeight="1" s="2">
      <ns0:c r="A143" s="247" t="inlineStr">
        <ns0:is>
          <ns0:t>stool</ns0:t>
        </ns0:is>
      </ns0:c>
      <ns0:c r="B143" s="258" t="n">
        <ns0:v>0.8658551237521026</ns0:v>
      </ns0:c>
      <ns0:c r="C143" s="258" t="n">
        <ns0:v>0.8660111975966134</ns0:v>
      </ns0:c>
      <ns0:c r="D143" s="258" t="n">
        <ns0:v>0.9997919005158344</ns0:v>
      </ns0:c>
      <ns0:c r="E143" s="258" t="n">
        <ns0:v>0.9281054168996028</ns0:v>
      </ns0:c>
      <ns0:c r="F143" s="258">
        <ns0:f>IF(C143+D143=0,0,2*C143*D143/(C143+D143))</ns0:f>
        <ns0:v>0.928105416899603</ns0:v>
      </ns0:c>
      <ns0:c r="G143" s="258" t="n">
        <ns0:v>0.9965758175787309</ns0:v>
      </ns0:c>
      <ns0:c r="H143" s="258" t="n">
        <ns0:v>0.9983036739018023</ns0:v>
      </ns0:c>
      <ns0:c r="I143" s="258" t="n">
        <ns0:v>0.9986063640605884</ns0:v>
      </ns0:c>
    </ns0:row>
    <ns0:row r="144" ht="28" customHeight="1" s="2">
      <ns0:c r="A144" s="247" t="inlineStr">
        <ns0:is>
          <ns0:t>switch</ns0:t>
        </ns0:is>
      </ns0:c>
      <ns0:c r="B144" s="258" t="n">
        <ns0:v>0.05506898620275945</ns0:v>
      </ns0:c>
      <ns0:c r="C144" s="258" t="n">
        <ns0:v>0.05560266505148395</ns0:v>
      </ns0:c>
      <ns0:c r="D144" s="258" t="n">
        <ns0:v>0.8515769944341373</ns0:v>
      </ns0:c>
      <ns0:c r="E144" s="258" t="n">
        <ns0:v>0.09469990077414149</ns0:v>
      </ns0:c>
      <ns0:c r="F144" s="258">
        <ns0:f>IF(C144+D144=0,0,2*C144*D144/(C144+D144))</ns0:f>
        <ns0:v>0.10438935637935</ns0:v>
      </ns0:c>
      <ns0:c r="G144" s="258" t="n">
        <ns0:v>1</ns0:v>
      </ns0:c>
      <ns0:c r="H144" s="258" t="n">
        <ns0:v>1</ns0:v>
      </ns0:c>
      <ns0:c r="I144" s="258" t="n">
        <ns0:v>1</ns0:v>
      </ns0:c>
    </ns0:row>
    <ns0:row r="145" ht="28" customHeight="1" s="2">
      <ns0:c r="A145" s="247" t="inlineStr">
        <ns0:is>
          <ns0:t>table</ns0:t>
        </ns0:is>
      </ns0:c>
      <ns0:c r="B145" s="258" t="n">
        <ns0:v>0</ns0:v>
      </ns0:c>
      <ns0:c r="C145" s="258" t="n">
        <ns0:v>0</ns0:v>
      </ns0:c>
      <ns0:c r="D145" s="258" t="n">
        <ns0:v>0</ns0:v>
      </ns0:c>
      <ns0:c r="E145" s="258" t="n">
        <ns0:v>0</ns0:v>
      </ns0:c>
      <ns0:c r="F145" s="258">
        <ns0:f>IF(C145+D145=0,0,2*C145*D145/(C145+D145))</ns0:f>
        <ns0:v>0</ns0:v>
      </ns0:c>
      <ns0:c r="G145" s="258" t="n">
        <ns0:v>0.998087232953474</ns0:v>
      </ns0:c>
      <ns0:c r="H145" s="258" t="n">
        <ns0:v>0.998718407592569</ns0:v>
      </ns0:c>
      <ns0:c r="I145" s="258" t="n">
        <ns0:v>0.9990840270481425</ns0:v>
      </ns0:c>
    </ns0:row>
    <ns0:row r="146" ht="28" customHeight="1" s="2">
      <ns0:c r="A146" s="247" t="inlineStr">
        <ns0:is>
          <ns0:t>vase</ns0:t>
        </ns0:is>
      </ns0:c>
      <ns0:c r="B146" s="258" t="n">
        <ns0:v>0</ns0:v>
      </ns0:c>
      <ns0:c r="C146" s="258" t="n">
        <ns0:v>0</ns0:v>
      </ns0:c>
      <ns0:c r="D146" s="258" t="n">
        <ns0:v>0</ns0:v>
      </ns0:c>
      <ns0:c r="E146" s="258" t="n">
        <ns0:v>0</ns0:v>
      </ns0:c>
      <ns0:c r="F146" s="258">
        <ns0:f>IF(C146+D146=0,0,2*C146*D146/(C146+D146))</ns0:f>
        <ns0:v>0</ns0:v>
      </ns0:c>
      <ns0:c r="G146" s="258" t="n">
        <ns0:v>1</ns0:v>
      </ns0:c>
      <ns0:c r="H146" s="258" t="n">
        <ns0:v>1</ns0:v>
      </ns0:c>
      <ns0:c r="I146" s="258" t="n">
        <ns0:v>1</ns0:v>
      </ns0:c>
    </ns0:row>
    <ns0:row r="147" ht="28" customHeight="1" s="2">
      <ns0:c r="A147" s="247" t="inlineStr">
        <ns0:is>
          <ns0:t>vent</ns0:t>
        </ns0:is>
      </ns0:c>
      <ns0:c r="B147" s="258" t="n">
        <ns0:v>0.07833409856994077</ns0:v>
      </ns0:c>
      <ns0:c r="C147" s="258" t="n">
        <ns0:v>0.07833409856994077</ns0:v>
      </ns0:c>
      <ns0:c r="D147" s="258" t="n">
        <ns0:v>1</ns0:v>
      </ns0:c>
      <ns0:c r="E147" s="258" t="n">
        <ns0:v>0.1452872512773647</ns0:v>
      </ns0:c>
      <ns0:c r="F147" s="258">
        <ns0:f>IF(C147+D147=0,0,2*C147*D147/(C147+D147))</ns0:f>
        <ns0:v>0.145287251277365</ns0:v>
      </ns0:c>
      <ns0:c r="G147" s="258" t="n">
        <ns0:v>0.9945675482487492</ns0:v>
      </ns0:c>
      <ns0:c r="H147" s="258" t="n">
        <ns0:v>1</ns0:v>
      </ns0:c>
      <ns0:c r="I147" s="258" t="n">
        <ns0:v>1</ns0:v>
      </ns0:c>
    </ns0:row>
    <ns0:row r="148" ht="28" customHeight="1" s="2">
      <ns0:c r="A148" s="247" t="inlineStr">
        <ns0:is>
          <ns0:t>wall-plug</ns0:t>
        </ns0:is>
      </ns0:c>
      <ns0:c r="B148" s="258" t="n">
        <ns0:v>0</ns0:v>
      </ns0:c>
      <ns0:c r="C148" s="258" t="n">
        <ns0:v>0</ns0:v>
      </ns0:c>
      <ns0:c r="D148" s="258" t="n">
        <ns0:v>0</ns0:v>
      </ns0:c>
      <ns0:c r="E148" s="258" t="n">
        <ns0:v>0</ns0:v>
      </ns0:c>
      <ns0:c r="F148" s="258">
        <ns0:f>IF(C148+D148=0,0,2*C148*D148/(C148+D148))</ns0:f>
        <ns0:v>0</ns0:v>
      </ns0:c>
      <ns0:c r="G148" s="258" t="n">
        <ns0:v>0.8172905525846702</ns0:v>
      </ns0:c>
      <ns0:c r="H148" s="258" t="n">
        <ns0:v>0.8172905525846702</ns0:v>
      </ns0:c>
      <ns0:c r="I148" s="258" t="n">
        <ns0:v>0.8172905525846702</ns0:v>
      </ns0:c>
    </ns0:row>
    <ns0:row r="149" ht="28" customHeight="1" s="2">
      <ns0:c r="A149" s="247" t="inlineStr">
        <ns0:is>
          <ns0:t>rug</ns0:t>
        </ns0:is>
      </ns0:c>
      <ns0:c r="B149" s="258" t="n">
        <ns0:v>0.8658399907467603</ns0:v>
      </ns0:c>
      <ns0:c r="C149" s="258" t="n">
        <ns0:v>0.9954420396184886</ns0:v>
      </ns0:c>
      <ns0:c r="D149" s="258" t="n">
        <ns0:v>0.8692863063560901</ns0:v>
      </ns0:c>
      <ns0:c r="E149" s="258" t="n">
        <ns0:v>0.9280967232353375</ns0:v>
      </ns0:c>
      <ns0:c r="F149" s="258">
        <ns0:f>IF(C149+D149=0,0,2*C149*D149/(C149+D149))</ns0:f>
        <ns0:v>0.928096723235337</ns0:v>
      </ns0:c>
      <ns0:c r="G149" s="258" t="n">
        <ns0:v>0.8467338595037021</ns0:v>
      </ns0:c>
      <ns0:c r="H149" s="258" t="n">
        <ns0:v>0.8930934466294796</ns0:v>
      </ns0:c>
      <ns0:c r="I149" s="258" t="n">
        <ns0:v>0.9414071520194558</ns0:v>
      </ns0:c>
    </ns0:row>
    <ns0:row r="150" ht="64" customHeight="1" s="2">
      <ns0:c r="A150" s="279" t="inlineStr">
        <ns0:is>
          <ns0:t>v7 merge_2 semantic：/home/chenkejun/beauty/conceptgraphs/results/experiments/oracle_three_error_20260828/pilot/b0_dataset/Replica/room0/exps/v7_merge_2_auto_20260909_171304_2134673/point_semantic_ali_dev_nexclude6_20260909_200319_592905093/semseg_results.json</ns0:t>
        </ns0:is>
      </ns0:c>
    </ns0:row>
    <ns0:row r="151" ht="64" customHeight="1" s="2">
      <ns0:c r="A151" s="279" t="inlineStr">
        <ns0:is>
          <ns0:t>v7 merge_2 pq：/home/chenkejun/beauty/conceptgraphs/results/experiments/oracle_three_error_20260828/pilot/b0_dataset/Replica/room0/exps/v7_merge_2_auto_20260909_171304_2134673/instance_pq_fixed_support_20260909_200735_604839601/instance_pq.csv</ns0:t>
        </ns0:is>
      </ns0:c>
    </ns0:row>
    <ns0:row r="152" ht="64" customHeight="1" s="2">
      <ns0:c r="A152" s="279" t="inlineStr">
        <ns0:is>
          <ns0:t>v7 merge_2 coverage：/home/chenkejun/beauty/conceptgraphs/results/experiments/oracle_three_error_20260828/pilot/b0_dataset/Replica/room0/exps/v7_merge_2_auto_20260909_171304_2134673/geometry_coverage_fixed_support_20260909_200837_252697763/coverage.csv</ns0:t>
        </ns0:is>
      </ns0:c>
    </ns0:row>
    <ns0:row r="153" ht="64" customHeight="1" s="2">
      <ns0:c r="A153" s="279" t="inlineStr">
        <ns0:is>
          <ns0:t>v7 merge_2 common：/home/chenkejun/beauty/conceptgraphs/results/experiments/oracle_three_error_20260828/pilot/b0_dataset/Replica/room0/exps/v7_merge_2_auto_20260909_171304_2134673/ovimap_common_eval_v3_20260909/result.json</ns0:t>
        </ns0:is>
      </ns0:c>
    </ns0:row>
    <ns0:row r="154" ht="64" customHeight="1" s="2">
      <ns0:c r="A154" s="236" t="inlineStr">
        <ns0:is>
          <ns0:t>J. v7_merge_2 补充指标与说明</ns0:t>
        </ns0:is>
      </ns0:c>
    </ns0:row>
    <ns0:row r="155" ht="60" customHeight="1" s="2">
      <ns0:c r="A155" s="254" t="inlineStr">
        <ns0:is>
          <ns0:t>指标</ns0:t>
        </ns0:is>
      </ns0:c>
      <ns0:c r="B155" s="254" t="inlineStr">
        <ns0:is>
          <ns0:t>数值</ns0:t>
        </ns0:is>
      </ns0:c>
      <ns0:c r="C155" s="254" t="inlineStr">
        <ns0:is>
          <ns0:t>单位</ns0:t>
        </ns0:is>
      </ns0:c>
      <ns0:c r="D155" s="254" t="n"/>
      <ns0:c r="E155" s="0" t="n"/>
      <ns0:c r="F155" s="0" t="n"/>
      <ns0:c r="G155" s="0" t="n"/>
      <ns0:c r="H155" s="0" t="n"/>
      <ns0:c r="I155" s="0" t="n"/>
      <ns0:c r="J155" s="0" t="n"/>
      <ns0:c r="K155" s="0" t="n"/>
      <ns0:c r="L155" s="0" t="n"/>
    </ns0:row>
    <ns0:row r="156" ht="60" customHeight="1" s="2">
      <ns0:c r="A156" s="250" t="inlineStr">
        <ns0:is>
          <ns0:t>语义 mF1 标准公式</ns0:t>
        </ns0:is>
      </ns0:c>
      <ns0:c r="B156" s="255">
        <ns0:v>0.4073211103047112</ns0:v>
      </ns0:c>
      <ns0:c r="C156" s="250" t="inlineStr">
        <ns0:is>
          <ns0:t>比例</ns0:t>
        </ns0:is>
      </ns0:c>
      <ns0:c r="D156" s="226" t="n"/>
      <ns0:c r="E156" s="0" t="n"/>
      <ns0:c r="F156" s="0" t="n"/>
      <ns0:c r="G156" s="0" t="n"/>
      <ns0:c r="H156" s="0" t="n"/>
      <ns0:c r="I156" s="0" t="n"/>
      <ns0:c r="J156" s="0" t="n"/>
      <ns0:c r="K156" s="0" t="n"/>
      <ns0:c r="L156" s="0" t="n"/>
    </ns0:row>
    <ns0:row r="157" ht="60" customHeight="1" s="2">
      <ns0:c r="A157" s="250" t="inlineStr">
        <ns0:is>
          <ns0:t>已记录VLM HTTP尝试</ns0:t>
        </ns0:is>
      </ns0:c>
      <ns0:c r="B157" s="256">
        <ns0:v>1676</ns0:v>
      </ns0:c>
      <ns0:c r="C157" s="250" t="inlineStr">
        <ns0:is>
          <ns0:t>次</ns0:t>
        </ns0:is>
      </ns0:c>
      <ns0:c r="D157" s="226" t="n"/>
      <ns0:c r="E157" s="0" t="n"/>
      <ns0:c r="F157" s="0" t="n"/>
      <ns0:c r="G157" s="0" t="n"/>
      <ns0:c r="H157" s="0" t="n"/>
      <ns0:c r="I157" s="0" t="n"/>
      <ns0:c r="J157" s="0" t="n"/>
      <ns0:c r="K157" s="0" t="n"/>
      <ns0:c r="L157" s="0" t="n"/>
    </ns0:row>
    <ns0:row r="158" ht="60" customHeight="1" s="2">
      <ns0:c r="A158" s="250" t="inlineStr">
        <ns0:is>
          <ns0:t>HTTP重试</ns0:t>
        </ns0:is>
      </ns0:c>
      <ns0:c r="B158" s="256">
        <ns0:v>0</ns0:v>
      </ns0:c>
      <ns0:c r="C158" s="250" t="inlineStr">
        <ns0:is>
          <ns0:t>次</ns0:t>
        </ns0:is>
      </ns0:c>
      <ns0:c r="D158" s="226" t="n"/>
      <ns0:c r="E158" s="0" t="n"/>
      <ns0:c r="F158" s="0" t="n"/>
      <ns0:c r="G158" s="0" t="n"/>
      <ns0:c r="H158" s="0" t="n"/>
      <ns0:c r="I158" s="0" t="n"/>
      <ns0:c r="J158" s="0" t="n"/>
      <ns0:c r="K158" s="0" t="n"/>
      <ns0:c r="L158" s="0" t="n"/>
    </ns0:row>
    <ns0:row r="159" ht="60" customHeight="1" s="2">
      <ns0:c r="A159" s="250" t="inlineStr">
        <ns0:is>
          <ns0:t>统一评估耗时</ns0:t>
        </ns0:is>
      </ns0:c>
      <ns0:c r="B159" s="256">
        <ns0:v>25.969543544575572</ns0:v>
      </ns0:c>
      <ns0:c r="C159" s="250" t="inlineStr">
        <ns0:is>
          <ns0:t>秒</ns0:t>
        </ns0:is>
      </ns0:c>
      <ns0:c r="D159" s="226" t="n"/>
      <ns0:c r="E159" s="0" t="n"/>
      <ns0:c r="F159" s="0" t="n"/>
      <ns0:c r="G159" s="0" t="n"/>
      <ns0:c r="H159" s="0" t="n"/>
      <ns0:c r="I159" s="0" t="n"/>
      <ns0:c r="J159" s="0" t="n"/>
      <ns0:c r="K159" s="0" t="n"/>
      <ns0:c r="L159" s="0" t="n"/>
    </ns0:row>
    <ns0:row r="160" ht="60" customHeight="1" s="2">
      <ns0:c r="A160" s="250" t="inlineStr">
        <ns0:is>
          <ns0:t>旧版忽略void实例数</ns0:t>
        </ns0:is>
      </ns0:c>
      <ns0:c r="B160" s="256">
        <ns0:v>24</ns0:v>
      </ns0:c>
      <ns0:c r="C160" s="250" t="inlineStr">
        <ns0:is>
          <ns0:t>个</ns0:t>
        </ns0:is>
      </ns0:c>
      <ns0:c r="D160" s="226" t="n"/>
      <ns0:c r="E160" s="0" t="n"/>
      <ns0:c r="F160" s="0" t="n"/>
      <ns0:c r="G160" s="0" t="n"/>
      <ns0:c r="H160" s="0" t="n"/>
      <ns0:c r="I160" s="0" t="n"/>
      <ns0:c r="J160" s="0" t="n"/>
      <ns0:c r="K160" s="0" t="n"/>
      <ns0:c r="L160" s="0" t="n"/>
    </ns0:row>
    <ns0:row r="161" ht="60" customHeight="1" s="2">
      <ns0:c r="A161" s="250" t="inlineStr">
        <ns0:is>
          <ns0:t>旧版零支持FP</ns0:t>
        </ns0:is>
      </ns0:c>
      <ns0:c r="B161" s="256">
        <ns0:v>0</ns0:v>
      </ns0:c>
      <ns0:c r="C161" s="250" t="inlineStr">
        <ns0:is>
          <ns0:t>个</ns0:t>
        </ns0:is>
      </ns0:c>
      <ns0:c r="D161" s="226" t="n"/>
      <ns0:c r="E161" s="0" t="n"/>
      <ns0:c r="F161" s="0" t="n"/>
      <ns0:c r="G161" s="0" t="n"/>
      <ns0:c r="H161" s="0" t="n"/>
      <ns0:c r="I161" s="0" t="n"/>
      <ns0:c r="J161" s="0" t="n"/>
      <ns0:c r="K161" s="0" t="n"/>
      <ns0:c r="L161" s="0" t="n"/>
    </ns0:row>
    <ns0:row r="162" ht="60" customHeight="1" s="2">
      <ns0:c r="A162" s="250" t="inlineStr">
        <ns0:is>
          <ns0:t>旧版未覆盖前景点数</ns0:t>
        </ns0:is>
      </ns0:c>
      <ns0:c r="B162" s="256">
        <ns0:v>101689</ns0:v>
      </ns0:c>
      <ns0:c r="C162" s="250" t="inlineStr">
        <ns0:is>
          <ns0:t>点</ns0:t>
        </ns0:is>
      </ns0:c>
      <ns0:c r="D162" s="226" t="n"/>
      <ns0:c r="E162" s="0" t="n"/>
      <ns0:c r="F162" s="0" t="n"/>
      <ns0:c r="G162" s="0" t="n"/>
      <ns0:c r="H162" s="0" t="n"/>
      <ns0:c r="I162" s="0" t="n"/>
      <ns0:c r="J162" s="0" t="n"/>
      <ns0:c r="K162" s="0" t="n"/>
      <ns0:c r="L162" s="0" t="n"/>
    </ns0:row>
    <ns0:row r="163" ht="60" customHeight="1" s="2">
      <ns0:c r="A163" s="250" t="inlineStr">
        <ns0:is>
          <ns0:t>前景最近距离均值</ns0:t>
        </ns0:is>
      </ns0:c>
      <ns0:c r="B163" s="256">
        <ns0:v>0.009252191166487641</ns0:v>
      </ns0:c>
      <ns0:c r="C163" s="250" t="inlineStr">
        <ns0:is>
          <ns0:t>m</ns0:t>
        </ns0:is>
      </ns0:c>
      <ns0:c r="D163" s="226" t="n"/>
      <ns0:c r="E163" s="0" t="n"/>
      <ns0:c r="F163" s="0" t="n"/>
      <ns0:c r="G163" s="0" t="n"/>
      <ns0:c r="H163" s="0" t="n"/>
      <ns0:c r="I163" s="0" t="n"/>
      <ns0:c r="J163" s="0" t="n"/>
      <ns0:c r="K163" s="0" t="n"/>
      <ns0:c r="L163" s="0" t="n"/>
    </ns0:row>
    <ns0:row r="164" ht="60" customHeight="1" s="2">
      <ns0:c r="A164" s="250" t="inlineStr">
        <ns0:is>
          <ns0:t>前景最近距离P95</ns0:t>
        </ns0:is>
      </ns0:c>
      <ns0:c r="B164" s="256">
        <ns0:v>0.015320872614599162</ns0:v>
      </ns0:c>
      <ns0:c r="C164" s="250" t="inlineStr">
        <ns0:is>
          <ns0:t>m</ns0:t>
        </ns0:is>
      </ns0:c>
      <ns0:c r="D164" s="226" t="n"/>
      <ns0:c r="E164" s="0" t="n"/>
      <ns0:c r="F164" s="0" t="n"/>
      <ns0:c r="G164" s="0" t="n"/>
      <ns0:c r="H164" s="0" t="n"/>
      <ns0:c r="I164" s="0" t="n"/>
      <ns0:c r="J164" s="0" t="n"/>
      <ns0:c r="K164" s="0" t="n"/>
      <ns0:c r="L164" s="0" t="n"/>
    </ns0:row>
    <ns0:row r="165" ht="60" customHeight="1" s="2">
      <ns0:c r="A165" s="250" t="inlineStr">
        <ns0:is>
          <ns0:t>旧版PQ评测耗时</ns0:t>
        </ns0:is>
      </ns0:c>
      <ns0:c r="B165" s="256">
        <ns0:v>60.73078683950007</ns0:v>
      </ns0:c>
      <ns0:c r="C165" s="250" t="inlineStr">
        <ns0:is>
          <ns0:t>秒</ns0:t>
        </ns0:is>
      </ns0:c>
      <ns0:c r="D165" s="226" t="n"/>
      <ns0:c r="E165" s="0" t="n"/>
      <ns0:c r="F165" s="0" t="n"/>
      <ns0:c r="G165" s="0" t="n"/>
      <ns0:c r="H165" s="0" t="n"/>
      <ns0:c r="I165" s="0" t="n"/>
      <ns0:c r="J165" s="0" t="n"/>
      <ns0:c r="K165" s="0" t="n"/>
      <ns0:c r="L165" s="0" t="n"/>
    </ns0:row>
    <ns0:row r="166" ht="60" customHeight="1" s="2">
      <ns0:c r="A166" s="250" t="inlineStr">
        <ns0:is>
          <ns0:t>旧版覆盖率评测耗时</ns0:t>
        </ns0:is>
      </ns0:c>
      <ns0:c r="B166" s="256">
        <ns0:v>37.800229030661285</ns0:v>
      </ns0:c>
      <ns0:c r="C166" s="250" t="inlineStr">
        <ns0:is>
          <ns0:t>秒</ns0:t>
        </ns0:is>
      </ns0:c>
      <ns0:c r="D166" s="226" t="n"/>
      <ns0:c r="E166" s="0" t="n"/>
      <ns0:c r="F166" s="0" t="n"/>
      <ns0:c r="G166" s="0" t="n"/>
      <ns0:c r="H166" s="0" t="n"/>
      <ns0:c r="I166" s="0" t="n"/>
      <ns0:c r="J166" s="0" t="n"/>
      <ns0:c r="K166" s="0" t="n"/>
      <ns0:c r="L166" s="0" t="n"/>
    </ns0:row>
    <ns0:row r="167" ht="64" customHeight="1" s="2">
      <ns0:c r="A167" s="279" t="inlineStr">
        <ns0:is>
          <ns0:t>黄色为同场景、同口径可比结果中的当前最优；并列最优同时标黄。FP/FN越小越好，其余质量指标越大越好；对象总数、GT数、时间不作优劣高亮。</ns0:t>
        </ns0:is>
      </ns0:c>
    </ns0:row>
    <ns0:row r="168" ht="64" customHeight="1" s="2">
      <ns0:c r="A168" s="279" t="inlineStr">
        <ns0:is>
          <ns0:t>仅重评已有完整在线地图；原始timing、配置及校验报告保存在 /home/chenkejun/beauty/v7_merge2_eval_20260909/。</ns0:t>
        </ns0:is>
      </ns0:c>
    </ns0:row>
  </ns0:sheetData>
  <ns0:mergeCells count="66">
    <ns0:mergeCell ref="A78:L78"/>
    <ns0:mergeCell ref="D104:L104"/>
    <ns0:mergeCell ref="A90:L90"/>
    <ns0:mergeCell ref="A99:L99"/>
    <ns0:mergeCell ref="D107:L107"/>
    <ns0:mergeCell ref="A75:L75"/>
    <ns0:mergeCell ref="A84:L84"/>
    <ns0:mergeCell ref="A89:L89"/>
    <ns0:mergeCell ref="A80:L80"/>
    <ns0:mergeCell ref="A118:L118"/>
    <ns0:mergeCell ref="A74:L74"/>
    <ns0:mergeCell ref="A120:L120"/>
    <ns0:mergeCell ref="A154:L154"/>
    <ns0:mergeCell ref="A95:L95"/>
    <ns0:mergeCell ref="A2:L2"/>
    <ns0:mergeCell ref="A86:L86"/>
    <ns0:mergeCell ref="D112:L112"/>
    <ns0:mergeCell ref="D106:L106"/>
    <ns0:mergeCell ref="A76:L76"/>
    <ns0:mergeCell ref="A71:L71"/>
    <ns0:mergeCell ref="A151:L151"/>
    <ns0:mergeCell ref="A85:L85"/>
    <ns0:mergeCell ref="A116:L116"/>
    <ns0:mergeCell ref="A47:L47"/>
    <ns0:mergeCell ref="A32:L32"/>
    <ns0:mergeCell ref="A97:L97"/>
    <ns0:mergeCell ref="A150:L150"/>
    <ns0:mergeCell ref="D105:L105"/>
    <ns0:mergeCell ref="A122:L122"/>
    <ns0:mergeCell ref="A91:L91"/>
    <ns0:mergeCell ref="A4:L4"/>
    <ns0:mergeCell ref="A100:L100"/>
    <ns0:mergeCell ref="A81:L81"/>
    <ns0:mergeCell ref="A125:L125"/>
    <ns0:mergeCell ref="A96:L96"/>
    <ns0:mergeCell ref="A72:L72"/>
    <ns0:mergeCell ref="A19:L19"/>
    <ns0:mergeCell ref="D113:L113"/>
    <ns0:mergeCell ref="A121:L121"/>
    <ns0:mergeCell ref="A152:L152"/>
    <ns0:mergeCell ref="A117:L117"/>
    <ns0:mergeCell ref="A115:L115"/>
    <ns0:mergeCell ref="A93:L93"/>
    <ns0:mergeCell ref="A58:L58"/>
    <ns0:mergeCell ref="A102:L102"/>
    <ns0:mergeCell ref="D110:L110"/>
    <ns0:mergeCell ref="A167:L167"/>
    <ns0:mergeCell ref="A83:L83"/>
    <ns0:mergeCell ref="D109:L109"/>
    <ns0:mergeCell ref="A92:L92"/>
    <ns0:mergeCell ref="A73:L73"/>
    <ns0:mergeCell ref="A82:L82"/>
    <ns0:mergeCell ref="A98:L98"/>
    <ns0:mergeCell ref="A94:L94"/>
    <ns0:mergeCell ref="A1:L1"/>
    <ns0:mergeCell ref="A123:L123"/>
    <ns0:mergeCell ref="D111:L111"/>
    <ns0:mergeCell ref="A119:L119"/>
    <ns0:mergeCell ref="A88:L88"/>
    <ns0:mergeCell ref="A168:L168"/>
    <ns0:mergeCell ref="A70:L70"/>
    <ns0:mergeCell ref="A79:L79"/>
    <ns0:mergeCell ref="A153:L153"/>
    <ns0:mergeCell ref="A69:L69"/>
    <ns0:mergeCell ref="A87:L87"/>
    <ns0:mergeCell ref="D108:L108"/>
  </ns0:mergeCells>
  <ns0:pageMargins left="0.7" right="0.7" top="0.75" bottom="0.75" header="0.3" footer="0.3"/>
  <ns0:pageSetup orientation="landscape" paperSize="8" fitToHeight="0" fitToWidth="1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N29"/>
  <ns0:sheetViews>
    <ns0:sheetView showGridLines="0" workbookViewId="0">
      <ns0:selection activeCell="A1" sqref="A1"/>
    </ns0:sheetView>
  </ns0:sheetViews>
  <ns0:sheetFormatPr baseColWidth="8" defaultColWidth="9" defaultRowHeight="14"/>
  <ns0:cols>
    <ns0:col width="16" customWidth="1" style="2" min="1" max="1"/>
    <ns0:col width="16" customWidth="1" style="2" min="2" max="2"/>
    <ns0:col width="11" customWidth="1" style="2" min="3" max="3"/>
    <ns0:col width="14" customWidth="1" style="2" min="4" max="4"/>
    <ns0:col width="12" customWidth="1" style="2" min="5" max="5"/>
    <ns0:col width="14" customWidth="1" style="2" min="6" max="6"/>
    <ns0:col width="14" customWidth="1" style="2" min="7" max="7"/>
    <ns0:col width="12" customWidth="1" style="2" min="8" max="8"/>
    <ns0:col width="14" customWidth="1" style="2" min="9" max="9"/>
    <ns0:col width="14" customWidth="1" style="2" min="10" max="10"/>
    <ns0:col width="12" customWidth="1" style="2" min="11" max="11"/>
    <ns0:col width="12" customWidth="1" style="2" min="12" max="12"/>
    <ns0:col width="12" customWidth="1" style="2" min="13" max="13"/>
    <ns0:col width="12" customWidth="1" style="2" min="14" max="14"/>
  </ns0:cols>
  <ns0:sheetData>
    <ns0:row r="1" ht="30" customHeight="1" s="2">
      <ns0:c r="A1" s="243" t="inlineStr">
        <ns0:is>
          <ns0:t>Replica 语义分割：8 场景完整结果</ns0:t>
        </ns0:is>
      </ns0:c>
      <ns0:c r="B1" s="158" t="n"/>
      <ns0:c r="C1" s="158" t="n"/>
      <ns0:c r="D1" s="158" t="n"/>
      <ns0:c r="E1" s="158" t="n"/>
      <ns0:c r="F1" s="158" t="n"/>
      <ns0:c r="G1" s="158" t="n"/>
      <ns0:c r="H1" s="158" t="n"/>
      <ns0:c r="I1" s="158" t="n"/>
      <ns0:c r="J1" s="158" t="n"/>
      <ns0:c r="K1" s="158" t="n"/>
      <ns0:c r="L1" s="158" t="n"/>
      <ns0:c r="M1" s="158" t="n"/>
      <ns0:c r="N1" s="159" t="n"/>
    </ns0:row>
    <ns0:row r="2" ht="34" customHeight="1" s="2">
      <ns0:c r="A2" s="244" t="inlineStr">
        <ns0:is>
          <ns0:t>主口径 n_exclude=6；ali-my 同时保留 n_exclude=1/4/6 池化结果。百分比均为可计算数值。</ns0:t>
        </ns0:is>
      </ns0:c>
      <ns0:c r="B2" s="158" t="n"/>
      <ns0:c r="C2" s="158" t="n"/>
      <ns0:c r="D2" s="158" t="n"/>
      <ns0:c r="E2" s="158" t="n"/>
      <ns0:c r="F2" s="158" t="n"/>
      <ns0:c r="G2" s="158" t="n"/>
      <ns0:c r="H2" s="158" t="n"/>
      <ns0:c r="I2" s="158" t="n"/>
      <ns0:c r="J2" s="158" t="n"/>
      <ns0:c r="K2" s="158" t="n"/>
      <ns0:c r="L2" s="158" t="n"/>
      <ns0:c r="M2" s="158" t="n"/>
      <ns0:c r="N2" s="159" t="n"/>
    </ns0:row>
    <ns0:row r="3"/>
    <ns0:row r="4" ht="22" customHeight="1" s="2">
      <ns0:c r="A4" s="245" t="inlineStr">
        <ns0:is>
          <ns0:t>A. 池化结果</ns0:t>
        </ns0:is>
      </ns0:c>
      <ns0:c r="B4" s="158" t="n"/>
      <ns0:c r="C4" s="158" t="n"/>
      <ns0:c r="D4" s="158" t="n"/>
      <ns0:c r="E4" s="158" t="n"/>
      <ns0:c r="F4" s="158" t="n"/>
      <ns0:c r="G4" s="158" t="n"/>
      <ns0:c r="H4" s="158" t="n"/>
      <ns0:c r="I4" s="158" t="n"/>
      <ns0:c r="J4" s="158" t="n"/>
      <ns0:c r="K4" s="158" t="n"/>
      <ns0:c r="L4" s="158" t="n"/>
      <ns0:c r="M4" s="158" t="n"/>
      <ns0:c r="N4" s="159" t="n"/>
    </ns0:row>
    <ns0:row r="5" ht="30" customHeight="1" s="2">
      <ns0:c r="A5" s="7" t="inlineStr">
        <ns0:is>
          <ns0:t>方法</ns0:t>
        </ns0:is>
      </ns0:c>
      <ns0:c r="B5" s="7" t="inlineStr">
        <ns0:is>
          <ns0:t>n_exclude</ns0:t>
        </ns0:is>
      </ns0:c>
      <ns0:c r="C5" s="7" t="inlineStr">
        <ns0:is>
          <ns0:t>类别数</ns0:t>
        </ns0:is>
      </ns0:c>
      <ns0:c r="D5" s="7" t="inlineStr">
        <ns0:is>
          <ns0:t>点数</ns0:t>
        </ns0:is>
      </ns0:c>
      <ns0:c r="E5" s="7" t="inlineStr">
        <ns0:is>
          <ns0:t>mIoU</ns0:t>
        </ns0:is>
      </ns0:c>
      <ns0:c r="F5" s="7" t="inlineStr">
        <ns0:is>
          <ns0:t>mRecall/mAcc</ns0:t>
        </ns0:is>
      </ns0:c>
      <ns0:c r="G5" s="7" t="inlineStr">
        <ns0:is>
          <ns0:t>mPrecision</ns0:t>
        </ns0:is>
      </ns0:c>
      <ns0:c r="H5" s="7" t="inlineStr">
        <ns0:is>
          <ns0:t>mF1</ns0:t>
        </ns0:is>
      </ns0:c>
      <ns0:c r="I5" s="7" t="inlineStr">
        <ns0:is>
          <ns0:t>fwIoU/F-mIoU</ns0:t>
        </ns0:is>
      </ns0:c>
      <ns0:c r="J5" s="7" t="inlineStr">
        <ns0:is>
          <ns0:t>点准确率</ns0:t>
        </ns0:is>
      </ns0:c>
      <ns0:c r="K5" s="7" t="inlineStr">
        <ns0:is>
          <ns0:t>IoU≥.15 类数</ns0:t>
        </ns0:is>
      </ns0:c>
      <ns0:c r="L5" s="7" t="inlineStr">
        <ns0:is>
          <ns0:t>IoU≥.25</ns0:t>
        </ns0:is>
      </ns0:c>
      <ns0:c r="M5" s="7" t="inlineStr">
        <ns0:is>
          <ns0:t>IoU≥.50</ns0:t>
        </ns0:is>
      </ns0:c>
      <ns0:c r="N5" s="7" t="inlineStr">
        <ns0:is>
          <ns0:t>IoU≥.75</ns0:t>
        </ns0:is>
      </ns0:c>
    </ns0:row>
    <ns0:row r="6" ht="24" customHeight="1" s="2">
      <ns0:c r="A6" s="8" t="inlineStr">
        <ns0:is>
          <ns0:t>论文 ConceptGraphs</ns0:t>
        </ns0:is>
      </ns0:c>
      <ns0:c r="B6" s="17" t="n">
        <ns0:v>6</ns0:v>
      </ns0:c>
      <ns0:c r="C6" s="17" t="n">
        <ns0:v>46</ns0:v>
      </ns0:c>
      <ns0:c r="D6" s="9" t="n"/>
      <ns0:c r="E6" s="9" t="n"/>
      <ns0:c r="F6" s="10" t="n">
        <ns0:v>0.4063</ns0:v>
      </ns0:c>
      <ns0:c r="G6" s="9" t="n"/>
      <ns0:c r="H6" s="9" t="n"/>
      <ns0:c r="I6" s="10" t="n">
        <ns0:v>0.3595</ns0:v>
      </ns0:c>
      <ns0:c r="J6" s="9" t="n"/>
      <ns0:c r="K6" s="9" t="n"/>
      <ns0:c r="L6" s="9" t="n"/>
      <ns0:c r="M6" s="9" t="n"/>
      <ns0:c r="N6" s="9" t="n"/>
    </ns0:row>
    <ns0:row r="7" ht="24" customHeight="1" s="2">
      <ns0:c r="A7" s="12" t="inlineStr">
        <ns0:is>
          <ns0:t>main 复现</ns0:t>
        </ns0:is>
      </ns0:c>
      <ns0:c r="B7" s="18" t="n">
        <ns0:v>6</ns0:v>
      </ns0:c>
      <ns0:c r="C7" s="18" t="n">
        <ns0:v>46</ns0:v>
      </ns0:c>
      <ns0:c r="D7" s="18" t="n">
        <ns0:v>26203935</ns0:v>
      </ns0:c>
      <ns0:c r="E7" s="13" t="n">
        <ns0:v>0.2485475274</ns0:v>
      </ns0:c>
      <ns0:c r="F7" s="13" t="n">
        <ns0:v>0.4064905794</ns0:v>
      </ns0:c>
      <ns0:c r="G7" s="13" t="n">
        <ns0:v>0.3631107484</ns0:v>
      </ns0:c>
      <ns0:c r="H7" s="13" t="n">
        <ns0:v>0.3041183629</ns0:v>
      </ns0:c>
      <ns0:c r="I7" s="13" t="n">
        <ns0:v>0.3647047971</ns0:v>
      </ns0:c>
      <ns0:c r="J7" s="13" t="n">
        <ns0:v>0.4325967455</ns0:v>
      </ns0:c>
      <ns0:c r="K7" s="18" t="n">
        <ns0:v>21</ns0:v>
      </ns0:c>
      <ns0:c r="L7" s="18" t="n">
        <ns0:v>17</ns0:v>
      </ns0:c>
      <ns0:c r="M7" s="18" t="n">
        <ns0:v>12</ns0:v>
      </ns0:c>
      <ns0:c r="N7" s="18" t="n">
        <ns0:v>5</ns0:v>
      </ns0:c>
    </ns0:row>
    <ns0:row r="8" ht="24" customHeight="1" s="2">
      <ns0:c r="A8" s="8" t="inlineStr">
        <ns0:is>
          <ns0:t>ali-my</ns0:t>
        </ns0:is>
      </ns0:c>
      <ns0:c r="B8" s="17" t="n">
        <ns0:v>1</ns0:v>
      </ns0:c>
      <ns0:c r="C8" s="17" t="n">
        <ns0:v>51</ns0:v>
      </ns0:c>
      <ns0:c r="D8" s="17" t="n">
        <ns0:v>68227290</ns0:v>
      </ns0:c>
      <ns0:c r="E8" s="10" t="n">
        <ns0:v>0.1455697863</ns0:v>
      </ns0:c>
      <ns0:c r="F8" s="10" t="n">
        <ns0:v>0.4251217343</ns0:v>
      </ns0:c>
      <ns0:c r="G8" s="10" t="n">
        <ns0:v>0.2207539108</ns0:v>
      </ns0:c>
      <ns0:c r="H8" s="10" t="n">
        <ns0:v>0.2060610436</ns0:v>
      </ns0:c>
      <ns0:c r="I8" s="10" t="n">
        <ns0:v>0.137383928</ns0:v>
      </ns0:c>
      <ns0:c r="J8" s="10" t="n">
        <ns0:v>0.2623280069</ns0:v>
      </ns0:c>
      <ns0:c r="K8" s="17" t="n">
        <ns0:v>20</ns0:v>
      </ns0:c>
      <ns0:c r="L8" s="17" t="n">
        <ns0:v>13</ns0:v>
      </ns0:c>
      <ns0:c r="M8" s="17" t="n">
        <ns0:v>2</ns0:v>
      </ns0:c>
      <ns0:c r="N8" s="17" t="n">
        <ns0:v>0</ns0:v>
      </ns0:c>
    </ns0:row>
    <ns0:row r="9" ht="24" customHeight="1" s="2">
      <ns0:c r="A9" s="12" t="inlineStr">
        <ns0:is>
          <ns0:t>ali-my</ns0:t>
        </ns0:is>
      </ns0:c>
      <ns0:c r="B9" s="18" t="n">
        <ns0:v>4</ns0:v>
      </ns0:c>
      <ns0:c r="C9" s="18" t="n">
        <ns0:v>48</ns0:v>
      </ns0:c>
      <ns0:c r="D9" s="18" t="n">
        <ns0:v>28758853</ns0:v>
      </ns0:c>
      <ns0:c r="E9" s="13" t="n">
        <ns0:v>0.2536564781</ns0:v>
      </ns0:c>
      <ns0:c r="F9" s="13" t="n">
        <ns0:v>0.4509444526</ns0:v>
      </ns0:c>
      <ns0:c r="G9" s="13" t="n">
        <ns0:v>0.3954799556</ns0:v>
      </ns0:c>
      <ns0:c r="H9" s="13" t="n">
        <ns0:v>0.3201780468</ns0:v>
      </ns0:c>
      <ns0:c r="I9" s="13" t="n">
        <ns0:v>0.3825903618</ns0:v>
      </ns0:c>
      <ns0:c r="J9" s="13" t="n">
        <ns0:v>0.4943677343</ns0:v>
      </ns0:c>
      <ns0:c r="K9" s="18" t="n">
        <ns0:v>22</ns0:v>
      </ns0:c>
      <ns0:c r="L9" s="18" t="n">
        <ns0:v>18</ns0:v>
      </ns0:c>
      <ns0:c r="M9" s="18" t="n">
        <ns0:v>11</ns0:v>
      </ns0:c>
      <ns0:c r="N9" s="18" t="n">
        <ns0:v>5</ns0:v>
      </ns0:c>
    </ns0:row>
    <ns0:row r="10" ht="24" customHeight="1" s="2">
      <ns0:c r="A10" s="8" t="inlineStr">
        <ns0:is>
          <ns0:t>ali-my</ns0:t>
        </ns0:is>
      </ns0:c>
      <ns0:c r="B10" s="17" t="n">
        <ns0:v>6</ns0:v>
      </ns0:c>
      <ns0:c r="C10" s="17" t="n">
        <ns0:v>46</ns0:v>
      </ns0:c>
      <ns0:c r="D10" s="17" t="n">
        <ns0:v>26203935</ns0:v>
      </ns0:c>
      <ns0:c r="E10" s="10" t="n">
        <ns0:v>0.2763743329</ns0:v>
      </ns0:c>
      <ns0:c r="F10" s="10" t="n">
        <ns0:v>0.4509408941</ns0:v>
      </ns0:c>
      <ns0:c r="G10" s="10" t="n">
        <ns0:v>0.4259949707</ns0:v>
      </ns0:c>
      <ns0:c r="H10" s="10" t="n">
        <ns0:v>0.3421515314</ns0:v>
      </ns0:c>
      <ns0:c r="I10" s="10" t="n">
        <ns0:v>0.4073802701</ns0:v>
      </ns0:c>
      <ns0:c r="J10" s="10" t="n">
        <ns0:v>0.5110663723</ns0:v>
      </ns0:c>
      <ns0:c r="K10" s="17" t="n">
        <ns0:v>22</ns0:v>
      </ns0:c>
      <ns0:c r="L10" s="17" t="n">
        <ns0:v>18</ns0:v>
      </ns0:c>
      <ns0:c r="M10" s="17" t="n">
        <ns0:v>11</ns0:v>
      </ns0:c>
      <ns0:c r="N10" s="17" t="n">
        <ns0:v>6</ns0:v>
      </ns0:c>
    </ns0:row>
    <ns0:row r="11"/>
    <ns0:row r="12" ht="22" customHeight="1" s="2">
      <ns0:c r="A12" s="245" t="inlineStr">
        <ns0:is>
          <ns0:t>B. 分场景结果（n_exclude=6）</ns0:t>
        </ns0:is>
      </ns0:c>
      <ns0:c r="B12" s="158" t="n"/>
      <ns0:c r="C12" s="158" t="n"/>
      <ns0:c r="D12" s="158" t="n"/>
      <ns0:c r="E12" s="158" t="n"/>
      <ns0:c r="F12" s="158" t="n"/>
      <ns0:c r="G12" s="158" t="n"/>
      <ns0:c r="H12" s="158" t="n"/>
      <ns0:c r="I12" s="158" t="n"/>
      <ns0:c r="J12" s="158" t="n"/>
      <ns0:c r="K12" s="158" t="n"/>
      <ns0:c r="L12" s="158" t="n"/>
      <ns0:c r="M12" s="158" t="n"/>
      <ns0:c r="N12" s="159" t="n"/>
    </ns0:row>
    <ns0:row r="13" ht="30" customHeight="1" s="2">
      <ns0:c r="A13" s="7" t="inlineStr">
        <ns0:is>
          <ns0:t>场景</ns0:t>
        </ns0:is>
      </ns0:c>
      <ns0:c r="B13" s="7" t="inlineStr">
        <ns0:is>
          <ns0:t>方法</ns0:t>
        </ns0:is>
      </ns0:c>
      <ns0:c r="C13" s="7" t="inlineStr">
        <ns0:is>
          <ns0:t>类别数</ns0:t>
        </ns0:is>
      </ns0:c>
      <ns0:c r="D13" s="7" t="inlineStr">
        <ns0:is>
          <ns0:t>点数</ns0:t>
        </ns0:is>
      </ns0:c>
      <ns0:c r="E13" s="7" t="inlineStr">
        <ns0:is>
          <ns0:t>mIoU</ns0:t>
        </ns0:is>
      </ns0:c>
      <ns0:c r="F13" s="7" t="inlineStr">
        <ns0:is>
          <ns0:t>mRecall</ns0:t>
        </ns0:is>
      </ns0:c>
      <ns0:c r="G13" s="7" t="inlineStr">
        <ns0:is>
          <ns0:t>mPrecision</ns0:t>
        </ns0:is>
      </ns0:c>
      <ns0:c r="H13" s="7" t="inlineStr">
        <ns0:is>
          <ns0:t>mF1</ns0:t>
        </ns0:is>
      </ns0:c>
      <ns0:c r="I13" s="7" t="inlineStr">
        <ns0:is>
          <ns0:t>fwIoU</ns0:t>
        </ns0:is>
      </ns0:c>
      <ns0:c r="J13" s="7" t="inlineStr">
        <ns0:is>
          <ns0:t>点准确率</ns0:t>
        </ns0:is>
      </ns0:c>
      <ns0:c r="K13" s="7" t="inlineStr">
        <ns0:is>
          <ns0:t>IoU≥.15</ns0:t>
        </ns0:is>
      </ns0:c>
      <ns0:c r="L13" s="7" t="inlineStr">
        <ns0:is>
          <ns0:t>IoU≥.25</ns0:t>
        </ns0:is>
      </ns0:c>
      <ns0:c r="M13" s="7" t="inlineStr">
        <ns0:is>
          <ns0:t>IoU≥.50</ns0:t>
        </ns0:is>
      </ns0:c>
      <ns0:c r="N13" s="7" t="inlineStr">
        <ns0:is>
          <ns0:t>IoU≥.75</ns0:t>
        </ns0:is>
      </ns0:c>
    </ns0:row>
    <ns0:row r="14" ht="24" customHeight="1" s="2">
      <ns0:c r="A14" s="8" t="inlineStr">
        <ns0:is>
          <ns0:t>room0</ns0:t>
        </ns0:is>
      </ns0:c>
      <ns0:c r="B14" s="8" t="inlineStr">
        <ns0:is>
          <ns0:t>main</ns0:t>
        </ns0:is>
      </ns0:c>
      <ns0:c r="C14" s="17" t="n">
        <ns0:v>23</ns0:v>
      </ns0:c>
      <ns0:c r="D14" s="17" t="n">
        <ns0:v>4085377</ns0:v>
      </ns0:c>
      <ns0:c r="E14" s="10" t="n">
        <ns0:v>0.2155000553</ns0:v>
      </ns0:c>
      <ns0:c r="F14" s="10" t="n">
        <ns0:v>0.3839510443</ns0:v>
      </ns0:c>
      <ns0:c r="G14" s="10" t="n">
        <ns0:v>0.2950385153</ns0:v>
      </ns0:c>
      <ns0:c r="H14" s="10" t="n">
        <ns0:v>0.2543556411</ns0:v>
      </ns0:c>
      <ns0:c r="I14" s="10" t="n">
        <ns0:v>0.5064034485</ns0:v>
      </ns0:c>
      <ns0:c r="J14" s="10" t="n">
        <ns0:v>0.591481031</ns0:v>
      </ns0:c>
      <ns0:c r="K14" s="17" t="n">
        <ns0:v>7</ns0:v>
      </ns0:c>
      <ns0:c r="L14" s="17" t="n">
        <ns0:v>6</ns0:v>
      </ns0:c>
      <ns0:c r="M14" s="17" t="n">
        <ns0:v>6</ns0:v>
      </ns0:c>
      <ns0:c r="N14" s="17" t="n">
        <ns0:v>3</ns0:v>
      </ns0:c>
    </ns0:row>
    <ns0:row r="15" ht="24" customHeight="1" s="2">
      <ns0:c r="A15" s="12" t="inlineStr">
        <ns0:is>
          <ns0:t>room0</ns0:t>
        </ns0:is>
      </ns0:c>
      <ns0:c r="B15" s="12" t="inlineStr">
        <ns0:is>
          <ns0:t>ali-my</ns0:t>
        </ns0:is>
      </ns0:c>
      <ns0:c r="C15" s="18" t="n">
        <ns0:v>23</ns0:v>
      </ns0:c>
      <ns0:c r="D15" s="18" t="n">
        <ns0:v>4085377</ns0:v>
      </ns0:c>
      <ns0:c r="E15" s="13" t="n">
        <ns0:v>0.1992985184</ns0:v>
      </ns0:c>
      <ns0:c r="F15" s="13" t="n">
        <ns0:v>0.38733067</ns0:v>
      </ns0:c>
      <ns0:c r="G15" s="13" t="n">
        <ns0:v>0.2376431516</ns0:v>
      </ns0:c>
      <ns0:c r="H15" s="13" t="n">
        <ns0:v>0.2474773274218771</ns0:v>
      </ns0:c>
      <ns0:c r="I15" s="13" t="n">
        <ns0:v>0.4068411422</ns0:v>
      </ns0:c>
      <ns0:c r="J15" s="13" t="n">
        <ns0:v>0.5170443266</ns0:v>
      </ns0:c>
      <ns0:c r="K15" s="18" t="n">
        <ns0:v>8</ns0:v>
      </ns0:c>
      <ns0:c r="L15" s="18" t="n">
        <ns0:v>6</ns0:v>
      </ns0:c>
      <ns0:c r="M15" s="18" t="n">
        <ns0:v>5</ns0:v>
      </ns0:c>
      <ns0:c r="N15" s="18" t="n">
        <ns0:v>2</ns0:v>
      </ns0:c>
    </ns0:row>
    <ns0:row r="16" ht="24" customHeight="1" s="2">
      <ns0:c r="A16" s="8" t="inlineStr">
        <ns0:is>
          <ns0:t>room1</ns0:t>
        </ns0:is>
      </ns0:c>
      <ns0:c r="B16" s="8" t="inlineStr">
        <ns0:is>
          <ns0:t>main</ns0:t>
        </ns0:is>
      </ns0:c>
      <ns0:c r="C16" s="17" t="n">
        <ns0:v>19</ns0:v>
      </ns0:c>
      <ns0:c r="D16" s="17" t="n">
        <ns0:v>3772646</ns0:v>
      </ns0:c>
      <ns0:c r="E16" s="10" t="n">
        <ns0:v>0.2455057859</ns0:v>
      </ns0:c>
      <ns0:c r="F16" s="10" t="n">
        <ns0:v>0.429511889</ns0:v>
      </ns0:c>
      <ns0:c r="G16" s="10" t="n">
        <ns0:v>0.3295752399</ns0:v>
      </ns0:c>
      <ns0:c r="H16" s="10" t="n">
        <ns0:v>0.2954497174</ns0:v>
      </ns0:c>
      <ns0:c r="I16" s="10" t="n">
        <ns0:v>0.427754735</ns0:v>
      </ns0:c>
      <ns0:c r="J16" s="10" t="n">
        <ns0:v>0.5444518251</ns0:v>
      </ns0:c>
      <ns0:c r="K16" s="17" t="n">
        <ns0:v>7</ns0:v>
      </ns0:c>
      <ns0:c r="L16" s="17" t="n">
        <ns0:v>7</ns0:v>
      </ns0:c>
      <ns0:c r="M16" s="17" t="n">
        <ns0:v>4</ns0:v>
      </ns0:c>
      <ns0:c r="N16" s="17" t="n">
        <ns0:v>2</ns0:v>
      </ns0:c>
    </ns0:row>
    <ns0:row r="17" ht="24" customHeight="1" s="2">
      <ns0:c r="A17" s="12" t="inlineStr">
        <ns0:is>
          <ns0:t>room1</ns0:t>
        </ns0:is>
      </ns0:c>
      <ns0:c r="B17" s="12" t="inlineStr">
        <ns0:is>
          <ns0:t>ali-my</ns0:t>
        </ns0:is>
      </ns0:c>
      <ns0:c r="C17" s="18" t="n">
        <ns0:v>19</ns0:v>
      </ns0:c>
      <ns0:c r="D17" s="18" t="n">
        <ns0:v>3772646</ns0:v>
      </ns0:c>
      <ns0:c r="E17" s="13" t="n">
        <ns0:v>0.227630101</ns0:v>
      </ns0:c>
      <ns0:c r="F17" s="13" t="n">
        <ns0:v>0.4252447247</ns0:v>
      </ns0:c>
      <ns0:c r="G17" s="13" t="n">
        <ns0:v>0.2688495668</ns0:v>
      </ns0:c>
      <ns0:c r="H17" s="13" t="n">
        <ns0:v>0.2788215945</ns0:v>
      </ns0:c>
      <ns0:c r="I17" s="13" t="n">
        <ns0:v>0.4249301315</ns0:v>
      </ns0:c>
      <ns0:c r="J17" s="13" t="n">
        <ns0:v>0.5598993386</ns0:v>
      </ns0:c>
      <ns0:c r="K17" s="18" t="n">
        <ns0:v>7</ns0:v>
      </ns0:c>
      <ns0:c r="L17" s="18" t="n">
        <ns0:v>6</ns0:v>
      </ns0:c>
      <ns0:c r="M17" s="18" t="n">
        <ns0:v>4</ns0:v>
      </ns0:c>
      <ns0:c r="N17" s="18" t="n">
        <ns0:v>2</ns0:v>
      </ns0:c>
    </ns0:row>
    <ns0:row r="18" ht="24" customHeight="1" s="2">
      <ns0:c r="A18" s="8" t="inlineStr">
        <ns0:is>
          <ns0:t>room2</ns0:t>
        </ns0:is>
      </ns0:c>
      <ns0:c r="B18" s="8" t="inlineStr">
        <ns0:is>
          <ns0:t>main</ns0:t>
        </ns0:is>
      </ns0:c>
      <ns0:c r="C18" s="17" t="n">
        <ns0:v>16</ns0:v>
      </ns0:c>
      <ns0:c r="D18" s="17" t="n">
        <ns0:v>3513164</ns0:v>
      </ns0:c>
      <ns0:c r="E18" s="10" t="n">
        <ns0:v>0.2675509219</ns0:v>
      </ns0:c>
      <ns0:c r="F18" s="10" t="n">
        <ns0:v>0.3940038778</ns0:v>
      </ns0:c>
      <ns0:c r="G18" s="10" t="n">
        <ns0:v>0.4073923041</ns0:v>
      </ns0:c>
      <ns0:c r="H18" s="10" t="n">
        <ns0:v>0.3200088873</ns0:v>
      </ns0:c>
      <ns0:c r="I18" s="10" t="n">
        <ns0:v>0.3497561461</ns0:v>
      </ns0:c>
      <ns0:c r="J18" s="10" t="n">
        <ns0:v>0.3722325516</ns0:v>
      </ns0:c>
      <ns0:c r="K18" s="17" t="n">
        <ns0:v>7</ns0:v>
      </ns0:c>
      <ns0:c r="L18" s="17" t="n">
        <ns0:v>6</ns0:v>
      </ns0:c>
      <ns0:c r="M18" s="17" t="n">
        <ns0:v>4</ns0:v>
      </ns0:c>
      <ns0:c r="N18" s="17" t="n">
        <ns0:v>3</ns0:v>
      </ns0:c>
    </ns0:row>
    <ns0:row r="19" ht="24" customHeight="1" s="2">
      <ns0:c r="A19" s="12" t="inlineStr">
        <ns0:is>
          <ns0:t>room2</ns0:t>
        </ns0:is>
      </ns0:c>
      <ns0:c r="B19" s="12" t="inlineStr">
        <ns0:is>
          <ns0:t>ali-my</ns0:t>
        </ns0:is>
      </ns0:c>
      <ns0:c r="C19" s="18" t="n">
        <ns0:v>16</ns0:v>
      </ns0:c>
      <ns0:c r="D19" s="18" t="n">
        <ns0:v>3513164</ns0:v>
      </ns0:c>
      <ns0:c r="E19" s="13" t="n">
        <ns0:v>0.3070822627</ns0:v>
      </ns0:c>
      <ns0:c r="F19" s="13" t="n">
        <ns0:v>0.4369015774</ns0:v>
      </ns0:c>
      <ns0:c r="G19" s="13" t="n">
        <ns0:v>0.4321038126</ns0:v>
      </ns0:c>
      <ns0:c r="H19" s="13" t="n">
        <ns0:v>0.3440614401</ns0:v>
      </ns0:c>
      <ns0:c r="I19" s="13" t="n">
        <ns0:v>0.3842919255</ns0:v>
      </ns0:c>
      <ns0:c r="J19" s="13" t="n">
        <ns0:v>0.4226457973</ns0:v>
      </ns0:c>
      <ns0:c r="K19" s="18" t="n">
        <ns0:v>6</ns0:v>
      </ns0:c>
      <ns0:c r="L19" s="18" t="n">
        <ns0:v>6</ns0:v>
      </ns0:c>
      <ns0:c r="M19" s="18" t="n">
        <ns0:v>5</ns0:v>
      </ns0:c>
      <ns0:c r="N19" s="18" t="n">
        <ns0:v>4</ns0:v>
      </ns0:c>
    </ns0:row>
    <ns0:row r="20" ht="24" customHeight="1" s="2">
      <ns0:c r="A20" s="8" t="inlineStr">
        <ns0:is>
          <ns0:t>office0</ns0:t>
        </ns0:is>
      </ns0:c>
      <ns0:c r="B20" s="8" t="inlineStr">
        <ns0:is>
          <ns0:t>main</ns0:t>
        </ns0:is>
      </ns0:c>
      <ns0:c r="C20" s="17" t="n">
        <ns0:v>19</ns0:v>
      </ns0:c>
      <ns0:c r="D20" s="17" t="n">
        <ns0:v>4079896</ns0:v>
      </ns0:c>
      <ns0:c r="E20" s="10" t="n">
        <ns0:v>0.2179319727</ns0:v>
      </ns0:c>
      <ns0:c r="F20" s="10" t="n">
        <ns0:v>0.4055500261</ns0:v>
      </ns0:c>
      <ns0:c r="G20" s="10" t="n">
        <ns0:v>0.2625306559</ns0:v>
      </ns0:c>
      <ns0:c r="H20" s="10" t="n">
        <ns0:v>0.2577071386</ns0:v>
      </ns0:c>
      <ns0:c r="I20" s="10" t="n">
        <ns0:v>0.3312591416</ns0:v>
      </ns0:c>
      <ns0:c r="J20" s="10" t="n">
        <ns0:v>0.3626050762</ns0:v>
      </ns0:c>
      <ns0:c r="K20" s="17" t="n">
        <ns0:v>7</ns0:v>
      </ns0:c>
      <ns0:c r="L20" s="17" t="n">
        <ns0:v>6</ns0:v>
      </ns0:c>
      <ns0:c r="M20" s="17" t="n">
        <ns0:v>4</ns0:v>
      </ns0:c>
      <ns0:c r="N20" s="17" t="n">
        <ns0:v>2</ns0:v>
      </ns0:c>
    </ns0:row>
    <ns0:row r="21" ht="24" customHeight="1" s="2">
      <ns0:c r="A21" s="12" t="inlineStr">
        <ns0:is>
          <ns0:t>office0</ns0:t>
        </ns0:is>
      </ns0:c>
      <ns0:c r="B21" s="12" t="inlineStr">
        <ns0:is>
          <ns0:t>ali-my</ns0:t>
        </ns0:is>
      </ns0:c>
      <ns0:c r="C21" s="18" t="n">
        <ns0:v>19</ns0:v>
      </ns0:c>
      <ns0:c r="D21" s="18" t="n">
        <ns0:v>4079896</ns0:v>
      </ns0:c>
      <ns0:c r="E21" s="13" t="n">
        <ns0:v>0.2650252661</ns0:v>
      </ns0:c>
      <ns0:c r="F21" s="13" t="n">
        <ns0:v>0.4581917406</ns0:v>
      </ns0:c>
      <ns0:c r="G21" s="13" t="n">
        <ns0:v>0.3097018533</ns0:v>
      </ns0:c>
      <ns0:c r="H21" s="13" t="n">
        <ns0:v>0.3219611787</ns0:v>
      </ns0:c>
      <ns0:c r="I21" s="13" t="n">
        <ns0:v>0.4916264662</ns0:v>
      </ns0:c>
      <ns0:c r="J21" s="13" t="n">
        <ns0:v>0.603734507</ns0:v>
      </ns0:c>
      <ns0:c r="K21" s="18" t="n">
        <ns0:v>9</ns0:v>
      </ns0:c>
      <ns0:c r="L21" s="18" t="n">
        <ns0:v>8</ns0:v>
      </ns0:c>
      <ns0:c r="M21" s="18" t="n">
        <ns0:v>6</ns0:v>
      </ns0:c>
      <ns0:c r="N21" s="18" t="n">
        <ns0:v>2</ns0:v>
      </ns0:c>
    </ns0:row>
    <ns0:row r="22" ht="24" customHeight="1" s="2">
      <ns0:c r="A22" s="8" t="inlineStr">
        <ns0:is>
          <ns0:t>office1</ns0:t>
        </ns0:is>
      </ns0:c>
      <ns0:c r="B22" s="8" t="inlineStr">
        <ns0:is>
          <ns0:t>main</ns0:t>
        </ns0:is>
      </ns0:c>
      <ns0:c r="C22" s="17" t="n">
        <ns0:v>17</ns0:v>
      </ns0:c>
      <ns0:c r="D22" s="17" t="n">
        <ns0:v>3337612</ns0:v>
      </ns0:c>
      <ns0:c r="E22" s="10" t="n">
        <ns0:v>0.1593304956</ns0:v>
      </ns0:c>
      <ns0:c r="F22" s="10" t="n">
        <ns0:v>0.3286892212</ns0:v>
      </ns0:c>
      <ns0:c r="G22" s="10" t="n">
        <ns0:v>0.1711366153</ns0:v>
      </ns0:c>
      <ns0:c r="H22" s="10" t="n">
        <ns0:v>0.1877934634</ns0:v>
      </ns0:c>
      <ns0:c r="I22" s="10" t="n">
        <ns0:v>0.1607530827</ns0:v>
      </ns0:c>
      <ns0:c r="J22" s="10" t="n">
        <ns0:v>0.2817065015</ns0:v>
      </ns0:c>
      <ns0:c r="K22" s="17" t="n">
        <ns0:v>3</ns0:v>
      </ns0:c>
      <ns0:c r="L22" s="17" t="n">
        <ns0:v>3</ns0:v>
      </ns0:c>
      <ns0:c r="M22" s="17" t="n">
        <ns0:v>3</ns0:v>
      </ns0:c>
      <ns0:c r="N22" s="17" t="n">
        <ns0:v>2</ns0:v>
      </ns0:c>
    </ns0:row>
    <ns0:row r="23" ht="24" customHeight="1" s="2">
      <ns0:c r="A23" s="12" t="inlineStr">
        <ns0:is>
          <ns0:t>office1</ns0:t>
        </ns0:is>
      </ns0:c>
      <ns0:c r="B23" s="12" t="inlineStr">
        <ns0:is>
          <ns0:t>ali-my</ns0:t>
        </ns0:is>
      </ns0:c>
      <ns0:c r="C23" s="18" t="n">
        <ns0:v>17</ns0:v>
      </ns0:c>
      <ns0:c r="D23" s="18" t="n">
        <ns0:v>3599614</ns0:v>
      </ns0:c>
      <ns0:c r="E23" s="13" t="n">
        <ns0:v>0.1641305266</ns0:v>
      </ns0:c>
      <ns0:c r="F23" s="13" t="n">
        <ns0:v>0.2992288228</ns0:v>
      </ns0:c>
      <ns0:c r="G23" s="13" t="n">
        <ns0:v>0.2151897616</ns0:v>
      </ns0:c>
      <ns0:c r="H23" s="13" t="n">
        <ns0:v>0.2075583866</ns0:v>
      </ns0:c>
      <ns0:c r="I23" s="13" t="n">
        <ns0:v>0.1176244277</ns0:v>
      </ns0:c>
      <ns0:c r="J23" s="13" t="n">
        <ns0:v>0.2989487206</ns0:v>
      </ns0:c>
      <ns0:c r="K23" s="18" t="n">
        <ns0:v>5</ns0:v>
      </ns0:c>
      <ns0:c r="L23" s="18" t="n">
        <ns0:v>4</ns0:v>
      </ns0:c>
      <ns0:c r="M23" s="18" t="n">
        <ns0:v>2</ns0:v>
      </ns0:c>
      <ns0:c r="N23" s="18" t="n">
        <ns0:v>1</ns0:v>
      </ns0:c>
    </ns0:row>
    <ns0:row r="24" ht="24" customHeight="1" s="2">
      <ns0:c r="A24" s="8" t="inlineStr">
        <ns0:is>
          <ns0:t>office2</ns0:t>
        </ns0:is>
      </ns0:c>
      <ns0:c r="B24" s="8" t="inlineStr">
        <ns0:is>
          <ns0:t>main</ns0:t>
        </ns0:is>
      </ns0:c>
      <ns0:c r="C24" s="17" t="n">
        <ns0:v>15</ns0:v>
      </ns0:c>
      <ns0:c r="D24" s="17" t="n">
        <ns0:v>3226799</ns0:v>
      </ns0:c>
      <ns0:c r="E24" s="10" t="n">
        <ns0:v>0.2609555056</ns0:v>
      </ns0:c>
      <ns0:c r="F24" s="10" t="n">
        <ns0:v>0.4048687055</ns0:v>
      </ns0:c>
      <ns0:c r="G24" s="10" t="n">
        <ns0:v>0.3867234863</ns0:v>
      </ns0:c>
      <ns0:c r="H24" s="10" t="n">
        <ns0:v>0.3144811585</ns0:v>
      </ns0:c>
      <ns0:c r="I24" s="10" t="n">
        <ns0:v>0.4096170869</ns0:v>
      </ns0:c>
      <ns0:c r="J24" s="10" t="n">
        <ns0:v>0.4270991159</ns0:v>
      </ns0:c>
      <ns0:c r="K24" s="17" t="n">
        <ns0:v>6</ns0:v>
      </ns0:c>
      <ns0:c r="L24" s="17" t="n">
        <ns0:v>6</ns0:v>
      </ns0:c>
      <ns0:c r="M24" s="17" t="n">
        <ns0:v>4</ns0:v>
      </ns0:c>
      <ns0:c r="N24" s="17" t="n">
        <ns0:v>2</ns0:v>
      </ns0:c>
    </ns0:row>
    <ns0:row r="25" ht="24" customHeight="1" s="2">
      <ns0:c r="A25" s="12" t="inlineStr">
        <ns0:is>
          <ns0:t>office2</ns0:t>
        </ns0:is>
      </ns0:c>
      <ns0:c r="B25" s="12" t="inlineStr">
        <ns0:is>
          <ns0:t>ali-my</ns0:t>
        </ns0:is>
      </ns0:c>
      <ns0:c r="C25" s="18" t="n">
        <ns0:v>15</ns0:v>
      </ns0:c>
      <ns0:c r="D25" s="18" t="n">
        <ns0:v>3226799</ns0:v>
      </ns0:c>
      <ns0:c r="E25" s="13" t="n">
        <ns0:v>0.3150275886</ns0:v>
      </ns0:c>
      <ns0:c r="F25" s="13" t="n">
        <ns0:v>0.5057562671</ns0:v>
      </ns0:c>
      <ns0:c r="G25" s="13" t="n">
        <ns0:v>0.3978656133</ns0:v>
      </ns0:c>
      <ns0:c r="H25" s="13" t="n">
        <ns0:v>0.3592426913</ns0:v>
      </ns0:c>
      <ns0:c r="I25" s="13" t="n">
        <ns0:v>0.6660015385</ns0:v>
      </ns0:c>
      <ns0:c r="J25" s="13" t="n">
        <ns0:v>0.7128002085</ns0:v>
      </ns0:c>
      <ns0:c r="K25" s="18" t="n">
        <ns0:v>7</ns0:v>
      </ns0:c>
      <ns0:c r="L25" s="18" t="n">
        <ns0:v>7</ns0:v>
      </ns0:c>
      <ns0:c r="M25" s="18" t="n">
        <ns0:v>5</ns0:v>
      </ns0:c>
      <ns0:c r="N25" s="18" t="n">
        <ns0:v>4</ns0:v>
      </ns0:c>
    </ns0:row>
    <ns0:row r="26" ht="24" customHeight="1" s="2">
      <ns0:c r="A26" s="8" t="inlineStr">
        <ns0:is>
          <ns0:t>office3</ns0:t>
        </ns0:is>
      </ns0:c>
      <ns0:c r="B26" s="8" t="inlineStr">
        <ns0:is>
          <ns0:t>main</ns0:t>
        </ns0:is>
      </ns0:c>
      <ns0:c r="C26" s="17" t="n">
        <ns0:v>21</ns0:v>
      </ns0:c>
      <ns0:c r="D26" s="17" t="n">
        <ns0:v>2792153</ns0:v>
      </ns0:c>
      <ns0:c r="E26" s="10" t="n">
        <ns0:v>0.2170651017</ns0:v>
      </ns0:c>
      <ns0:c r="F26" s="10" t="n">
        <ns0:v>0.3584372412</ns0:v>
      </ns0:c>
      <ns0:c r="G26" s="10" t="n">
        <ns0:v>0.2613259746</ns0:v>
      </ns0:c>
      <ns0:c r="H26" s="10" t="n">
        <ns0:v>0.2513868454</ns0:v>
      </ns0:c>
      <ns0:c r="I26" s="10" t="n">
        <ns0:v>0.3603587926</ns0:v>
      </ns0:c>
      <ns0:c r="J26" s="10" t="n">
        <ns0:v>0.4363632652</ns0:v>
      </ns0:c>
      <ns0:c r="K26" s="17" t="n">
        <ns0:v>7</ns0:v>
      </ns0:c>
      <ns0:c r="L26" s="17" t="n">
        <ns0:v>5</ns0:v>
      </ns0:c>
      <ns0:c r="M26" s="17" t="n">
        <ns0:v>5</ns0:v>
      </ns0:c>
      <ns0:c r="N26" s="17" t="n">
        <ns0:v>3</ns0:v>
      </ns0:c>
    </ns0:row>
    <ns0:row r="27" ht="24" customHeight="1" s="2">
      <ns0:c r="A27" s="12" t="inlineStr">
        <ns0:is>
          <ns0:t>office3</ns0:t>
        </ns0:is>
      </ns0:c>
      <ns0:c r="B27" s="12" t="inlineStr">
        <ns0:is>
          <ns0:t>ali-my</ns0:t>
        </ns0:is>
      </ns0:c>
      <ns0:c r="C27" s="18" t="n">
        <ns0:v>21</ns0:v>
      </ns0:c>
      <ns0:c r="D27" s="18" t="n">
        <ns0:v>2792153</ns0:v>
      </ns0:c>
      <ns0:c r="E27" s="13" t="n">
        <ns0:v>0.2342936323</ns0:v>
      </ns0:c>
      <ns0:c r="F27" s="13" t="n">
        <ns0:v>0.3578286996</ns0:v>
      </ns0:c>
      <ns0:c r="G27" s="13" t="n">
        <ns0:v>0.3391040579</ns0:v>
      </ns0:c>
      <ns0:c r="H27" s="13" t="n">
        <ns0:v>0.2699308008</ns0:v>
      </ns0:c>
      <ns0:c r="I27" s="13" t="n">
        <ns0:v>0.383625846</ns0:v>
      </ns0:c>
      <ns0:c r="J27" s="13" t="n">
        <ns0:v>0.4541194555</ns0:v>
      </ns0:c>
      <ns0:c r="K27" s="18" t="n">
        <ns0:v>7</ns0:v>
      </ns0:c>
      <ns0:c r="L27" s="18" t="n">
        <ns0:v>6</ns0:v>
      </ns0:c>
      <ns0:c r="M27" s="18" t="n">
        <ns0:v>5</ns0:v>
      </ns0:c>
      <ns0:c r="N27" s="18" t="n">
        <ns0:v>5</ns0:v>
      </ns0:c>
    </ns0:row>
    <ns0:row r="28" ht="24" customHeight="1" s="2">
      <ns0:c r="A28" s="8" t="inlineStr">
        <ns0:is>
          <ns0:t>office4</ns0:t>
        </ns0:is>
      </ns0:c>
      <ns0:c r="B28" s="8" t="inlineStr">
        <ns0:is>
          <ns0:t>main</ns0:t>
        </ns0:is>
      </ns0:c>
      <ns0:c r="C28" s="17" t="n">
        <ns0:v>10</ns0:v>
      </ns0:c>
      <ns0:c r="D28" s="17" t="n">
        <ns0:v>1071540</ns0:v>
      </ns0:c>
      <ns0:c r="E28" s="10" t="n">
        <ns0:v>0.4717025085</ns0:v>
      </ns0:c>
      <ns0:c r="F28" s="10" t="n">
        <ns0:v>0.6134180694</ns0:v>
      </ns0:c>
      <ns0:c r="G28" s="10" t="n">
        <ns0:v>0.5553286817</ns0:v>
      </ns0:c>
      <ns0:c r="H28" s="10" t="n">
        <ns0:v>0.5175774297</ns0:v>
      </ns0:c>
      <ns0:c r="I28" s="10" t="n">
        <ns0:v>0.4923006476</ns0:v>
      </ns0:c>
      <ns0:c r="J28" s="10" t="n">
        <ns0:v>0.5052559867</ns0:v>
      </ns0:c>
      <ns0:c r="K28" s="17" t="n">
        <ns0:v>6</ns0:v>
      </ns0:c>
      <ns0:c r="L28" s="17" t="n">
        <ns0:v>6</ns0:v>
      </ns0:c>
      <ns0:c r="M28" s="17" t="n">
        <ns0:v>5</ns0:v>
      </ns0:c>
      <ns0:c r="N28" s="17" t="n">
        <ns0:v>4</ns0:v>
      </ns0:c>
    </ns0:row>
    <ns0:row r="29" ht="24" customHeight="1" s="2">
      <ns0:c r="A29" s="12" t="inlineStr">
        <ns0:is>
          <ns0:t>office4</ns0:t>
        </ns0:is>
      </ns0:c>
      <ns0:c r="B29" s="12" t="inlineStr">
        <ns0:is>
          <ns0:t>ali-my</ns0:t>
        </ns0:is>
      </ns0:c>
      <ns0:c r="C29" s="18" t="n">
        <ns0:v>10</ns0:v>
      </ns0:c>
      <ns0:c r="D29" s="18" t="n">
        <ns0:v>1071540</ns0:v>
      </ns0:c>
      <ns0:c r="E29" s="13" t="n">
        <ns0:v>0.4942039138</ns0:v>
      </ns0:c>
      <ns0:c r="F29" s="13" t="n">
        <ns0:v>0.6232639782</ns0:v>
      </ns0:c>
      <ns0:c r="G29" s="13" t="n">
        <ns0:v>0.5703964193</ns0:v>
      </ns0:c>
      <ns0:c r="H29" s="13" t="n">
        <ns0:v>0.5320294632</ns0:v>
      </ns0:c>
      <ns0:c r="I29" s="13" t="n">
        <ns0:v>0.523726924</ns0:v>
      </ns0:c>
      <ns0:c r="J29" s="13" t="n">
        <ns0:v>0.5367928402</ns0:v>
      </ns0:c>
      <ns0:c r="K29" s="18" t="n">
        <ns0:v>6</ns0:v>
      </ns0:c>
      <ns0:c r="L29" s="18" t="n">
        <ns0:v>6</ns0:v>
      </ns0:c>
      <ns0:c r="M29" s="18" t="n">
        <ns0:v>5</ns0:v>
      </ns0:c>
      <ns0:c r="N29" s="18" t="n">
        <ns0:v>4</ns0:v>
      </ns0:c>
    </ns0:row>
  </ns0:sheetData>
  <ns0:mergeCells count="4">
    <ns0:mergeCell ref="A12:N12"/>
    <ns0:mergeCell ref="A4:N4"/>
    <ns0:mergeCell ref="A2:N2"/>
    <ns0:mergeCell ref="A1:N1"/>
  </ns0:mergeCells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1:J26"/>
  <ns0:sheetViews>
    <ns0:sheetView showGridLines="0" workbookViewId="0">
      <ns0:selection activeCell="A1" sqref="A1"/>
    </ns0:sheetView>
  </ns0:sheetViews>
  <ns0:sheetFormatPr baseColWidth="8" defaultColWidth="9" defaultRowHeight="14"/>
  <ns0:cols>
    <ns0:col width="16" customWidth="1" style="2" min="1" max="1"/>
    <ns0:col width="15" customWidth="1" style="2" min="2" max="2"/>
    <ns0:col width="12" customWidth="1" style="2" min="3" max="3"/>
    <ns0:col width="13" customWidth="1" style="2" min="4" max="4"/>
    <ns0:col width="13" customWidth="1" style="2" min="5" max="5"/>
    <ns0:col width="13" customWidth="1" style="2" min="6" max="6"/>
    <ns0:col width="12" customWidth="1" style="2" min="7" max="7"/>
    <ns0:col width="12" customWidth="1" style="2" min="8" max="8"/>
    <ns0:col width="12" customWidth="1" style="2" min="9" max="9"/>
    <ns0:col width="12" customWidth="1" style="2" min="10" max="10"/>
  </ns0:cols>
  <ns0:sheetData>
    <ns0:row r="1" ht="30" customHeight="1" s="2">
      <ns0:c r="A1" s="243" t="inlineStr">
        <ns0:is>
          <ns0:t>ReplicaSSG 对象识别：8 场景</ns0:t>
        </ns0:is>
      </ns0:c>
      <ns0:c r="B1" s="158" t="n"/>
      <ns0:c r="C1" s="158" t="n"/>
      <ns0:c r="D1" s="158" t="n"/>
      <ns0:c r="E1" s="158" t="n"/>
      <ns0:c r="F1" s="158" t="n"/>
      <ns0:c r="G1" s="158" t="n"/>
      <ns0:c r="H1" s="158" t="n"/>
      <ns0:c r="I1" s="158" t="n"/>
      <ns0:c r="J1" s="159" t="n"/>
    </ns0:row>
    <ns0:row r="2" ht="34" customHeight="1" s="2">
      <ns0:c r="A2" s="244" t="inlineStr">
        <ns0:is>
          <ns0:t>相同 GT、ViT-H-14 文本提示与几何匹配协议；mR 在出现类别并集上重算。论文没有报告这些指标。</ns0:t>
        </ns0:is>
      </ns0:c>
      <ns0:c r="B2" s="158" t="n"/>
      <ns0:c r="C2" s="158" t="n"/>
      <ns0:c r="D2" s="158" t="n"/>
      <ns0:c r="E2" s="158" t="n"/>
      <ns0:c r="F2" s="158" t="n"/>
      <ns0:c r="G2" s="158" t="n"/>
      <ns0:c r="H2" s="158" t="n"/>
      <ns0:c r="I2" s="158" t="n"/>
      <ns0:c r="J2" s="159" t="n"/>
    </ns0:row>
    <ns0:row r="3"/>
    <ns0:row r="4" ht="22" customHeight="1" s="2">
      <ns0:c r="A4" s="245" t="inlineStr">
        <ns0:is>
          <ns0:t>A. 8 场景池化</ns0:t>
        </ns0:is>
      </ns0:c>
      <ns0:c r="B4" s="158" t="n"/>
      <ns0:c r="C4" s="158" t="n"/>
      <ns0:c r="D4" s="158" t="n"/>
      <ns0:c r="E4" s="158" t="n"/>
      <ns0:c r="F4" s="158" t="n"/>
      <ns0:c r="G4" s="158" t="n"/>
      <ns0:c r="H4" s="158" t="n"/>
      <ns0:c r="I4" s="158" t="n"/>
      <ns0:c r="J4" s="159" t="n"/>
    </ns0:row>
    <ns0:row r="5" ht="30" customHeight="1" s="2">
      <ns0:c r="A5" s="7" t="inlineStr">
        <ns0:is>
          <ns0:t>方法</ns0:t>
        </ns0:is>
      </ns0:c>
      <ns0:c r="B5" s="7" t="inlineStr">
        <ns0:is>
          <ns0:t>GT对象</ns0:t>
        </ns0:is>
      </ns0:c>
      <ns0:c r="C5" s="7" t="inlineStr">
        <ns0:is>
          <ns0:t>预测对象</ns0:t>
        </ns0:is>
      </ns0:c>
      <ns0:c r="D5" s="7" t="inlineStr">
        <ns0:is>
          <ns0:t>几何匹配</ns0:t>
        </ns0:is>
      </ns0:c>
      <ns0:c r="E5" s="7" t="inlineStr">
        <ns0:is>
          <ns0:t>覆盖率</ns0:t>
        </ns0:is>
      </ns0:c>
      <ns0:c r="F5" s="7" t="inlineStr">
        <ns0:is>
          <ns0:t>R@1</ns0:t>
        </ns0:is>
      </ns0:c>
      <ns0:c r="G5" s="7" t="inlineStr">
        <ns0:is>
          <ns0:t>R@5</ns0:t>
        </ns0:is>
      </ns0:c>
      <ns0:c r="H5" s="7" t="inlineStr">
        <ns0:is>
          <ns0:t>mR@1</ns0:t>
        </ns0:is>
      </ns0:c>
      <ns0:c r="I5" s="7" t="inlineStr">
        <ns0:is>
          <ns0:t>mR@5</ns0:t>
        </ns0:is>
      </ns0:c>
      <ns0:c r="J5" s="7" t="inlineStr">
        <ns0:is>
          <ns0:t>出现类别</ns0:t>
        </ns0:is>
      </ns0:c>
    </ns0:row>
    <ns0:row r="6" ht="24" customHeight="1" s="2">
      <ns0:c r="A6" s="8" t="inlineStr">
        <ns0:is>
          <ns0:t>main</ns0:t>
        </ns0:is>
      </ns0:c>
      <ns0:c r="B6" s="17" t="n">
        <ns0:v>248</ns0:v>
      </ns0:c>
      <ns0:c r="C6" s="17" t="n">
        <ns0:v>612</ns0:v>
      </ns0:c>
      <ns0:c r="D6" s="17" t="n">
        <ns0:v>175</ns0:v>
      </ns0:c>
      <ns0:c r="E6" s="10" t="n">
        <ns0:v>0.7056</ns0:v>
      </ns0:c>
      <ns0:c r="F6" s="10" t="n">
        <ns0:v>0.2056</ns0:v>
      </ns0:c>
      <ns0:c r="G6" s="10" t="n">
        <ns0:v>0.5565</ns0:v>
      </ns0:c>
      <ns0:c r="H6" s="10" t="n">
        <ns0:v>0.3159</ns0:v>
      </ns0:c>
      <ns0:c r="I6" s="10" t="n">
        <ns0:v>0.546</ns0:v>
      </ns0:c>
      <ns0:c r="J6" s="17" t="n">
        <ns0:v>24</ns0:v>
      </ns0:c>
    </ns0:row>
    <ns0:row r="7" ht="24" customHeight="1" s="2">
      <ns0:c r="A7" s="12" t="inlineStr">
        <ns0:is>
          <ns0:t>ali-my</ns0:t>
        </ns0:is>
      </ns0:c>
      <ns0:c r="B7" s="18" t="n">
        <ns0:v>248</ns0:v>
      </ns0:c>
      <ns0:c r="C7" s="18" t="n">
        <ns0:v>381</ns0:v>
      </ns0:c>
      <ns0:c r="D7" s="18" t="n">
        <ns0:v>138</ns0:v>
      </ns0:c>
      <ns0:c r="E7" s="13" t="n">
        <ns0:v>0.5565</ns0:v>
      </ns0:c>
      <ns0:c r="F7" s="13" t="n">
        <ns0:v>0.1774</ns0:v>
      </ns0:c>
      <ns0:c r="G7" s="13" t="n">
        <ns0:v>0.4395</ns0:v>
      </ns0:c>
      <ns0:c r="H7" s="13" t="n">
        <ns0:v>0.3232</ns0:v>
      </ns0:c>
      <ns0:c r="I7" s="13" t="n">
        <ns0:v>0.553</ns0:v>
      </ns0:c>
      <ns0:c r="J7" s="18" t="n">
        <ns0:v>24</ns0:v>
      </ns0:c>
    </ns0:row>
    <ns0:row r="8"/>
    <ns0:row r="9" ht="22" customHeight="1" s="2">
      <ns0:c r="A9" s="245" t="inlineStr">
        <ns0:is>
          <ns0:t>B. 分场景</ns0:t>
        </ns0:is>
      </ns0:c>
      <ns0:c r="B9" s="158" t="n"/>
      <ns0:c r="C9" s="158" t="n"/>
      <ns0:c r="D9" s="158" t="n"/>
      <ns0:c r="E9" s="158" t="n"/>
      <ns0:c r="F9" s="158" t="n"/>
      <ns0:c r="G9" s="158" t="n"/>
      <ns0:c r="H9" s="158" t="n"/>
      <ns0:c r="I9" s="158" t="n"/>
      <ns0:c r="J9" s="159" t="n"/>
    </ns0:row>
    <ns0:row r="10" ht="30" customHeight="1" s="2">
      <ns0:c r="A10" s="7" t="inlineStr">
        <ns0:is>
          <ns0:t>场景</ns0:t>
        </ns0:is>
      </ns0:c>
      <ns0:c r="B10" s="7" t="inlineStr">
        <ns0:is>
          <ns0:t>方法</ns0:t>
        </ns0:is>
      </ns0:c>
      <ns0:c r="C10" s="7" t="inlineStr">
        <ns0:is>
          <ns0:t>GT对象</ns0:t>
        </ns0:is>
      </ns0:c>
      <ns0:c r="D10" s="7" t="inlineStr">
        <ns0:is>
          <ns0:t>预测对象</ns0:t>
        </ns0:is>
      </ns0:c>
      <ns0:c r="E10" s="7" t="inlineStr">
        <ns0:is>
          <ns0:t>几何匹配</ns0:t>
        </ns0:is>
      </ns0:c>
      <ns0:c r="F10" s="7" t="inlineStr">
        <ns0:is>
          <ns0:t>覆盖率</ns0:t>
        </ns0:is>
      </ns0:c>
      <ns0:c r="G10" s="7" t="inlineStr">
        <ns0:is>
          <ns0:t>R@1</ns0:t>
        </ns0:is>
      </ns0:c>
      <ns0:c r="H10" s="7" t="inlineStr">
        <ns0:is>
          <ns0:t>R@5</ns0:t>
        </ns0:is>
      </ns0:c>
      <ns0:c r="I10" s="7" t="inlineStr">
        <ns0:is>
          <ns0:t>mR@1</ns0:t>
        </ns0:is>
      </ns0:c>
      <ns0:c r="J10" s="7" t="inlineStr">
        <ns0:is>
          <ns0:t>mR@5</ns0:t>
        </ns0:is>
      </ns0:c>
    </ns0:row>
    <ns0:row r="11" ht="24" customHeight="1" s="2">
      <ns0:c r="A11" s="8" t="inlineStr">
        <ns0:is>
          <ns0:t>room0</ns0:t>
        </ns0:is>
      </ns0:c>
      <ns0:c r="B11" s="8" t="inlineStr">
        <ns0:is>
          <ns0:t>main</ns0:t>
        </ns0:is>
      </ns0:c>
      <ns0:c r="C11" s="17" t="n">
        <ns0:v>59</ns0:v>
      </ns0:c>
      <ns0:c r="D11" s="17" t="n">
        <ns0:v>75</ns0:v>
      </ns0:c>
      <ns0:c r="E11" s="17" t="n">
        <ns0:v>35</ns0:v>
      </ns0:c>
      <ns0:c r="F11" s="10" t="n">
        <ns0:v>0.5931999999999999</ns0:v>
      </ns0:c>
      <ns0:c r="G11" s="10" t="n">
        <ns0:v>0.2881</ns0:v>
      </ns0:c>
      <ns0:c r="H11" s="10" t="n">
        <ns0:v>0.4746</ns0:v>
      </ns0:c>
      <ns0:c r="I11" s="10" t="n">
        <ns0:v>0.3924</ns0:v>
      </ns0:c>
      <ns0:c r="J11" s="10" t="n">
        <ns0:v>0.5553</ns0:v>
      </ns0:c>
    </ns0:row>
    <ns0:row r="12" ht="24" customHeight="1" s="2">
      <ns0:c r="A12" s="12" t="inlineStr">
        <ns0:is>
          <ns0:t>room0</ns0:t>
        </ns0:is>
      </ns0:c>
      <ns0:c r="B12" s="12" t="inlineStr">
        <ns0:is>
          <ns0:t>ali-my</ns0:t>
        </ns0:is>
      </ns0:c>
      <ns0:c r="C12" s="18" t="n">
        <ns0:v>59</ns0:v>
      </ns0:c>
      <ns0:c r="D12" s="18" t="n">
        <ns0:v>72</ns0:v>
      </ns0:c>
      <ns0:c r="E12" s="18" t="n">
        <ns0:v>31</ns0:v>
      </ns0:c>
      <ns0:c r="F12" s="13" t="n">
        <ns0:v>0.5254</ns0:v>
      </ns0:c>
      <ns0:c r="G12" s="13" t="n">
        <ns0:v>0.2034</ns0:v>
      </ns0:c>
      <ns0:c r="H12" s="13" t="n">
        <ns0:v>0.339</ns0:v>
      </ns0:c>
      <ns0:c r="I12" s="13" t="n">
        <ns0:v>0.2741</ns0:v>
      </ns0:c>
      <ns0:c r="J12" s="13" t="n">
        <ns0:v>0.4747</ns0:v>
      </ns0:c>
    </ns0:row>
    <ns0:row r="13" ht="24" customHeight="1" s="2">
      <ns0:c r="A13" s="8" t="inlineStr">
        <ns0:is>
          <ns0:t>room1</ns0:t>
        </ns0:is>
      </ns0:c>
      <ns0:c r="B13" s="8" t="inlineStr">
        <ns0:is>
          <ns0:t>main</ns0:t>
        </ns0:is>
      </ns0:c>
      <ns0:c r="C13" s="17" t="n">
        <ns0:v>30</ns0:v>
      </ns0:c>
      <ns0:c r="D13" s="17" t="n">
        <ns0:v>68</ns0:v>
      </ns0:c>
      <ns0:c r="E13" s="17" t="n">
        <ns0:v>20</ns0:v>
      </ns0:c>
      <ns0:c r="F13" s="10" t="n">
        <ns0:v>0.6667</ns0:v>
      </ns0:c>
      <ns0:c r="G13" s="10" t="n">
        <ns0:v>0.3333</ns0:v>
      </ns0:c>
      <ns0:c r="H13" s="10" t="n">
        <ns0:v>0.5667</ns0:v>
      </ns0:c>
      <ns0:c r="I13" s="10" t="n">
        <ns0:v>0.4246</ns0:v>
      </ns0:c>
      <ns0:c r="J13" s="10" t="n">
        <ns0:v>0.629</ns0:v>
      </ns0:c>
    </ns0:row>
    <ns0:row r="14" ht="24" customHeight="1" s="2">
      <ns0:c r="A14" s="12" t="inlineStr">
        <ns0:is>
          <ns0:t>room1</ns0:t>
        </ns0:is>
      </ns0:c>
      <ns0:c r="B14" s="12" t="inlineStr">
        <ns0:is>
          <ns0:t>ali-my</ns0:t>
        </ns0:is>
      </ns0:c>
      <ns0:c r="C14" s="18" t="n">
        <ns0:v>30</ns0:v>
      </ns0:c>
      <ns0:c r="D14" s="18" t="n">
        <ns0:v>54</ns0:v>
      </ns0:c>
      <ns0:c r="E14" s="18" t="n">
        <ns0:v>13</ns0:v>
      </ns0:c>
      <ns0:c r="F14" s="13" t="n">
        <ns0:v>0.4333</ns0:v>
      </ns0:c>
      <ns0:c r="G14" s="13" t="n">
        <ns0:v>0.2</ns0:v>
      </ns0:c>
      <ns0:c r="H14" s="13" t="n">
        <ns0:v>0.3333</ns0:v>
      </ns0:c>
      <ns0:c r="I14" s="13" t="n">
        <ns0:v>0.3611</ns0:v>
      </ns0:c>
      <ns0:c r="J14" s="13" t="n">
        <ns0:v>0.498</ns0:v>
      </ns0:c>
    </ns0:row>
    <ns0:row r="15" ht="24" customHeight="1" s="2">
      <ns0:c r="A15" s="8" t="inlineStr">
        <ns0:is>
          <ns0:t>room2</ns0:t>
        </ns0:is>
      </ns0:c>
      <ns0:c r="B15" s="8" t="inlineStr">
        <ns0:is>
          <ns0:t>main</ns0:t>
        </ns0:is>
      </ns0:c>
      <ns0:c r="C15" s="17" t="n">
        <ns0:v>40</ns0:v>
      </ns0:c>
      <ns0:c r="D15" s="17" t="n">
        <ns0:v>78</ns0:v>
      </ns0:c>
      <ns0:c r="E15" s="17" t="n">
        <ns0:v>23</ns0:v>
      </ns0:c>
      <ns0:c r="F15" s="10" t="n">
        <ns0:v>0.575</ns0:v>
      </ns0:c>
      <ns0:c r="G15" s="10" t="n">
        <ns0:v>0.1</ns0:v>
      </ns0:c>
      <ns0:c r="H15" s="10" t="n">
        <ns0:v>0.425</ns0:v>
      </ns0:c>
      <ns0:c r="I15" s="10" t="n">
        <ns0:v>0.2077</ns0:v>
      </ns0:c>
      <ns0:c r="J15" s="10" t="n">
        <ns0:v>0.4436</ns0:v>
      </ns0:c>
    </ns0:row>
    <ns0:row r="16" ht="24" customHeight="1" s="2">
      <ns0:c r="A16" s="12" t="inlineStr">
        <ns0:is>
          <ns0:t>room2</ns0:t>
        </ns0:is>
      </ns0:c>
      <ns0:c r="B16" s="12" t="inlineStr">
        <ns0:is>
          <ns0:t>ali-my</ns0:t>
        </ns0:is>
      </ns0:c>
      <ns0:c r="C16" s="18" t="n">
        <ns0:v>40</ns0:v>
      </ns0:c>
      <ns0:c r="D16" s="18" t="n">
        <ns0:v>49</ns0:v>
      </ns0:c>
      <ns0:c r="E16" s="18" t="n">
        <ns0:v>19</ns0:v>
      </ns0:c>
      <ns0:c r="F16" s="13" t="n">
        <ns0:v>0.475</ns0:v>
      </ns0:c>
      <ns0:c r="G16" s="13" t="n">
        <ns0:v>0.1</ns0:v>
      </ns0:c>
      <ns0:c r="H16" s="13" t="n">
        <ns0:v>0.375</ns0:v>
      </ns0:c>
      <ns0:c r="I16" s="13" t="n">
        <ns0:v>0.2692</ns0:v>
      </ns0:c>
      <ns0:c r="J16" s="13" t="n">
        <ns0:v>0.4538</ns0:v>
      </ns0:c>
    </ns0:row>
    <ns0:row r="17" ht="24" customHeight="1" s="2">
      <ns0:c r="A17" s="8" t="inlineStr">
        <ns0:is>
          <ns0:t>office0</ns0:t>
        </ns0:is>
      </ns0:c>
      <ns0:c r="B17" s="8" t="inlineStr">
        <ns0:is>
          <ns0:t>main</ns0:t>
        </ns0:is>
      </ns0:c>
      <ns0:c r="C17" s="17" t="n">
        <ns0:v>15</ns0:v>
      </ns0:c>
      <ns0:c r="D17" s="17" t="n">
        <ns0:v>79</ns0:v>
      </ns0:c>
      <ns0:c r="E17" s="17" t="n">
        <ns0:v>12</ns0:v>
      </ns0:c>
      <ns0:c r="F17" s="10" t="n">
        <ns0:v>0.8</ns0:v>
      </ns0:c>
      <ns0:c r="G17" s="10" t="n">
        <ns0:v>0.2</ns0:v>
      </ns0:c>
      <ns0:c r="H17" s="10" t="n">
        <ns0:v>0.5333</ns0:v>
      </ns0:c>
      <ns0:c r="I17" s="10" t="n">
        <ns0:v>0.3333</ns0:v>
      </ns0:c>
      <ns0:c r="J17" s="10" t="n">
        <ns0:v>0.5</ns0:v>
      </ns0:c>
    </ns0:row>
    <ns0:row r="18" ht="24" customHeight="1" s="2">
      <ns0:c r="A18" s="12" t="inlineStr">
        <ns0:is>
          <ns0:t>office0</ns0:t>
        </ns0:is>
      </ns0:c>
      <ns0:c r="B18" s="12" t="inlineStr">
        <ns0:is>
          <ns0:t>ali-my</ns0:t>
        </ns0:is>
      </ns0:c>
      <ns0:c r="C18" s="18" t="n">
        <ns0:v>15</ns0:v>
      </ns0:c>
      <ns0:c r="D18" s="18" t="n">
        <ns0:v>35</ns0:v>
      </ns0:c>
      <ns0:c r="E18" s="18" t="n">
        <ns0:v>11</ns0:v>
      </ns0:c>
      <ns0:c r="F18" s="13" t="n">
        <ns0:v>0.7333</ns0:v>
      </ns0:c>
      <ns0:c r="G18" s="13" t="n">
        <ns0:v>0.1333</ns0:v>
      </ns0:c>
      <ns0:c r="H18" s="13" t="n">
        <ns0:v>0.5333</ns0:v>
      </ns0:c>
      <ns0:c r="I18" s="13" t="n">
        <ns0:v>0.2222</ns0:v>
      </ns0:c>
      <ns0:c r="J18" s="13" t="n">
        <ns0:v>0.5</ns0:v>
      </ns0:c>
    </ns0:row>
    <ns0:row r="19" ht="24" customHeight="1" s="2">
      <ns0:c r="A19" s="8" t="inlineStr">
        <ns0:is>
          <ns0:t>office1</ns0:t>
        </ns0:is>
      </ns0:c>
      <ns0:c r="B19" s="8" t="inlineStr">
        <ns0:is>
          <ns0:t>main</ns0:t>
        </ns0:is>
      </ns0:c>
      <ns0:c r="C19" s="17" t="n">
        <ns0:v>11</ns0:v>
      </ns0:c>
      <ns0:c r="D19" s="17" t="n">
        <ns0:v>55</ns0:v>
      </ns0:c>
      <ns0:c r="E19" s="17" t="n">
        <ns0:v>8</ns0:v>
      </ns0:c>
      <ns0:c r="F19" s="10" t="n">
        <ns0:v>0.7272999999999999</ns0:v>
      </ns0:c>
      <ns0:c r="G19" s="10" t="n">
        <ns0:v>0.2727</ns0:v>
      </ns0:c>
      <ns0:c r="H19" s="10" t="n">
        <ns0:v>0.4545</ns0:v>
      </ns0:c>
      <ns0:c r="I19" s="10" t="n">
        <ns0:v>0.2778</ns0:v>
      </ns0:c>
      <ns0:c r="J19" s="10" t="n">
        <ns0:v>0.4444</ns0:v>
      </ns0:c>
    </ns0:row>
    <ns0:row r="20" ht="24" customHeight="1" s="2">
      <ns0:c r="A20" s="12" t="inlineStr">
        <ns0:is>
          <ns0:t>office1</ns0:t>
        </ns0:is>
      </ns0:c>
      <ns0:c r="B20" s="12" t="inlineStr">
        <ns0:is>
          <ns0:t>ali-my</ns0:t>
        </ns0:is>
      </ns0:c>
      <ns0:c r="C20" s="18" t="n">
        <ns0:v>11</ns0:v>
      </ns0:c>
      <ns0:c r="D20" s="18" t="n">
        <ns0:v>25</ns0:v>
      </ns0:c>
      <ns0:c r="E20" s="18" t="n">
        <ns0:v>7</ns0:v>
      </ns0:c>
      <ns0:c r="F20" s="13" t="n">
        <ns0:v>0.6364</ns0:v>
      </ns0:c>
      <ns0:c r="G20" s="13" t="n">
        <ns0:v>0.3636</ns0:v>
      </ns0:c>
      <ns0:c r="H20" s="13" t="n">
        <ns0:v>0.6364</ns0:v>
      </ns0:c>
      <ns0:c r="I20" s="13" t="n">
        <ns0:v>0.3333</ns0:v>
      </ns0:c>
      <ns0:c r="J20" s="13" t="n">
        <ns0:v>0.6667</ns0:v>
      </ns0:c>
    </ns0:row>
    <ns0:row r="21" ht="24" customHeight="1" s="2">
      <ns0:c r="A21" s="8" t="inlineStr">
        <ns0:is>
          <ns0:t>office2</ns0:t>
        </ns0:is>
      </ns0:c>
      <ns0:c r="B21" s="8" t="inlineStr">
        <ns0:is>
          <ns0:t>main</ns0:t>
        </ns0:is>
      </ns0:c>
      <ns0:c r="C21" s="17" t="n">
        <ns0:v>29</ns0:v>
      </ns0:c>
      <ns0:c r="D21" s="17" t="n">
        <ns0:v>81</ns0:v>
      </ns0:c>
      <ns0:c r="E21" s="17" t="n">
        <ns0:v>26</ns0:v>
      </ns0:c>
      <ns0:c r="F21" s="10" t="n">
        <ns0:v>0.8966</ns0:v>
      </ns0:c>
      <ns0:c r="G21" s="10" t="n">
        <ns0:v>0.2759</ns0:v>
      </ns0:c>
      <ns0:c r="H21" s="10" t="n">
        <ns0:v>0.6552</ns0:v>
      </ns0:c>
      <ns0:c r="I21" s="10" t="n">
        <ns0:v>0.2963</ns0:v>
      </ns0:c>
      <ns0:c r="J21" s="10" t="n">
        <ns0:v>0.5556</ns0:v>
      </ns0:c>
    </ns0:row>
    <ns0:row r="22" ht="24" customHeight="1" s="2">
      <ns0:c r="A22" s="12" t="inlineStr">
        <ns0:is>
          <ns0:t>office2</ns0:t>
        </ns0:is>
      </ns0:c>
      <ns0:c r="B22" s="12" t="inlineStr">
        <ns0:is>
          <ns0:t>ali-my</ns0:t>
        </ns0:is>
      </ns0:c>
      <ns0:c r="C22" s="18" t="n">
        <ns0:v>29</ns0:v>
      </ns0:c>
      <ns0:c r="D22" s="18" t="n">
        <ns0:v>45</ns0:v>
      </ns0:c>
      <ns0:c r="E22" s="18" t="n">
        <ns0:v>15</ns0:v>
      </ns0:c>
      <ns0:c r="F22" s="13" t="n">
        <ns0:v>0.5172</ns0:v>
      </ns0:c>
      <ns0:c r="G22" s="13" t="n">
        <ns0:v>0.2069</ns0:v>
      </ns0:c>
      <ns0:c r="H22" s="13" t="n">
        <ns0:v>0.4828</ns0:v>
      </ns0:c>
      <ns0:c r="I22" s="13" t="n">
        <ns0:v>0.3111</ns0:v>
      </ns0:c>
      <ns0:c r="J22" s="13" t="n">
        <ns0:v>0.484</ns0:v>
      </ns0:c>
    </ns0:row>
    <ns0:row r="23" ht="24" customHeight="1" s="2">
      <ns0:c r="A23" s="8" t="inlineStr">
        <ns0:is>
          <ns0:t>office3</ns0:t>
        </ns0:is>
      </ns0:c>
      <ns0:c r="B23" s="8" t="inlineStr">
        <ns0:is>
          <ns0:t>main</ns0:t>
        </ns0:is>
      </ns0:c>
      <ns0:c r="C23" s="17" t="n">
        <ns0:v>42</ns0:v>
      </ns0:c>
      <ns0:c r="D23" s="17" t="n">
        <ns0:v>97</ns0:v>
      </ns0:c>
      <ns0:c r="E23" s="17" t="n">
        <ns0:v>31</ns0:v>
      </ns0:c>
      <ns0:c r="F23" s="10" t="n">
        <ns0:v>0.7381</ns0:v>
      </ns0:c>
      <ns0:c r="G23" s="10" t="n">
        <ns0:v>0.07140000000000001</ns0:v>
      </ns0:c>
      <ns0:c r="H23" s="10" t="n">
        <ns0:v>0.6667</ns0:v>
      </ns0:c>
      <ns0:c r="I23" s="10" t="n">
        <ns0:v>0.125</ns0:v>
      </ns0:c>
      <ns0:c r="J23" s="10" t="n">
        <ns0:v>0.6952</ns0:v>
      </ns0:c>
    </ns0:row>
    <ns0:row r="24" ht="24" customHeight="1" s="2">
      <ns0:c r="A24" s="12" t="inlineStr">
        <ns0:is>
          <ns0:t>office3</ns0:t>
        </ns0:is>
      </ns0:c>
      <ns0:c r="B24" s="12" t="inlineStr">
        <ns0:is>
          <ns0:t>ali-my</ns0:t>
        </ns0:is>
      </ns0:c>
      <ns0:c r="C24" s="18" t="n">
        <ns0:v>42</ns0:v>
      </ns0:c>
      <ns0:c r="D24" s="18" t="n">
        <ns0:v>57</ns0:v>
      </ns0:c>
      <ns0:c r="E24" s="18" t="n">
        <ns0:v>25</ns0:v>
      </ns0:c>
      <ns0:c r="F24" s="13" t="n">
        <ns0:v>0.5952</ns0:v>
      </ns0:c>
      <ns0:c r="G24" s="13" t="n">
        <ns0:v>0.119</ns0:v>
      </ns0:c>
      <ns0:c r="H24" s="13" t="n">
        <ns0:v>0.5</ns0:v>
      </ns0:c>
      <ns0:c r="I24" s="13" t="n">
        <ns0:v>0.1667</ns0:v>
      </ns0:c>
      <ns0:c r="J24" s="13" t="n">
        <ns0:v>0.4404</ns0:v>
      </ns0:c>
    </ns0:row>
    <ns0:row r="25" ht="24" customHeight="1" s="2">
      <ns0:c r="A25" s="8" t="inlineStr">
        <ns0:is>
          <ns0:t>office4</ns0:t>
        </ns0:is>
      </ns0:c>
      <ns0:c r="B25" s="8" t="inlineStr">
        <ns0:is>
          <ns0:t>main</ns0:t>
        </ns0:is>
      </ns0:c>
      <ns0:c r="C25" s="17" t="n">
        <ns0:v>22</ns0:v>
      </ns0:c>
      <ns0:c r="D25" s="17" t="n">
        <ns0:v>79</ns0:v>
      </ns0:c>
      <ns0:c r="E25" s="17" t="n">
        <ns0:v>20</ns0:v>
      </ns0:c>
      <ns0:c r="F25" s="10" t="n">
        <ns0:v>0.9091</ns0:v>
      </ns0:c>
      <ns0:c r="G25" s="10" t="n">
        <ns0:v>0.1364</ns0:v>
      </ns0:c>
      <ns0:c r="H25" s="10" t="n">
        <ns0:v>0.7272999999999999</ns0:v>
      </ns0:c>
      <ns0:c r="I25" s="10" t="n">
        <ns0:v>0.375</ns0:v>
      </ns0:c>
      <ns0:c r="J25" s="10" t="n">
        <ns0:v>0.7438</ns0:v>
      </ns0:c>
    </ns0:row>
    <ns0:row r="26" ht="24" customHeight="1" s="2">
      <ns0:c r="A26" s="12" t="inlineStr">
        <ns0:is>
          <ns0:t>office4</ns0:t>
        </ns0:is>
      </ns0:c>
      <ns0:c r="B26" s="12" t="inlineStr">
        <ns0:is>
          <ns0:t>ali-my</ns0:t>
        </ns0:is>
      </ns0:c>
      <ns0:c r="C26" s="18" t="n">
        <ns0:v>22</ns0:v>
      </ns0:c>
      <ns0:c r="D26" s="18" t="n">
        <ns0:v>44</ns0:v>
      </ns0:c>
      <ns0:c r="E26" s="18" t="n">
        <ns0:v>17</ns0:v>
      </ns0:c>
      <ns0:c r="F26" s="13" t="n">
        <ns0:v>0.7727000000000001</ns0:v>
      </ns0:c>
      <ns0:c r="G26" s="13" t="n">
        <ns0:v>0.2273</ns0:v>
      </ns0:c>
      <ns0:c r="H26" s="13" t="n">
        <ns0:v>0.6364</ns0:v>
      </ns0:c>
      <ns0:c r="I26" s="13" t="n">
        <ns0:v>0.5125</ns0:v>
      </ns0:c>
      <ns0:c r="J26" s="13" t="n">
        <ns0:v>0.7438</ns0:v>
      </ns0:c>
    </ns0:row>
  </ns0:sheetData>
  <ns0:mergeCells count="4">
    <ns0:mergeCell ref="A1:J1"/>
    <ns0:mergeCell ref="A4:J4"/>
    <ns0:mergeCell ref="A9:J9"/>
    <ns0:mergeCell ref="A2:J2"/>
  </ns0:mergeCells>
  <ns0:pageMargins left="0.7" right="0.7" top="0.75" bottom="0.75" header="0.3" footer="0.3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1:J52"/>
  <ns0:sheetViews>
    <ns0:sheetView showGridLines="0" workbookViewId="0">
      <ns0:selection activeCell="A1" sqref="A1"/>
    </ns0:sheetView>
  </ns0:sheetViews>
  <ns0:sheetFormatPr baseColWidth="8" defaultRowHeight="15"/>
  <ns0:cols>
    <ns0:col width="28" customWidth="1" style="2" min="1" max="1"/>
    <ns0:col width="13" customWidth="1" style="2" min="2" max="2"/>
    <ns0:col width="13" customWidth="1" style="2" min="3" max="3"/>
    <ns0:col width="15" customWidth="1" style="2" min="4" max="4"/>
    <ns0:col width="18" customWidth="1" style="2" min="5" max="5"/>
    <ns0:col width="13" customWidth="1" style="2" min="6" max="6"/>
    <ns0:col width="13" customWidth="1" style="2" min="7" max="7"/>
    <ns0:col width="13" customWidth="1" style="2" min="8" max="8"/>
    <ns0:col width="42" customWidth="1" style="2" min="9" max="9"/>
    <ns0:col width="14" customWidth="1" style="2" min="10" max="10"/>
  </ns0:cols>
  <ns0:sheetData>
    <ns0:row r="1" ht="30" customHeight="1" s="2">
      <ns0:c r="A1" s="243" t="inlineStr">
        <ns0:is>
          <ns0:t>关系边与 ReplicaSSG 指标</ns0:t>
        </ns0:is>
      </ns0:c>
      <ns0:c r="B1" s="158" t="n"/>
      <ns0:c r="C1" s="158" t="n"/>
      <ns0:c r="D1" s="158" t="n"/>
      <ns0:c r="E1" s="158" t="n"/>
      <ns0:c r="F1" s="158" t="n"/>
      <ns0:c r="G1" s="158" t="n"/>
      <ns0:c r="H1" s="158" t="n"/>
      <ns0:c r="I1" s="158" t="n"/>
      <ns0:c r="J1" s="159" t="n"/>
    </ns0:row>
    <ns0:row r="2" ht="34" customHeight="1" s="2">
      <ns0:c r="A2" s="244" t="inlineStr">
        <ns0:is>
          <ns0:t>区分严格 ali-dev room0、ali-dev 关系系统在 ali-my 对齐底图上的 8 场景结果，以及 make_edges-compatible 非空正式流。</ns0:t>
        </ns0:is>
      </ns0:c>
      <ns0:c r="B2" s="158" t="n"/>
      <ns0:c r="C2" s="158" t="n"/>
      <ns0:c r="D2" s="158" t="n"/>
      <ns0:c r="E2" s="158" t="n"/>
      <ns0:c r="F2" s="158" t="n"/>
      <ns0:c r="G2" s="158" t="n"/>
      <ns0:c r="H2" s="158" t="n"/>
      <ns0:c r="I2" s="158" t="n"/>
      <ns0:c r="J2" s="159" t="n"/>
    </ns0:row>
    <ns0:row r="3"/>
    <ns0:row r="4" ht="22" customHeight="1" s="2">
      <ns0:c r="A4" s="245" t="inlineStr">
        <ns0:is>
          <ns0:t>A. 8 场景排名指标</ns0:t>
        </ns0:is>
      </ns0:c>
      <ns0:c r="B4" s="158" t="n"/>
      <ns0:c r="C4" s="158" t="n"/>
      <ns0:c r="D4" s="158" t="n"/>
      <ns0:c r="E4" s="158" t="n"/>
      <ns0:c r="F4" s="158" t="n"/>
      <ns0:c r="G4" s="158" t="n"/>
      <ns0:c r="H4" s="158" t="n"/>
      <ns0:c r="I4" s="158" t="n"/>
      <ns0:c r="J4" s="159" t="n"/>
    </ns0:row>
    <ns0:row r="5" ht="30" customHeight="1" s="2">
      <ns0:c r="A5" s="7" t="inlineStr">
        <ns0:is>
          <ns0:t>范围</ns0:t>
        </ns0:is>
      </ns0:c>
      <ns0:c r="B5" s="7" t="inlineStr">
        <ns0:is>
          <ns0:t>GT关系</ns0:t>
        </ns0:is>
      </ns0:c>
      <ns0:c r="C5" s="7" t="inlineStr">
        <ns0:is>
          <ns0:t>端点匹配</ns0:t>
        </ns0:is>
      </ns0:c>
      <ns0:c r="D5" s="7" t="inlineStr">
        <ns0:is>
          <ns0:t>候选覆盖</ns0:t>
        </ns0:is>
      </ns0:c>
      <ns0:c r="E5" s="7" t="inlineStr">
        <ns0:is>
          <ns0:t>R@1</ns0:t>
        </ns0:is>
      </ns0:c>
      <ns0:c r="F5" s="7" t="inlineStr">
        <ns0:is>
          <ns0:t>R@3</ns0:t>
        </ns0:is>
      </ns0:c>
      <ns0:c r="G5" s="7" t="inlineStr">
        <ns0:is>
          <ns0:t>mR@1</ns0:t>
        </ns0:is>
      </ns0:c>
      <ns0:c r="H5" s="7" t="inlineStr">
        <ns0:is>
          <ns0:t>mR@3</ns0:t>
        </ns0:is>
      </ns0:c>
      <ns0:c r="I5" s="7" t="inlineStr">
        <ns0:is>
          <ns0:t>条件R@1</ns0:t>
        </ns0:is>
      </ns0:c>
      <ns0:c r="J5" s="7" t="inlineStr">
        <ns0:is>
          <ns0:t>条件R@3</ns0:t>
        </ns0:is>
      </ns0:c>
    </ns0:row>
    <ns0:row r="6" ht="24" customHeight="1" s="2">
      <ns0:c r="A6" s="8" t="inlineStr">
        <ns0:is>
          <ns0:t>全部8场景</ns0:t>
        </ns0:is>
      </ns0:c>
      <ns0:c r="B6" s="17" t="n">
        <ns0:v>149</ns0:v>
      </ns0:c>
      <ns0:c r="C6" s="17" t="n">
        <ns0:v>121</ns0:v>
      </ns0:c>
      <ns0:c r="D6" s="17" t="n">
        <ns0:v>121</ns0:v>
      </ns0:c>
      <ns0:c r="E6" s="10" t="n">
        <ns0:v>0.5503</ns0:v>
      </ns0:c>
      <ns0:c r="F6" s="10" t="n">
        <ns0:v>0.7315</ns0:v>
      </ns0:c>
      <ns0:c r="G6" s="10" t="n">
        <ns0:v>0.1918</ns0:v>
      </ns0:c>
      <ns0:c r="H6" s="10" t="n">
        <ns0:v>0.3296</ns0:v>
      </ns0:c>
      <ns0:c r="I6" s="10" t="n">
        <ns0:v>0.6777</ns0:v>
      </ns0:c>
      <ns0:c r="J6" s="10" t="n">
        <ns0:v>0.9008</ns0:v>
      </ns0:c>
    </ns0:row>
    <ns0:row r="7" ht="24" customHeight="1" s="2">
      <ns0:c r="A7" s="12" t="inlineStr">
        <ns0:is>
          <ns0:t>开发集 room0+office0</ns0:t>
        </ns0:is>
      </ns0:c>
      <ns0:c r="B7" s="18" t="n">
        <ns0:v>41</ns0:v>
      </ns0:c>
      <ns0:c r="C7" s="18" t="n">
        <ns0:v>31</ns0:v>
      </ns0:c>
      <ns0:c r="D7" s="18" t="n">
        <ns0:v>31</ns0:v>
      </ns0:c>
      <ns0:c r="E7" s="13" t="n">
        <ns0:v>0.4878</ns0:v>
      </ns0:c>
      <ns0:c r="F7" s="13" t="n">
        <ns0:v>0.5854</ns0:v>
      </ns0:c>
      <ns0:c r="G7" s="13" t="n">
        <ns0:v>0.1786</ns0:v>
      </ns0:c>
      <ns0:c r="H7" s="13" t="n">
        <ns0:v>0.3393</ns0:v>
      </ns0:c>
      <ns0:c r="I7" s="15" t="n"/>
      <ns0:c r="J7" s="15" t="n"/>
    </ns0:row>
    <ns0:row r="8" ht="24" customHeight="1" s="2">
      <ns0:c r="A8" s="8" t="inlineStr">
        <ns0:is>
          <ns0:t>留出6场景</ns0:t>
        </ns0:is>
      </ns0:c>
      <ns0:c r="B8" s="17" t="n">
        <ns0:v>108</ns0:v>
      </ns0:c>
      <ns0:c r="C8" s="17" t="n">
        <ns0:v>90</ns0:v>
      </ns0:c>
      <ns0:c r="D8" s="17" t="n">
        <ns0:v>90</ns0:v>
      </ns0:c>
      <ns0:c r="E8" s="10" t="n">
        <ns0:v>0.5741000000000001</ns0:v>
      </ns0:c>
      <ns0:c r="F8" s="10" t="n">
        <ns0:v>0.787</ns0:v>
      </ns0:c>
      <ns0:c r="G8" s="10" t="n">
        <ns0:v>0.3319</ns0:v>
      </ns0:c>
      <ns0:c r="H8" s="10" t="n">
        <ns0:v>0.5683</ns0:v>
      </ns0:c>
      <ns0:c r="I8" s="9" t="n"/>
      <ns0:c r="J8" s="9" t="n"/>
    </ns0:row>
    <ns0:row r="9"/>
    <ns0:row r="10" ht="22" customHeight="1" s="2">
      <ns0:c r="A10" s="245" t="inlineStr">
        <ns0:is>
          <ns0:t>B. 分场景排名（0.99 边另见下表）</ns0:t>
        </ns0:is>
      </ns0:c>
      <ns0:c r="B10" s="158" t="n"/>
      <ns0:c r="C10" s="158" t="n"/>
      <ns0:c r="D10" s="158" t="n"/>
      <ns0:c r="E10" s="158" t="n"/>
      <ns0:c r="F10" s="158" t="n"/>
      <ns0:c r="G10" s="158" t="n"/>
      <ns0:c r="H10" s="158" t="n"/>
      <ns0:c r="I10" s="158" t="n"/>
      <ns0:c r="J10" s="159" t="n"/>
    </ns0:row>
    <ns0:row r="11" ht="30" customHeight="1" s="2">
      <ns0:c r="A11" s="7" t="inlineStr">
        <ns0:is>
          <ns0:t>场景</ns0:t>
        </ns0:is>
      </ns0:c>
      <ns0:c r="B11" s="7" t="inlineStr">
        <ns0:is>
          <ns0:t>GT</ns0:t>
        </ns0:is>
      </ns0:c>
      <ns0:c r="C11" s="7" t="inlineStr">
        <ns0:is>
          <ns0:t>端点</ns0:t>
        </ns0:is>
      </ns0:c>
      <ns0:c r="D11" s="7" t="inlineStr">
        <ns0:is>
          <ns0:t>候选</ns0:t>
        </ns0:is>
      </ns0:c>
      <ns0:c r="E11" s="7" t="inlineStr">
        <ns0:is>
          <ns0:t>R@1</ns0:t>
        </ns0:is>
      </ns0:c>
      <ns0:c r="F11" s="7" t="inlineStr">
        <ns0:is>
          <ns0:t>R@3</ns0:t>
        </ns0:is>
      </ns0:c>
      <ns0:c r="G11" s="7" t="inlineStr">
        <ns0:is>
          <ns0:t>mR@1</ns0:t>
        </ns0:is>
      </ns0:c>
      <ns0:c r="H11" s="7" t="inlineStr">
        <ns0:is>
          <ns0:t>mR@3</ns0:t>
        </ns0:is>
      </ns0:c>
      <ns0:c r="I11" s="7" t="inlineStr">
        <ns0:is>
          <ns0:t>paper边</ns0:t>
        </ns0:is>
      </ns0:c>
      <ns0:c r="J11" s="7" t="inlineStr">
        <ns0:is>
          <ns0:t>TP</ns0:t>
        </ns0:is>
      </ns0:c>
    </ns0:row>
    <ns0:row r="12" ht="24" customHeight="1" s="2">
      <ns0:c r="A12" s="8" t="inlineStr">
        <ns0:is>
          <ns0:t>office0</ns0:t>
        </ns0:is>
      </ns0:c>
      <ns0:c r="B12" s="17" t="n">
        <ns0:v>16</ns0:v>
      </ns0:c>
      <ns0:c r="C12" s="17" t="n">
        <ns0:v>15</ns0:v>
      </ns0:c>
      <ns0:c r="D12" s="17" t="n">
        <ns0:v>15</ns0:v>
      </ns0:c>
      <ns0:c r="E12" s="10" t="n">
        <ns0:v>0.375</ns0:v>
      </ns0:c>
      <ns0:c r="F12" s="10" t="n">
        <ns0:v>0.5</ns0:v>
      </ns0:c>
      <ns0:c r="G12" s="10" t="n">
        <ns0:v>0.125</ns0:v>
      </ns0:c>
      <ns0:c r="H12" s="10" t="n">
        <ns0:v>0.2917</ns0:v>
      </ns0:c>
      <ns0:c r="I12" s="17" t="n">
        <ns0:v>33</ns0:v>
      </ns0:c>
      <ns0:c r="J12" s="17" t="n">
        <ns0:v>0</ns0:v>
      </ns0:c>
    </ns0:row>
    <ns0:row r="13" ht="24" customHeight="1" s="2">
      <ns0:c r="A13" s="12" t="inlineStr">
        <ns0:is>
          <ns0:t>office1</ns0:t>
        </ns0:is>
      </ns0:c>
      <ns0:c r="B13" s="18" t="n">
        <ns0:v>7</ns0:v>
      </ns0:c>
      <ns0:c r="C13" s="18" t="n">
        <ns0:v>7</ns0:v>
      </ns0:c>
      <ns0:c r="D13" s="18" t="n">
        <ns0:v>7</ns0:v>
      </ns0:c>
      <ns0:c r="E13" s="13" t="n">
        <ns0:v>0.5714</ns0:v>
      </ns0:c>
      <ns0:c r="F13" s="13" t="n">
        <ns0:v>0.8571</ns0:v>
      </ns0:c>
      <ns0:c r="G13" s="13" t="n">
        <ns0:v>0.3333</ns0:v>
      </ns0:c>
      <ns0:c r="H13" s="13" t="n">
        <ns0:v>0.5</ns0:v>
      </ns0:c>
      <ns0:c r="I13" s="18" t="n">
        <ns0:v>33</ns0:v>
      </ns0:c>
      <ns0:c r="J13" s="18" t="n">
        <ns0:v>0</ns0:v>
      </ns0:c>
    </ns0:row>
    <ns0:row r="14" ht="24" customHeight="1" s="2">
      <ns0:c r="A14" s="8" t="inlineStr">
        <ns0:is>
          <ns0:t>office2</ns0:t>
        </ns0:is>
      </ns0:c>
      <ns0:c r="B14" s="17" t="n">
        <ns0:v>17</ns0:v>
      </ns0:c>
      <ns0:c r="C14" s="17" t="n">
        <ns0:v>16</ns0:v>
      </ns0:c>
      <ns0:c r="D14" s="17" t="n">
        <ns0:v>16</ns0:v>
      </ns0:c>
      <ns0:c r="E14" s="10" t="n">
        <ns0:v>0.7059</ns0:v>
      </ns0:c>
      <ns0:c r="F14" s="10" t="n">
        <ns0:v>0.9412</ns0:v>
      </ns0:c>
      <ns0:c r="G14" s="10" t="n">
        <ns0:v>0.6</ns0:v>
      </ns0:c>
      <ns0:c r="H14" s="10" t="n">
        <ns0:v>0.9333</ns0:v>
      </ns0:c>
      <ns0:c r="I14" s="17" t="n">
        <ns0:v>55</ns0:v>
      </ns0:c>
      <ns0:c r="J14" s="17" t="n">
        <ns0:v>2</ns0:v>
      </ns0:c>
    </ns0:row>
    <ns0:row r="15" ht="24" customHeight="1" s="2">
      <ns0:c r="A15" s="12" t="inlineStr">
        <ns0:is>
          <ns0:t>office3</ns0:t>
        </ns0:is>
      </ns0:c>
      <ns0:c r="B15" s="18" t="n">
        <ns0:v>19</ns0:v>
      </ns0:c>
      <ns0:c r="C15" s="18" t="n">
        <ns0:v>17</ns0:v>
      </ns0:c>
      <ns0:c r="D15" s="18" t="n">
        <ns0:v>17</ns0:v>
      </ns0:c>
      <ns0:c r="E15" s="13" t="n">
        <ns0:v>0.4737</ns0:v>
      </ns0:c>
      <ns0:c r="F15" s="13" t="n">
        <ns0:v>0.7895</ns0:v>
      </ns0:c>
      <ns0:c r="G15" s="13" t="n">
        <ns0:v>0.5714</ns0:v>
      </ns0:c>
      <ns0:c r="H15" s="13" t="n">
        <ns0:v>0.8214</ns0:v>
      </ns0:c>
      <ns0:c r="I15" s="18" t="n">
        <ns0:v>29</ns0:v>
      </ns0:c>
      <ns0:c r="J15" s="18" t="n">
        <ns0:v>4</ns0:v>
      </ns0:c>
    </ns0:row>
    <ns0:row r="16" ht="24" customHeight="1" s="2">
      <ns0:c r="A16" s="8" t="inlineStr">
        <ns0:is>
          <ns0:t>office4</ns0:t>
        </ns0:is>
      </ns0:c>
      <ns0:c r="B16" s="17" t="n">
        <ns0:v>18</ns0:v>
      </ns0:c>
      <ns0:c r="C16" s="17" t="n">
        <ns0:v>12</ns0:v>
      </ns0:c>
      <ns0:c r="D16" s="17" t="n">
        <ns0:v>12</ns0:v>
      </ns0:c>
      <ns0:c r="E16" s="10" t="n">
        <ns0:v>0.6667</ns0:v>
      </ns0:c>
      <ns0:c r="F16" s="10" t="n">
        <ns0:v>0.6667</ns0:v>
      </ns0:c>
      <ns0:c r="G16" s="10" t="n">
        <ns0:v>0.6667</ns0:v>
      </ns0:c>
      <ns0:c r="H16" s="10" t="n">
        <ns0:v>0.6667</ns0:v>
      </ns0:c>
      <ns0:c r="I16" s="17" t="n">
        <ns0:v>54</ns0:v>
      </ns0:c>
      <ns0:c r="J16" s="17" t="n">
        <ns0:v>0</ns0:v>
      </ns0:c>
    </ns0:row>
    <ns0:row r="17" ht="24" customHeight="1" s="2">
      <ns0:c r="A17" s="12" t="inlineStr">
        <ns0:is>
          <ns0:t>room0</ns0:t>
        </ns0:is>
      </ns0:c>
      <ns0:c r="B17" s="18" t="n">
        <ns0:v>25</ns0:v>
      </ns0:c>
      <ns0:c r="C17" s="18" t="n">
        <ns0:v>16</ns0:v>
      </ns0:c>
      <ns0:c r="D17" s="18" t="n">
        <ns0:v>16</ns0:v>
      </ns0:c>
      <ns0:c r="E17" s="13" t="n">
        <ns0:v>0.5600000000000001</ns0:v>
      </ns0:c>
      <ns0:c r="F17" s="13" t="n">
        <ns0:v>0.64</ns0:v>
      </ns0:c>
      <ns0:c r="G17" s="13" t="n">
        <ns0:v>0.375</ns0:v>
      </ns0:c>
      <ns0:c r="H17" s="13" t="n">
        <ns0:v>0.4583</ns0:v>
      </ns0:c>
      <ns0:c r="I17" s="18" t="n">
        <ns0:v>55</ns0:v>
      </ns0:c>
      <ns0:c r="J17" s="18" t="n">
        <ns0:v>5</ns0:v>
      </ns0:c>
    </ns0:row>
    <ns0:row r="18" ht="24" customHeight="1" s="2">
      <ns0:c r="A18" s="8" t="inlineStr">
        <ns0:is>
          <ns0:t>room1</ns0:t>
        </ns0:is>
      </ns0:c>
      <ns0:c r="B18" s="17" t="n">
        <ns0:v>16</ns0:v>
      </ns0:c>
      <ns0:c r="C18" s="17" t="n">
        <ns0:v>9</ns0:v>
      </ns0:c>
      <ns0:c r="D18" s="17" t="n">
        <ns0:v>9</ns0:v>
      </ns0:c>
      <ns0:c r="E18" s="10" t="n">
        <ns0:v>0.4375</ns0:v>
      </ns0:c>
      <ns0:c r="F18" s="10" t="n">
        <ns0:v>0.4375</ns0:v>
      </ns0:c>
      <ns0:c r="G18" s="10" t="n">
        <ns0:v>0.3704</ns0:v>
      </ns0:c>
      <ns0:c r="H18" s="10" t="n">
        <ns0:v>0.3704</ns0:v>
      </ns0:c>
      <ns0:c r="I18" s="17" t="n">
        <ns0:v>67</ns0:v>
      </ns0:c>
      <ns0:c r="J18" s="17" t="n">
        <ns0:v>0</ns0:v>
      </ns0:c>
    </ns0:row>
    <ns0:row r="19" ht="24" customHeight="1" s="2">
      <ns0:c r="A19" s="12" t="inlineStr">
        <ns0:is>
          <ns0:t>room2</ns0:t>
        </ns0:is>
      </ns0:c>
      <ns0:c r="B19" s="18" t="n">
        <ns0:v>31</ns0:v>
      </ns0:c>
      <ns0:c r="C19" s="18" t="n">
        <ns0:v>29</ns0:v>
      </ns0:c>
      <ns0:c r="D19" s="18" t="n">
        <ns0:v>29</ns0:v>
      </ns0:c>
      <ns0:c r="E19" s="13" t="n">
        <ns0:v>0.5806</ns0:v>
      </ns0:c>
      <ns0:c r="F19" s="13" t="n">
        <ns0:v>0.9355</ns0:v>
      </ns0:c>
      <ns0:c r="G19" s="13" t="n">
        <ns0:v>0.5009</ns0:v>
      </ns0:c>
      <ns0:c r="H19" s="13" t="n">
        <ns0:v>0.8667</ns0:v>
      </ns0:c>
      <ns0:c r="I19" s="18" t="n">
        <ns0:v>73</ns0:v>
      </ns0:c>
      <ns0:c r="J19" s="18" t="n">
        <ns0:v>2</ns0:v>
      </ns0:c>
    </ns0:row>
    <ns0:row r="20"/>
    <ns0:row r="21" ht="22" customHeight="1" s="2">
      <ns0:c r="A21" s="245" t="inlineStr">
        <ns0:is>
          <ns0:t>C. 谓词排名</ns0:t>
        </ns0:is>
      </ns0:c>
      <ns0:c r="B21" s="158" t="n"/>
      <ns0:c r="C21" s="158" t="n"/>
      <ns0:c r="D21" s="158" t="n"/>
      <ns0:c r="E21" s="158" t="n"/>
      <ns0:c r="F21" s="158" t="n"/>
      <ns0:c r="G21" s="158" t="n"/>
      <ns0:c r="H21" s="158" t="n"/>
      <ns0:c r="I21" s="158" t="n"/>
      <ns0:c r="J21" s="159" t="n"/>
    </ns0:row>
    <ns0:row r="22" ht="30" customHeight="1" s="2">
      <ns0:c r="A22" s="7" t="inlineStr">
        <ns0:is>
          <ns0:t>谓词</ns0:t>
        </ns0:is>
      </ns0:c>
      <ns0:c r="B22" s="7" t="inlineStr">
        <ns0:is>
          <ns0:t>GT</ns0:t>
        </ns0:is>
      </ns0:c>
      <ns0:c r="C22" s="7" t="inlineStr">
        <ns0:is>
          <ns0:t>端点匹配</ns0:t>
        </ns0:is>
      </ns0:c>
      <ns0:c r="D22" s="7" t="inlineStr">
        <ns0:is>
          <ns0:t>R@1命中</ns0:t>
        </ns0:is>
      </ns0:c>
      <ns0:c r="E22" s="7" t="inlineStr">
        <ns0:is>
          <ns0:t>R@3命中</ns0:t>
        </ns0:is>
      </ns0:c>
      <ns0:c r="F22" s="7" t="inlineStr">
        <ns0:is>
          <ns0:t>R@1</ns0:t>
        </ns0:is>
      </ns0:c>
      <ns0:c r="G22" s="7" t="inlineStr">
        <ns0:is>
          <ns0:t>R@3</ns0:t>
        </ns0:is>
      </ns0:c>
      <ns0:c r="H22" s="7" t="inlineStr">
        <ns0:is>
          <ns0:t>判断</ns0:t>
        </ns0:is>
      </ns0:c>
    </ns0:row>
    <ns0:row r="23" ht="24" customHeight="1" s="2">
      <ns0:c r="A23" s="8" t="inlineStr">
        <ns0:is>
          <ns0:t>near</ns0:t>
        </ns0:is>
      </ns0:c>
      <ns0:c r="B23" s="17" t="n">
        <ns0:v>79</ns0:v>
      </ns0:c>
      <ns0:c r="C23" s="17" t="n">
        <ns0:v>69</ns0:v>
      </ns0:c>
      <ns0:c r="D23" s="17" t="n">
        <ns0:v>59</ns0:v>
      </ns0:c>
      <ns0:c r="E23" s="17" t="n">
        <ns0:v>67</ns0:v>
      </ns0:c>
      <ns0:c r="F23" s="10" t="n">
        <ns0:v>0.7468</ns0:v>
      </ns0:c>
      <ns0:c r="G23" s="10" t="n">
        <ns0:v>0.8481</ns0:v>
      </ns0:c>
      <ns0:c r="H23" s="8" t="inlineStr">
        <ns0:is>
          <ns0:t>主力</ns0:t>
        </ns0:is>
      </ns0:c>
    </ns0:row>
    <ns0:row r="24" ht="24" customHeight="1" s="2">
      <ns0:c r="A24" s="12" t="inlineStr">
        <ns0:is>
          <ns0:t>on</ns0:t>
        </ns0:is>
      </ns0:c>
      <ns0:c r="B24" s="18" t="n">
        <ns0:v>40</ns0:v>
      </ns0:c>
      <ns0:c r="C24" s="18" t="n">
        <ns0:v>24</ns0:v>
      </ns0:c>
      <ns0:c r="D24" s="18" t="n">
        <ns0:v>22</ns0:v>
      </ns0:c>
      <ns0:c r="E24" s="18" t="n">
        <ns0:v>22</ns0:v>
      </ns0:c>
      <ns0:c r="F24" s="13" t="n">
        <ns0:v>0.55</ns0:v>
      </ns0:c>
      <ns0:c r="G24" s="13" t="n">
        <ns0:v>0.55</ns0:v>
      </ns0:c>
      <ns0:c r="H24" s="12" t="inlineStr">
        <ns0:is>
          <ns0:t>top-3 无额外收益</ns0:t>
        </ns0:is>
      </ns0:c>
    </ns0:row>
    <ns0:row r="25" ht="24" customHeight="1" s="2">
      <ns0:c r="A25" s="8" t="inlineStr">
        <ns0:is>
          <ns0:t>with</ns0:t>
        </ns0:is>
      </ns0:c>
      <ns0:c r="B25" s="17" t="n">
        <ns0:v>22</ns0:v>
      </ns0:c>
      <ns0:c r="C25" s="17" t="n">
        <ns0:v>22</ns0:v>
      </ns0:c>
      <ns0:c r="D25" s="17" t="n">
        <ns0:v>1</ns0:v>
      </ns0:c>
      <ns0:c r="E25" s="17" t="n">
        <ns0:v>20</ns0:v>
      </ns0:c>
      <ns0:c r="F25" s="10" t="n">
        <ns0:v>0.0455</ns0:v>
      </ns0:c>
      <ns0:c r="G25" s="10" t="n">
        <ns0:v>0.9091</ns0:v>
      </ns0:c>
      <ns0:c r="H25" s="8" t="inlineStr">
        <ns0:is>
          <ns0:t>top-1 校准不足</ns0:t>
        </ns0:is>
      </ns0:c>
    </ns0:row>
    <ns0:row r="26" ht="24" customHeight="1" s="2">
      <ns0:c r="A26" s="12" t="inlineStr">
        <ns0:is>
          <ns0:t>in</ns0:t>
        </ns0:is>
      </ns0:c>
      <ns0:c r="B26" s="18" t="n">
        <ns0:v>3</ns0:v>
      </ns0:c>
      <ns0:c r="C26" s="18" t="n">
        <ns0:v>2</ns0:v>
      </ns0:c>
      <ns0:c r="D26" s="18" t="n">
        <ns0:v>0</ns0:v>
      </ns0:c>
      <ns0:c r="E26" s="18" t="n">
        <ns0:v>0</ns0:v>
      </ns0:c>
      <ns0:c r="F26" s="13" t="n">
        <ns0:v>0</ns0:v>
      </ns0:c>
      <ns0:c r="G26" s="13" t="n">
        <ns0:v>0</ns0:v>
      </ns0:c>
      <ns0:c r="H26" s="12" t="inlineStr">
        <ns0:is>
          <ns0:t>未解决</ns0:t>
        </ns0:is>
      </ns0:c>
    </ns0:row>
    <ns0:row r="27" ht="24" customHeight="1" s="2">
      <ns0:c r="A27" s="8" t="inlineStr">
        <ns0:is>
          <ns0:t>above</ns0:t>
        </ns0:is>
      </ns0:c>
      <ns0:c r="B27" s="17" t="n">
        <ns0:v>2</ns0:v>
      </ns0:c>
      <ns0:c r="C27" s="17" t="n">
        <ns0:v>2</ns0:v>
      </ns0:c>
      <ns0:c r="D27" s="17" t="n">
        <ns0:v>0</ns0:v>
      </ns0:c>
      <ns0:c r="E27" s="17" t="n">
        <ns0:v>0</ns0:v>
      </ns0:c>
      <ns0:c r="F27" s="10" t="n">
        <ns0:v>0</ns0:v>
      </ns0:c>
      <ns0:c r="G27" s="10" t="n">
        <ns0:v>0</ns0:v>
      </ns0:c>
      <ns0:c r="H27" s="8" t="inlineStr">
        <ns0:is>
          <ns0:t>未解决</ns0:t>
        </ns0:is>
      </ns0:c>
    </ns0:row>
    <ns0:row r="28" ht="24" customHeight="1" s="2">
      <ns0:c r="A28" s="12" t="inlineStr">
        <ns0:is>
          <ns0:t>under</ns0:t>
        </ns0:is>
      </ns0:c>
      <ns0:c r="B28" s="18" t="n">
        <ns0:v>2</ns0:v>
      </ns0:c>
      <ns0:c r="C28" s="18" t="n">
        <ns0:v>2</ns0:v>
      </ns0:c>
      <ns0:c r="D28" s="18" t="n">
        <ns0:v>0</ns0:v>
      </ns0:c>
      <ns0:c r="E28" s="18" t="n">
        <ns0:v>0</ns0:v>
      </ns0:c>
      <ns0:c r="F28" s="13" t="n">
        <ns0:v>0</ns0:v>
      </ns0:c>
      <ns0:c r="G28" s="13" t="n">
        <ns0:v>0</ns0:v>
      </ns0:c>
      <ns0:c r="H28" s="12" t="inlineStr">
        <ns0:is>
          <ns0:t>未解决</ns0:t>
        </ns0:is>
      </ns0:c>
    </ns0:row>
    <ns0:row r="29" ht="24" customHeight="1" s="2">
      <ns0:c r="A29" s="8" t="inlineStr">
        <ns0:is>
          <ns0:t>attached to</ns0:t>
        </ns0:is>
      </ns0:c>
      <ns0:c r="B29" s="17" t="n">
        <ns0:v>1</ns0:v>
      </ns0:c>
      <ns0:c r="C29" s="17" t="n">
        <ns0:v>0</ns0:v>
      </ns0:c>
      <ns0:c r="D29" s="17" t="n">
        <ns0:v>0</ns0:v>
      </ns0:c>
      <ns0:c r="E29" s="17" t="n">
        <ns0:v>0</ns0:v>
      </ns0:c>
      <ns0:c r="F29" s="10" t="n">
        <ns0:v>0</ns0:v>
      </ns0:c>
      <ns0:c r="G29" s="10" t="n">
        <ns0:v>0</ns0:v>
      </ns0:c>
      <ns0:c r="H29" s="8" t="inlineStr">
        <ns0:is>
          <ns0:t>端点未匹配</ns0:t>
        </ns0:is>
      </ns0:c>
    </ns0:row>
    <ns0:row r="30"/>
    <ns0:row r="31" ht="22" customHeight="1" s="2">
      <ns0:c r="A31" s="245" t="inlineStr">
        <ns0:is>
          <ns0:t>D. 0.99 实际边与严格 ali-dev room0</ns0:t>
        </ns0:is>
      </ns0:c>
      <ns0:c r="B31" s="158" t="n"/>
      <ns0:c r="C31" s="158" t="n"/>
      <ns0:c r="D31" s="158" t="n"/>
      <ns0:c r="E31" s="158" t="n"/>
      <ns0:c r="F31" s="158" t="n"/>
      <ns0:c r="G31" s="158" t="n"/>
      <ns0:c r="H31" s="158" t="n"/>
      <ns0:c r="I31" s="158" t="n"/>
      <ns0:c r="J31" s="159" t="n"/>
    </ns0:row>
    <ns0:row r="32" ht="30" customHeight="1" s="2">
      <ns0:c r="A32" s="7" t="inlineStr">
        <ns0:is>
          <ns0:t>输出/范围</ns0:t>
        </ns0:is>
      </ns0:c>
      <ns0:c r="B32" s="7" t="inlineStr">
        <ns0:is>
          <ns0:t>边数</ns0:t>
        </ns0:is>
      </ns0:c>
      <ns0:c r="C32" s="7" t="inlineStr">
        <ns0:is>
          <ns0:t>TP</ns0:t>
        </ns0:is>
      </ns0:c>
      <ns0:c r="D32" s="7" t="inlineStr">
        <ns0:is>
          <ns0:t>Precision</ns0:t>
        </ns0:is>
      </ns0:c>
      <ns0:c r="E32" s="7" t="inlineStr">
        <ns0:is>
          <ns0:t>mapped-GT Recall</ns0:t>
        </ns0:is>
      </ns0:c>
      <ns0:c r="F32" s="7" t="inlineStr">
        <ns0:is>
          <ns0:t>F1</ns0:t>
        </ns0:is>
      </ns0:c>
      <ns0:c r="G32" s="7" t="inlineStr">
        <ns0:is>
          <ns0:t>排名R@1</ns0:t>
        </ns0:is>
      </ns0:c>
      <ns0:c r="H32" s="7" t="inlineStr">
        <ns0:is>
          <ns0:t>排名R@3</ns0:t>
        </ns0:is>
      </ns0:c>
      <ns0:c r="I32" s="7" t="inlineStr">
        <ns0:is>
          <ns0:t>备注</ns0:t>
        </ns0:is>
      </ns0:c>
    </ns0:row>
    <ns0:row r="33" ht="24" customHeight="1" s="2">
      <ns0:c r="A33" s="8" t="inlineStr">
        <ns0:is>
          <ns0:t>8场景 paper头</ns0:t>
        </ns0:is>
      </ns0:c>
      <ns0:c r="B33" s="17" t="n">
        <ns0:v>399</ns0:v>
      </ns0:c>
      <ns0:c r="C33" s="17" t="n">
        <ns0:v>13</ns0:v>
      </ns0:c>
      <ns0:c r="D33" s="10" t="n">
        <ns0:v>0.0326</ns0:v>
      </ns0:c>
      <ns0:c r="E33" s="10" t="n">
        <ns0:v>0.1074</ns0:v>
      </ns0:c>
      <ns0:c r="F33" s="10" t="n">
        <ns0:v>0.05</ns0:v>
      </ns0:c>
      <ns0:c r="G33" s="9" t="n"/>
      <ns0:c r="H33" s="9" t="n"/>
      <ns0:c r="I33" s="8" t="inlineStr">
        <ns0:is>
          <ns0:t>ali-my 对齐底图；仅 room0 严格 ali-dev</ns0:t>
        </ns0:is>
      </ns0:c>
    </ns0:row>
    <ns0:row r="34" ht="24" customHeight="1" s="2">
      <ns0:c r="A34" s="12" t="inlineStr">
        <ns0:is>
          <ns0:t>8场景 ali-dev兼容头</ns0:t>
        </ns0:is>
      </ns0:c>
      <ns0:c r="B34" s="18" t="n">
        <ns0:v>150</ns0:v>
      </ns0:c>
      <ns0:c r="C34" s="18" t="n">
        <ns0:v>11</ns0:v>
      </ns0:c>
      <ns0:c r="D34" s="13" t="n">
        <ns0:v>0.0733</ns0:v>
      </ns0:c>
      <ns0:c r="E34" s="13" t="n">
        <ns0:v>0.09089999999999999</ns0:v>
      </ns0:c>
      <ns0:c r="F34" s="13" t="n">
        <ns0:v>0.08119999999999999</ns0:v>
      </ns0:c>
      <ns0:c r="G34" s="15" t="n"/>
      <ns0:c r="H34" s="15" t="n"/>
      <ns0:c r="I34" s="12" t="inlineStr">
        <ns0:is>
          <ns0:t>on top of/under</ns0:t>
        </ns0:is>
      </ns0:c>
    </ns0:row>
    <ns0:row r="35" ht="24" customHeight="1" s="2">
      <ns0:c r="A35" s="8" t="inlineStr">
        <ns0:is>
          <ns0:t>严格 ali-dev room0 paper头</ns0:t>
        </ns0:is>
      </ns0:c>
      <ns0:c r="B35" s="17" t="n">
        <ns0:v>55</ns0:v>
      </ns0:c>
      <ns0:c r="C35" s="17" t="n">
        <ns0:v>5</ns0:v>
      </ns0:c>
      <ns0:c r="D35" s="10" t="n">
        <ns0:v>0.09089999999999999</ns0:v>
      </ns0:c>
      <ns0:c r="E35" s="10" t="n">
        <ns0:v>0.3125</ns0:v>
      </ns0:c>
      <ns0:c r="F35" s="10" t="n">
        <ns0:v>0.1408</ns0:v>
      </ns0:c>
      <ns0:c r="G35" s="10" t="n">
        <ns0:v>0.5600000000000001</ns0:v>
      </ns0:c>
      <ns0:c r="H35" s="10" t="n">
        <ns0:v>0.64</ns0:v>
      </ns0:c>
      <ns0:c r="I35" s="8" t="inlineStr">
        <ns0:is>
          <ns0:t>GT关系25；端点16</ns0:t>
        </ns0:is>
      </ns0:c>
    </ns0:row>
    <ns0:row r="36" ht="24" customHeight="1" s="2">
      <ns0:c r="A36" s="12" t="inlineStr">
        <ns0:is>
          <ns0:t>严格 ali-dev room0兼容头</ns0:t>
        </ns0:is>
      </ns0:c>
      <ns0:c r="B36" s="18" t="n">
        <ns0:v>16</ns0:v>
      </ns0:c>
      <ns0:c r="C36" s="18" t="n">
        <ns0:v>3</ns0:v>
      </ns0:c>
      <ns0:c r="D36" s="13" t="n">
        <ns0:v>0.1875</ns0:v>
      </ns0:c>
      <ns0:c r="E36" s="13" t="n">
        <ns0:v>0.1875</ns0:v>
      </ns0:c>
      <ns0:c r="F36" s="13" t="n">
        <ns0:v>0.1875</ns0:v>
      </ns0:c>
      <ns0:c r="G36" s="15" t="n"/>
      <ns0:c r="H36" s="15" t="n"/>
      <ns0:c r="I36" s="12" t="inlineStr">
        <ns0:is>
          <ns0:t>严格 PCD 复评</ns0:t>
        </ns0:is>
      </ns0:c>
    </ns0:row>
    <ns0:row r="37" ht="24" customHeight="1" s="2">
      <ns0:c r="A37" s="8" t="inlineStr">
        <ns0:is>
          <ns0:t>formal 200帧 make_edges流</ns0:t>
        </ns0:is>
      </ns0:c>
      <ns0:c r="B37" s="17" t="n">
        <ns0:v>49</ns0:v>
      </ns0:c>
      <ns0:c r="C37" s="17" t="n">
        <ns0:v>10</ns0:v>
      </ns0:c>
      <ns0:c r="D37" s="10" t="n">
        <ns0:v>0.2041</ns0:v>
      </ns0:c>
      <ns0:c r="E37" s="10" t="n">
        <ns0:v>0.5881999999999999</ns0:v>
      </ns0:c>
      <ns0:c r="F37" s="10" t="n">
        <ns0:v>0.303</ns0:v>
      </ns0:c>
      <ns0:c r="G37" s="9" t="n"/>
      <ns0:c r="H37" s="9" t="n"/>
      <ns0:c r="I37" s="8" t="inlineStr">
        <ns0:is>
          <ns0:t>TP/FP/FN=10/39/7；support总计1304</ns0:t>
        </ns0:is>
      </ns0:c>
    </ns0:row>
    <ns0:row r="38" ht="24" customHeight="1" s="2">
      <ns0:c r="A38" s="12" t="inlineStr">
        <ns0:is>
          <ns0:t>formal流 on 子集</ns0:t>
        </ns0:is>
      </ns0:c>
      <ns0:c r="B38" s="18" t="n">
        <ns0:v>29</ns0:v>
      </ns0:c>
      <ns0:c r="C38" s="18" t="n">
        <ns0:v>10</ns0:v>
      </ns0:c>
      <ns0:c r="D38" s="13" t="n">
        <ns0:v>0.3448</ns0:v>
      </ns0:c>
      <ns0:c r="E38" s="13" t="n">
        <ns0:v>0.9091</ns0:v>
      </ns0:c>
      <ns0:c r="F38" s="13" t="n">
        <ns0:v>0.5</ns0:v>
      </ns0:c>
      <ns0:c r="G38" s="15" t="n"/>
      <ns0:c r="H38" s="15" t="n"/>
      <ns0:c r="I38" s="12" t="inlineStr">
        <ns0:is>
          <ns0:t>mapped GT on=11</ns0:t>
        </ns0:is>
      </ns0:c>
    </ns0:row>
    <ns0:row r="39" ht="24" customHeight="1" s="2">
      <ns0:c r="A39" s="8" t="inlineStr">
        <ns0:is>
          <ns0:t>formal流 support≥50 后验</ns0:t>
        </ns0:is>
      </ns0:c>
      <ns0:c r="B39" s="17" t="n">
        <ns0:v>11</ns0:v>
      </ns0:c>
      <ns0:c r="C39" s="17" t="n">
        <ns0:v>8</ns0:v>
      </ns0:c>
      <ns0:c r="D39" s="10" t="n">
        <ns0:v>0.7272999999999999</ns0:v>
      </ns0:c>
      <ns0:c r="E39" s="10" t="n">
        <ns0:v>0.4706</ns0:v>
      </ns0:c>
      <ns0:c r="F39" s="10" t="n">
        <ns0:v>0.5714</ns0:v>
      </ns0:c>
      <ns0:c r="G39" s="9" t="n"/>
      <ns0:c r="H39" s="9" t="n"/>
      <ns0:c r="I39" s="8" t="inlineStr">
        <ns0:is>
          <ns0:t>未预注册，不作主结果</ns0:t>
        </ns0:is>
      </ns0:c>
    </ns0:row>
    <ns0:row r="40"/>
    <ns0:row r="41" ht="22" customHeight="1" s="2">
      <ns0:c r="A41" s="245" t="inlineStr">
        <ns0:is>
          <ns0:t>E. 开发集阈值扫描（room0+office0，paper头）</ns0:t>
        </ns0:is>
      </ns0:c>
      <ns0:c r="B41" s="158" t="n"/>
      <ns0:c r="C41" s="158" t="n"/>
      <ns0:c r="D41" s="158" t="n"/>
      <ns0:c r="E41" s="158" t="n"/>
      <ns0:c r="F41" s="158" t="n"/>
      <ns0:c r="G41" s="158" t="n"/>
      <ns0:c r="H41" s="158" t="n"/>
      <ns0:c r="I41" s="158" t="n"/>
      <ns0:c r="J41" s="159" t="n"/>
    </ns0:row>
    <ns0:row r="42" ht="30" customHeight="1" s="2">
      <ns0:c r="A42" s="7" t="inlineStr">
        <ns0:is>
          <ns0:t>阈值</ns0:t>
        </ns0:is>
      </ns0:c>
      <ns0:c r="B42" s="7" t="inlineStr">
        <ns0:is>
          <ns0:t>命中</ns0:t>
        </ns0:is>
      </ns0:c>
      <ns0:c r="C42" s="7" t="inlineStr">
        <ns0:is>
          <ns0:t>边数</ns0:t>
        </ns0:is>
      </ns0:c>
      <ns0:c r="D42" s="7" t="inlineStr">
        <ns0:is>
          <ns0:t>Precision</ns0:t>
        </ns0:is>
      </ns0:c>
      <ns0:c r="E42" s="7" t="inlineStr">
        <ns0:is>
          <ns0:t>mapped-GT Recall</ns0:t>
        </ns0:is>
      </ns0:c>
      <ns0:c r="F42" s="7" t="inlineStr">
        <ns0:is>
          <ns0:t>F1</ns0:t>
        </ns0:is>
      </ns0:c>
    </ns0:row>
    <ns0:row r="43" ht="24" customHeight="1" s="2">
      <ns0:c r="A43" s="10" t="n">
        <ns0:v>0.5</ns0:v>
      </ns0:c>
      <ns0:c r="B43" s="17" t="n">
        <ns0:v>20</ns0:v>
      </ns0:c>
      <ns0:c r="C43" s="17" t="n">
        <ns0:v>2019</ns0:v>
      </ns0:c>
      <ns0:c r="D43" s="10" t="n">
        <ns0:v>0.009900000000000001</ns0:v>
      </ns0:c>
      <ns0:c r="E43" s="10" t="n">
        <ns0:v>0.6452</ns0:v>
      </ns0:c>
      <ns0:c r="F43" s="10" t="n">
        <ns0:v>0.0195</ns0:v>
      </ns0:c>
    </ns0:row>
    <ns0:row r="44" ht="24" customHeight="1" s="2">
      <ns0:c r="A44" s="13" t="n">
        <ns0:v>0.7</ns0:v>
      </ns0:c>
      <ns0:c r="B44" s="18" t="n">
        <ns0:v>20</ns0:v>
      </ns0:c>
      <ns0:c r="C44" s="18" t="n">
        <ns0:v>1876</ns0:v>
      </ns0:c>
      <ns0:c r="D44" s="13" t="n">
        <ns0:v>0.0107</ns0:v>
      </ns0:c>
      <ns0:c r="E44" s="13" t="n">
        <ns0:v>0.6452</ns0:v>
      </ns0:c>
      <ns0:c r="F44" s="13" t="n">
        <ns0:v>0.021</ns0:v>
      </ns0:c>
    </ns0:row>
    <ns0:row r="45" ht="24" customHeight="1" s="2">
      <ns0:c r="A45" s="10" t="n">
        <ns0:v>0.8</ns0:v>
      </ns0:c>
      <ns0:c r="B45" s="17" t="n">
        <ns0:v>20</ns0:v>
      </ns0:c>
      <ns0:c r="C45" s="17" t="n">
        <ns0:v>1640</ns0:v>
      </ns0:c>
      <ns0:c r="D45" s="10" t="n">
        <ns0:v>0.0122</ns0:v>
      </ns0:c>
      <ns0:c r="E45" s="10" t="n">
        <ns0:v>0.6452</ns0:v>
      </ns0:c>
      <ns0:c r="F45" s="10" t="n">
        <ns0:v>0.0239</ns0:v>
      </ns0:c>
    </ns0:row>
    <ns0:row r="46" ht="24" customHeight="1" s="2">
      <ns0:c r="A46" s="13" t="n">
        <ns0:v>0.9</ns0:v>
      </ns0:c>
      <ns0:c r="B46" s="18" t="n">
        <ns0:v>20</ns0:v>
      </ns0:c>
      <ns0:c r="C46" s="18" t="n">
        <ns0:v>1303</ns0:v>
      </ns0:c>
      <ns0:c r="D46" s="13" t="n">
        <ns0:v>0.0153</ns0:v>
      </ns0:c>
      <ns0:c r="E46" s="13" t="n">
        <ns0:v>0.6452</ns0:v>
      </ns0:c>
      <ns0:c r="F46" s="13" t="n">
        <ns0:v>0.03</ns0:v>
      </ns0:c>
    </ns0:row>
    <ns0:row r="47" ht="24" customHeight="1" s="2">
      <ns0:c r="A47" s="10" t="n">
        <ns0:v>0.95</ns0:v>
      </ns0:c>
      <ns0:c r="B47" s="17" t="n">
        <ns0:v>19</ns0:v>
      </ns0:c>
      <ns0:c r="C47" s="17" t="n">
        <ns0:v>851</ns0:v>
      </ns0:c>
      <ns0:c r="D47" s="10" t="n">
        <ns0:v>0.0223</ns0:v>
      </ns0:c>
      <ns0:c r="E47" s="10" t="n">
        <ns0:v>0.6129</ns0:v>
      </ns0:c>
      <ns0:c r="F47" s="10" t="n">
        <ns0:v>0.0431</ns0:v>
      </ns0:c>
    </ns0:row>
    <ns0:row r="48" ht="24" customHeight="1" s="2">
      <ns0:c r="A48" s="13" t="n">
        <ns0:v>0.975</ns0:v>
      </ns0:c>
      <ns0:c r="B48" s="18" t="n">
        <ns0:v>14</ns0:v>
      </ns0:c>
      <ns0:c r="C48" s="18" t="n">
        <ns0:v>334</ns0:v>
      </ns0:c>
      <ns0:c r="D48" s="13" t="n">
        <ns0:v>0.0419</ns0:v>
      </ns0:c>
      <ns0:c r="E48" s="13" t="n">
        <ns0:v>0.4516</ns0:v>
      </ns0:c>
      <ns0:c r="F48" s="13" t="n">
        <ns0:v>0.0767</ns0:v>
      </ns0:c>
    </ns0:row>
    <ns0:row r="49" ht="24" customHeight="1" s="2">
      <ns0:c r="A49" s="10" t="n">
        <ns0:v>0.99</ns0:v>
      </ns0:c>
      <ns0:c r="B49" s="17" t="n">
        <ns0:v>5</ns0:v>
      </ns0:c>
      <ns0:c r="C49" s="17" t="n">
        <ns0:v>88</ns0:v>
      </ns0:c>
      <ns0:c r="D49" s="10" t="n">
        <ns0:v>0.0568</ns0:v>
      </ns0:c>
      <ns0:c r="E49" s="10" t="n">
        <ns0:v>0.1613</ns0:v>
      </ns0:c>
      <ns0:c r="F49" s="10" t="n">
        <ns0:v>0.08400000000000001</ns0:v>
      </ns0:c>
    </ns0:row>
    <ns0:row r="50" ht="24" customHeight="1" s="2">
      <ns0:c r="A50" s="12" t="inlineStr">
        <ns0:is>
          <ns0:t>0.992–1.000</ns0:t>
        </ns0:is>
      </ns0:c>
      <ns0:c r="B50" s="18" t="n">
        <ns0:v>0</ns0:v>
      </ns0:c>
      <ns0:c r="C50" s="18" t="n">
        <ns0:v>0</ns0:v>
      </ns0:c>
      <ns0:c r="D50" s="15" t="n"/>
      <ns0:c r="E50" s="13" t="n">
        <ns0:v>0</ns0:v>
      </ns0:c>
      <ns0:c r="F50" s="15" t="n"/>
    </ns0:row>
    <ns0:row r="51"/>
    <ns0:row r="52" ht="34" customHeight="1" s="2">
      <ns0:c r="A52" s="246" t="inlineStr">
        <ns0:is>
          <ns0:t>论文官方 Edge Precision 使用 3 名 AMT 标注者、多数票和开放词汇边；本页 ReplicaSSG precision 使用稀疏封闭 GT，是严格下界，协议不等价。</ns0:t>
        </ns0:is>
      </ns0:c>
      <ns0:c r="B52" s="158" t="n"/>
      <ns0:c r="C52" s="158" t="n"/>
      <ns0:c r="D52" s="158" t="n"/>
      <ns0:c r="E52" s="158" t="n"/>
      <ns0:c r="F52" s="158" t="n"/>
      <ns0:c r="G52" s="158" t="n"/>
      <ns0:c r="H52" s="158" t="n"/>
      <ns0:c r="I52" s="158" t="n"/>
      <ns0:c r="J52" s="159" t="n"/>
    </ns0:row>
  </ns0:sheetData>
  <ns0:mergeCells count="8">
    <ns0:mergeCell ref="A1:J1"/>
    <ns0:mergeCell ref="A31:J31"/>
    <ns0:mergeCell ref="A21:J21"/>
    <ns0:mergeCell ref="A4:J4"/>
    <ns0:mergeCell ref="A2:J2"/>
    <ns0:mergeCell ref="A52:J52"/>
    <ns0:mergeCell ref="A10:J10"/>
    <ns0:mergeCell ref="A41:J41"/>
  </ns0:mergeCells>
  <ns0:pageMargins left="0.7" right="0.7" top="0.75" bottom="0.75" header="0.3" footer="0.3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A1:J32"/>
  <ns0:sheetViews>
    <ns0:sheetView showGridLines="0" workbookViewId="0">
      <ns0:selection activeCell="A1" sqref="A1"/>
    </ns0:sheetView>
  </ns0:sheetViews>
  <ns0:sheetFormatPr baseColWidth="8" defaultRowHeight="15"/>
  <ns0:cols>
    <ns0:col width="24" customWidth="1" style="2" min="1" max="1"/>
    <ns0:col width="13" customWidth="1" style="2" min="2" max="2"/>
    <ns0:col width="14" customWidth="1" style="2" min="3" max="3"/>
    <ns0:col width="14" customWidth="1" style="2" min="4" max="4"/>
    <ns0:col width="14" customWidth="1" style="2" min="5" max="5"/>
    <ns0:col width="14" customWidth="1" style="2" min="6" max="6"/>
    <ns0:col width="16" customWidth="1" style="2" min="7" max="7"/>
    <ns0:col width="16" customWidth="1" style="2" min="8" max="8"/>
    <ns0:col width="14" customWidth="1" style="2" min="9" max="9"/>
    <ns0:col width="18" customWidth="1" style="2" min="10" max="10"/>
  </ns0:cols>
  <ns0:sheetData>
    <ns0:row r="1" ht="30" customHeight="1" s="2">
      <ns0:c r="A1" s="243" t="inlineStr">
        <ns0:is>
          <ns0:t>ali-my：两场景历史评测与人工审计</ns0:t>
        </ns0:is>
      </ns0:c>
      <ns0:c r="B1" s="158" t="n"/>
      <ns0:c r="C1" s="158" t="n"/>
      <ns0:c r="D1" s="158" t="n"/>
      <ns0:c r="E1" s="158" t="n"/>
      <ns0:c r="F1" s="158" t="n"/>
      <ns0:c r="G1" s="158" t="n"/>
      <ns0:c r="H1" s="158" t="n"/>
      <ns0:c r="I1" s="158" t="n"/>
      <ns0:c r="J1" s="159" t="n"/>
    </ns0:row>
    <ns0:row r="2" ht="34" customHeight="1" s="2">
      <ns0:c r="A2" s="244" t="inlineStr">
        <ns0:is>
          <ns0:t>room0+office0，200 帧/场景、stride=10；与 8 场景 400 帧主表是不同协议。</ns0:t>
        </ns0:is>
      </ns0:c>
      <ns0:c r="B2" s="158" t="n"/>
      <ns0:c r="C2" s="158" t="n"/>
      <ns0:c r="D2" s="158" t="n"/>
      <ns0:c r="E2" s="158" t="n"/>
      <ns0:c r="F2" s="158" t="n"/>
      <ns0:c r="G2" s="158" t="n"/>
      <ns0:c r="H2" s="158" t="n"/>
      <ns0:c r="I2" s="158" t="n"/>
      <ns0:c r="J2" s="159" t="n"/>
    </ns0:row>
    <ns0:row r="3"/>
    <ns0:row r="4" ht="22" customHeight="1" s="2">
      <ns0:c r="A4" s="245" t="inlineStr">
        <ns0:is>
          <ns0:t>A. 两场景池化语义</ns0:t>
        </ns0:is>
      </ns0:c>
      <ns0:c r="B4" s="158" t="n"/>
      <ns0:c r="C4" s="158" t="n"/>
      <ns0:c r="D4" s="158" t="n"/>
      <ns0:c r="E4" s="158" t="n"/>
      <ns0:c r="F4" s="158" t="n"/>
      <ns0:c r="G4" s="158" t="n"/>
      <ns0:c r="H4" s="158" t="n"/>
      <ns0:c r="I4" s="158" t="n"/>
      <ns0:c r="J4" s="159" t="n"/>
    </ns0:row>
    <ns0:row r="5" ht="30" customHeight="1" s="2">
      <ns0:c r="A5" s="7" t="inlineStr">
        <ns0:is>
          <ns0:t>n_exclude</ns0:t>
        </ns0:is>
      </ns0:c>
      <ns0:c r="B5" s="7" t="inlineStr">
        <ns0:is>
          <ns0:t>mIoU</ns0:t>
        </ns0:is>
      </ns0:c>
      <ns0:c r="C5" s="7" t="inlineStr">
        <ns0:is>
          <ns0:t>mRecall</ns0:t>
        </ns0:is>
      </ns0:c>
      <ns0:c r="D5" s="7" t="inlineStr">
        <ns0:is>
          <ns0:t>mPrecision</ns0:t>
        </ns0:is>
      </ns0:c>
      <ns0:c r="E5" s="7" t="inlineStr">
        <ns0:is>
          <ns0:t>mF1</ns0:t>
        </ns0:is>
      </ns0:c>
      <ns0:c r="F5" s="7" t="inlineStr">
        <ns0:is>
          <ns0:t>fwIoU</ns0:t>
        </ns0:is>
      </ns0:c>
      <ns0:c r="G5" s="7" t="inlineStr">
        <ns0:is>
          <ns0:t>点准确率</ns0:t>
        </ns0:is>
      </ns0:c>
    </ns0:row>
    <ns0:row r="6" ht="24" customHeight="1" s="2">
      <ns0:c r="A6" s="17" t="n">
        <ns0:v>1</ns0:v>
      </ns0:c>
      <ns0:c r="B6" s="10" t="n">
        <ns0:v>0.1553043895</ns0:v>
      </ns0:c>
      <ns0:c r="C6" s="10" t="n">
        <ns0:v>0.3911243999</ns0:v>
      </ns0:c>
      <ns0:c r="D6" s="10" t="n">
        <ns0:v>0.1768322661</ns0:v>
      </ns0:c>
      <ns0:c r="E6" s="10" t="n">
        <ns0:v>0.2146034016</ns0:v>
      </ns0:c>
      <ns0:c r="F6" s="10" t="n">
        <ns0:v>0.1864769861</ns0:v>
      </ns0:c>
      <ns0:c r="G6" s="10" t="n">
        <ns0:v>0.3381539009</ns0:v>
      </ns0:c>
    </ns0:row>
    <ns0:row r="7" ht="24" customHeight="1" s="2">
      <ns0:c r="A7" s="18" t="n">
        <ns0:v>4</ns0:v>
      </ns0:c>
      <ns0:c r="B7" s="13" t="n">
        <ns0:v>0.2656193526</ns0:v>
      </ns0:c>
      <ns0:c r="C7" s="13" t="n">
        <ns0:v>0.4387240994</ns0:v>
      </ns0:c>
      <ns0:c r="D7" s="13" t="n">
        <ns0:v>0.3246473282</ns0:v>
      </ns0:c>
      <ns0:c r="E7" s="13" t="n">
        <ns0:v>0.3268329588</ns0:v>
      </ns0:c>
      <ns0:c r="F7" s="13" t="n">
        <ns0:v>0.4783214477</ns0:v>
      </ns0:c>
      <ns0:c r="G7" s="13" t="n">
        <ns0:v>0.6090078855</ns0:v>
      </ns0:c>
    </ns0:row>
    <ns0:row r="8" ht="24" customHeight="1" s="2">
      <ns0:c r="A8" s="17" t="n">
        <ns0:v>6</ns0:v>
      </ns0:c>
      <ns0:c r="B8" s="10" t="n">
        <ns0:v>0.2669550756</ns0:v>
      </ns0:c>
      <ns0:c r="C8" s="10" t="n">
        <ns0:v>0.4348183505</ns0:v>
      </ns0:c>
      <ns0:c r="D8" s="10" t="n">
        <ns0:v>0.3319093412</ns0:v>
      </ns0:c>
      <ns0:c r="E8" s="10" t="n">
        <ns0:v>0.3262985756</ns0:v>
      </ns0:c>
      <ns0:c r="F8" s="10" t="n">
        <ns0:v>0.4974304124</ns0:v>
      </ns0:c>
      <ns0:c r="G8" s="10" t="n">
        <ns0:v>0.613672072</ns0:v>
      </ns0:c>
    </ns0:row>
    <ns0:row r="9"/>
    <ns0:row r="10" ht="22" customHeight="1" s="2">
      <ns0:c r="A10" s="245" t="inlineStr">
        <ns0:is>
          <ns0:t>B. 两场景对象</ns0:t>
        </ns0:is>
      </ns0:c>
      <ns0:c r="B10" s="158" t="n"/>
      <ns0:c r="C10" s="158" t="n"/>
      <ns0:c r="D10" s="158" t="n"/>
      <ns0:c r="E10" s="158" t="n"/>
      <ns0:c r="F10" s="158" t="n"/>
      <ns0:c r="G10" s="158" t="n"/>
      <ns0:c r="H10" s="158" t="n"/>
      <ns0:c r="I10" s="158" t="n"/>
      <ns0:c r="J10" s="159" t="n"/>
    </ns0:row>
    <ns0:row r="11" ht="30" customHeight="1" s="2">
      <ns0:c r="A11" s="7" t="inlineStr">
        <ns0:is>
          <ns0:t>范围</ns0:t>
        </ns0:is>
      </ns0:c>
      <ns0:c r="B11" s="7" t="inlineStr">
        <ns0:is>
          <ns0:t>GT</ns0:t>
        </ns0:is>
      </ns0:c>
      <ns0:c r="C11" s="7" t="inlineStr">
        <ns0:is>
          <ns0:t>预测</ns0:t>
        </ns0:is>
      </ns0:c>
      <ns0:c r="D11" s="7" t="inlineStr">
        <ns0:is>
          <ns0:t>匹配</ns0:t>
        </ns0:is>
      </ns0:c>
      <ns0:c r="E11" s="7" t="inlineStr">
        <ns0:is>
          <ns0:t>覆盖率</ns0:t>
        </ns0:is>
      </ns0:c>
      <ns0:c r="F11" s="7" t="inlineStr">
        <ns0:is>
          <ns0:t>R@1</ns0:t>
        </ns0:is>
      </ns0:c>
      <ns0:c r="G11" s="7" t="inlineStr">
        <ns0:is>
          <ns0:t>R@5</ns0:t>
        </ns0:is>
      </ns0:c>
      <ns0:c r="H11" s="7" t="inlineStr">
        <ns0:is>
          <ns0:t>mR@1</ns0:t>
        </ns0:is>
      </ns0:c>
      <ns0:c r="I11" s="7" t="inlineStr">
        <ns0:is>
          <ns0:t>mR@5</ns0:t>
        </ns0:is>
      </ns0:c>
    </ns0:row>
    <ns0:row r="12" ht="24" customHeight="1" s="2">
      <ns0:c r="A12" s="8" t="inlineStr">
        <ns0:is>
          <ns0:t>room0</ns0:t>
        </ns0:is>
      </ns0:c>
      <ns0:c r="B12" s="17" t="n">
        <ns0:v>59</ns0:v>
      </ns0:c>
      <ns0:c r="C12" s="17" t="n">
        <ns0:v>72</ns0:v>
      </ns0:c>
      <ns0:c r="D12" s="17" t="n">
        <ns0:v>29</ns0:v>
      </ns0:c>
      <ns0:c r="E12" s="10" t="n">
        <ns0:v>0.4915</ns0:v>
      </ns0:c>
      <ns0:c r="F12" s="10" t="n">
        <ns0:v>0.2203</ns0:v>
      </ns0:c>
      <ns0:c r="G12" s="10" t="n">
        <ns0:v>0.322</ns0:v>
      </ns0:c>
      <ns0:c r="H12" s="10" t="n">
        <ns0:v>0.2836</ns0:v>
      </ns0:c>
      <ns0:c r="I12" s="10" t="n">
        <ns0:v>0.408</ns0:v>
      </ns0:c>
    </ns0:row>
    <ns0:row r="13" ht="24" customHeight="1" s="2">
      <ns0:c r="A13" s="12" t="inlineStr">
        <ns0:is>
          <ns0:t>office0</ns0:t>
        </ns0:is>
      </ns0:c>
      <ns0:c r="B13" s="18" t="n">
        <ns0:v>15</ns0:v>
      </ns0:c>
      <ns0:c r="C13" s="18" t="n">
        <ns0:v>29</ns0:v>
      </ns0:c>
      <ns0:c r="D13" s="18" t="n">
        <ns0:v>10</ns0:v>
      </ns0:c>
      <ns0:c r="E13" s="13" t="n">
        <ns0:v>0.6667</ns0:v>
      </ns0:c>
      <ns0:c r="F13" s="13" t="n">
        <ns0:v>0.1333</ns0:v>
      </ns0:c>
      <ns0:c r="G13" s="13" t="n">
        <ns0:v>0.5333</ns0:v>
      </ns0:c>
      <ns0:c r="H13" s="13" t="n">
        <ns0:v>0.2222</ns0:v>
      </ns0:c>
      <ns0:c r="I13" s="13" t="n">
        <ns0:v>0.5</ns0:v>
      </ns0:c>
    </ns0:row>
    <ns0:row r="14" ht="24" customHeight="1" s="2">
      <ns0:c r="A14" s="8" t="inlineStr">
        <ns0:is>
          <ns0:t>池化</ns0:t>
        </ns0:is>
      </ns0:c>
      <ns0:c r="B14" s="17" t="n">
        <ns0:v>74</ns0:v>
      </ns0:c>
      <ns0:c r="C14" s="17" t="n">
        <ns0:v>101</ns0:v>
      </ns0:c>
      <ns0:c r="D14" s="17" t="n">
        <ns0:v>39</ns0:v>
      </ns0:c>
      <ns0:c r="E14" s="10" t="n">
        <ns0:v>0.527</ns0:v>
      </ns0:c>
      <ns0:c r="F14" s="10" t="n">
        <ns0:v>0.2027</ns0:v>
      </ns0:c>
      <ns0:c r="G14" s="10" t="n">
        <ns0:v>0.3649</ns0:v>
      </ns0:c>
      <ns0:c r="H14" s="10" t="n">
        <ns0:v>0.3336</ns0:v>
      </ns0:c>
      <ns0:c r="I14" s="10" t="n">
        <ns0:v>0.4857</ns0:v>
      </ns0:c>
    </ns0:row>
    <ns0:row r="15"/>
    <ns0:row r="16" ht="22" customHeight="1" s="2">
      <ns0:c r="A16" s="245" t="inlineStr">
        <ns0:is>
          <ns0:t>C. 建图与证据完整性</ns0:t>
        </ns0:is>
      </ns0:c>
      <ns0:c r="B16" s="158" t="n"/>
      <ns0:c r="C16" s="158" t="n"/>
      <ns0:c r="D16" s="158" t="n"/>
      <ns0:c r="E16" s="158" t="n"/>
      <ns0:c r="F16" s="158" t="n"/>
      <ns0:c r="G16" s="158" t="n"/>
      <ns0:c r="H16" s="158" t="n"/>
      <ns0:c r="I16" s="158" t="n"/>
      <ns0:c r="J16" s="159" t="n"/>
    </ns0:row>
    <ns0:row r="17" ht="30" customHeight="1" s="2">
      <ns0:c r="A17" s="7" t="inlineStr">
        <ns0:is>
          <ns0:t>场景</ns0:t>
        </ns0:is>
      </ns0:c>
      <ns0:c r="B17" s="7" t="inlineStr">
        <ns0:is>
          <ns0:t>帧</ns0:t>
        </ns0:is>
      </ns0:c>
      <ns0:c r="C17" s="7" t="inlineStr">
        <ns0:is>
          <ns0:t>raw detection</ns0:t>
        </ns0:is>
      </ns0:c>
      <ns0:c r="D17" s="7" t="inlineStr">
        <ns0:is>
          <ns0:t>kept obs</ns0:t>
        </ns0:is>
      </ns0:c>
      <ns0:c r="E17" s="7" t="inlineStr">
        <ns0:is>
          <ns0:t>rejected obs</ns0:t>
        </ns0:is>
      </ns0:c>
      <ns0:c r="F17" s="7" t="inlineStr">
        <ns0:is>
          <ns0:t>CREATE</ns0:t>
        </ns0:is>
      </ns0:c>
      <ns0:c r="G17" s="7" t="inlineStr">
        <ns0:is>
          <ns0:t>ASSOCIATE</ns0:t>
        </ns0:is>
      </ns0:c>
      <ns0:c r="H17" s="7" t="inlineStr">
        <ns0:is>
          <ns0:t>merges</ns0:t>
        </ns0:is>
      </ns0:c>
      <ns0:c r="I17" s="7" t="inlineStr">
        <ns0:is>
          <ns0:t>final objects</ns0:t>
        </ns0:is>
      </ns0:c>
      <ns0:c r="J17" s="7" t="inlineStr">
        <ns0:is>
          <ns0:t>Evidence Gate</ns0:t>
        </ns0:is>
      </ns0:c>
    </ns0:row>
    <ns0:row r="18" ht="24" customHeight="1" s="2">
      <ns0:c r="A18" s="8" t="inlineStr">
        <ns0:is>
          <ns0:t>room0</ns0:t>
        </ns0:is>
      </ns0:c>
      <ns0:c r="B18" s="17" t="n">
        <ns0:v>200</ns0:v>
      </ns0:c>
      <ns0:c r="C18" s="17" t="n">
        <ns0:v>6303</ns0:v>
      </ns0:c>
      <ns0:c r="D18" s="17" t="n">
        <ns0:v>3779</ns0:v>
      </ns0:c>
      <ns0:c r="E18" s="17" t="n">
        <ns0:v>2524</ns0:v>
      </ns0:c>
      <ns0:c r="F18" s="17" t="n">
        <ns0:v>96</ns0:v>
      </ns0:c>
      <ns0:c r="G18" s="17" t="n">
        <ns0:v>3683</ns0:v>
      </ns0:c>
      <ns0:c r="H18" s="17" t="n">
        <ns0:v>24</ns0:v>
      </ns0:c>
      <ns0:c r="I18" s="17" t="n">
        <ns0:v>72</ns0:v>
      </ns0:c>
      <ns0:c r="J18" s="8" t="inlineStr">
        <ns0:is>
          <ns0:t>PASS</ns0:t>
        </ns0:is>
      </ns0:c>
    </ns0:row>
    <ns0:row r="19" ht="24" customHeight="1" s="2">
      <ns0:c r="A19" s="12" t="inlineStr">
        <ns0:is>
          <ns0:t>office0</ns0:t>
        </ns0:is>
      </ns0:c>
      <ns0:c r="B19" s="18" t="n">
        <ns0:v>200</ns0:v>
      </ns0:c>
      <ns0:c r="C19" s="18" t="n">
        <ns0:v>3052</ns0:v>
      </ns0:c>
      <ns0:c r="D19" s="18" t="n">
        <ns0:v>1560</ns0:v>
      </ns0:c>
      <ns0:c r="E19" s="18" t="n">
        <ns0:v>1492</ns0:v>
      </ns0:c>
      <ns0:c r="F19" s="18" t="n">
        <ns0:v>35</ns0:v>
      </ns0:c>
      <ns0:c r="G19" s="18" t="n">
        <ns0:v>1525</ns0:v>
      </ns0:c>
      <ns0:c r="H19" s="18" t="n">
        <ns0:v>6</ns0:v>
      </ns0:c>
      <ns0:c r="I19" s="18" t="n">
        <ns0:v>29</ns0:v>
      </ns0:c>
      <ns0:c r="J19" s="12" t="inlineStr">
        <ns0:is>
          <ns0:t>PASS</ns0:t>
        </ns0:is>
      </ns0:c>
    </ns0:row>
    <ns0:row r="20"/>
    <ns0:row r="21" ht="22" customHeight="1" s="2">
      <ns0:c r="A21" s="245" t="inlineStr">
        <ns0:is>
          <ns0:t>D. R1 endpoint 人工审计</ns0:t>
        </ns0:is>
      </ns0:c>
      <ns0:c r="B21" s="158" t="n"/>
      <ns0:c r="C21" s="158" t="n"/>
      <ns0:c r="D21" s="158" t="n"/>
      <ns0:c r="E21" s="158" t="n"/>
      <ns0:c r="F21" s="158" t="n"/>
      <ns0:c r="G21" s="158" t="n"/>
      <ns0:c r="H21" s="158" t="n"/>
      <ns0:c r="I21" s="158" t="n"/>
      <ns0:c r="J21" s="159" t="n"/>
    </ns0:row>
    <ns0:row r="22" ht="30" customHeight="1" s="2">
      <ns0:c r="A22" s="7" t="inlineStr">
        <ns0:is>
          <ns0:t>范围</ns0:t>
        </ns0:is>
      </ns0:c>
      <ns0:c r="B22" s="7" t="inlineStr">
        <ns0:is>
          <ns0:t>endpoint</ns0:t>
        </ns0:is>
      </ns0:c>
      <ns0:c r="C22" s="7" t="inlineStr">
        <ns0:is>
          <ns0:t>证据充分</ns0:t>
        </ns0:is>
      </ns0:c>
      <ns0:c r="D22" s="7" t="inlineStr">
        <ns0:is>
          <ns0:t>错误</ns0:t>
        </ns0:is>
      </ns0:c>
      <ns0:c r="E22" s="7" t="inlineStr">
        <ns0:is>
          <ns0:t>正确</ns0:t>
        </ns0:is>
      </ns0:c>
      <ns0:c r="F22" s="7" t="inlineStr">
        <ns0:is>
          <ns0:t>不明确</ns0:t>
        </ns0:is>
      </ns0:c>
      <ns0:c r="G22" s="7" t="inlineStr">
        <ns0:is>
          <ns0:t>条件错误率</ns0:t>
        </ns0:is>
      </ns0:c>
      <ns0:c r="H22" s="7" t="inlineStr">
        <ns0:is>
          <ns0:t>证据充分率</ns0:t>
        </ns0:is>
      </ns0:c>
      <ns0:c r="I22" s="7" t="inlineStr">
        <ns0:is>
          <ns0:t>ROC-AUC</ns0:t>
        </ns0:is>
      </ns0:c>
      <ns0:c r="J22" s="7" t="inlineStr">
        <ns0:is>
          <ns0:t>AP</ns0:t>
        </ns0:is>
      </ns0:c>
    </ns0:row>
    <ns0:row r="23" ht="24" customHeight="1" s="2">
      <ns0:c r="A23" s="8" t="inlineStr">
        <ns0:is>
          <ns0:t>总体</ns0:t>
        </ns0:is>
      </ns0:c>
      <ns0:c r="B23" s="17" t="n">
        <ns0:v>97</ns0:v>
      </ns0:c>
      <ns0:c r="C23" s="17" t="n">
        <ns0:v>95</ns0:v>
      </ns0:c>
      <ns0:c r="D23" s="17" t="n">
        <ns0:v>40</ns0:v>
      </ns0:c>
      <ns0:c r="E23" s="17" t="n">
        <ns0:v>55</ns0:v>
      </ns0:c>
      <ns0:c r="F23" s="17" t="n">
        <ns0:v>2</ns0:v>
      </ns0:c>
      <ns0:c r="G23" s="10" t="n">
        <ns0:v>0.421053</ns0:v>
      </ns0:c>
      <ns0:c r="H23" s="10" t="n">
        <ns0:v>0.9793809999999999</ns0:v>
      </ns0:c>
      <ns0:c r="I23" s="19" t="n">
        <ns0:v>0.420455</ns0:v>
      </ns0:c>
      <ns0:c r="J23" s="19" t="n">
        <ns0:v>0.365647</ns0:v>
      </ns0:c>
    </ns0:row>
    <ns0:row r="24" ht="24" customHeight="1" s="2">
      <ns0:c r="A24" s="12" t="inlineStr">
        <ns0:is>
          <ns0:t>room0</ns0:t>
        </ns0:is>
      </ns0:c>
      <ns0:c r="B24" s="18" t="n">
        <ns0:v>69</ns0:v>
      </ns0:c>
      <ns0:c r="C24" s="18" t="n">
        <ns0:v>67</ns0:v>
      </ns0:c>
      <ns0:c r="D24" s="18" t="n">
        <ns0:v>27</ns0:v>
      </ns0:c>
      <ns0:c r="E24" s="18" t="n">
        <ns0:v>40</ns0:v>
      </ns0:c>
      <ns0:c r="F24" s="18" t="n">
        <ns0:v>2</ns0:v>
      </ns0:c>
      <ns0:c r="G24" s="13" t="n">
        <ns0:v>0.402985</ns0:v>
      </ns0:c>
      <ns0:c r="H24" s="13" t="n">
        <ns0:v>0.971014</ns0:v>
      </ns0:c>
      <ns0:c r="I24" s="15" t="n"/>
      <ns0:c r="J24" s="15" t="n"/>
    </ns0:row>
    <ns0:row r="25" ht="24" customHeight="1" s="2">
      <ns0:c r="A25" s="8" t="inlineStr">
        <ns0:is>
          <ns0:t>office0</ns0:t>
        </ns0:is>
      </ns0:c>
      <ns0:c r="B25" s="17" t="n">
        <ns0:v>28</ns0:v>
      </ns0:c>
      <ns0:c r="C25" s="17" t="n">
        <ns0:v>28</ns0:v>
      </ns0:c>
      <ns0:c r="D25" s="17" t="n">
        <ns0:v>13</ns0:v>
      </ns0:c>
      <ns0:c r="E25" s="17" t="n">
        <ns0:v>15</ns0:v>
      </ns0:c>
      <ns0:c r="F25" s="17" t="n">
        <ns0:v>0</ns0:v>
      </ns0:c>
      <ns0:c r="G25" s="10" t="n">
        <ns0:v>0.464286</ns0:v>
      </ns0:c>
      <ns0:c r="H25" s="10" t="n">
        <ns0:v>1</ns0:v>
      </ns0:c>
      <ns0:c r="I25" s="9" t="n"/>
      <ns0:c r="J25" s="9" t="n"/>
    </ns0:row>
    <ns0:row r="26"/>
    <ns0:row r="27" ht="22" customHeight="1" s="2">
      <ns0:c r="A27" s="245" t="inlineStr">
        <ns0:is>
          <ns0:t>E. R2 同一复核者重测</ns0:t>
        </ns0:is>
      </ns0:c>
      <ns0:c r="B27" s="158" t="n"/>
      <ns0:c r="C27" s="158" t="n"/>
      <ns0:c r="D27" s="158" t="n"/>
      <ns0:c r="E27" s="158" t="n"/>
      <ns0:c r="F27" s="158" t="n"/>
      <ns0:c r="G27" s="158" t="n"/>
      <ns0:c r="H27" s="158" t="n"/>
      <ns0:c r="I27" s="158" t="n"/>
      <ns0:c r="J27" s="159" t="n"/>
    </ns0:row>
    <ns0:row r="28" ht="30" customHeight="1" s="2">
      <ns0:c r="A28" s="7" t="inlineStr">
        <ns0:is>
          <ns0:t>指标</ns0:t>
        </ns0:is>
      </ns0:c>
      <ns0:c r="B28" s="7" t="inlineStr">
        <ns0:is>
          <ns0:t>案例</ns0:t>
        </ns0:is>
      </ns0:c>
      <ns0:c r="C28" s="7" t="inlineStr">
        <ns0:is>
          <ns0:t>一致数</ns0:t>
        </ns0:is>
      </ns0:c>
      <ns0:c r="D28" s="7" t="inlineStr">
        <ns0:is>
          <ns0:t>一致率</ns0:t>
        </ns0:is>
      </ns0:c>
      <ns0:c r="E28" s="7" t="inlineStr">
        <ns0:is>
          <ns0:t>Cohen's κ</ns0:t>
        </ns0:is>
      </ns0:c>
      <ns0:c r="F28" s="7" t="inlineStr">
        <ns0:is>
          <ns0:t>说明</ns0:t>
        </ns0:is>
      </ns0:c>
    </ns0:row>
    <ns0:row r="29" ht="24" customHeight="1" s="2">
      <ns0:c r="A29" s="8" t="inlineStr">
        <ns0:is>
          <ns0:t>证据充分</ns0:t>
        </ns0:is>
      </ns0:c>
      <ns0:c r="B29" s="17" t="n">
        <ns0:v>24</ns0:v>
      </ns0:c>
      <ns0:c r="C29" s="17" t="n">
        <ns0:v>23</ns0:v>
      </ns0:c>
      <ns0:c r="D29" s="10" t="n">
        <ns0:v>0.958333</ns0:v>
      </ns0:c>
      <ns0:c r="E29" s="19" t="n">
        <ns0:v>0.6470590000000001</ns0:v>
      </ns0:c>
      <ns0:c r="F29" s="8" t="inlineStr">
        <ns0:is>
          <ns0:t>test-retest</ns0:t>
        </ns0:is>
      </ns0:c>
    </ns0:row>
    <ns0:row r="30" ht="24" customHeight="1" s="2">
      <ns0:c r="A30" s="12" t="inlineStr">
        <ns0:is>
          <ns0:t>final state</ns0:t>
        </ns0:is>
      </ns0:c>
      <ns0:c r="B30" s="18" t="n">
        <ns0:v>24</ns0:v>
      </ns0:c>
      <ns0:c r="C30" s="18" t="n">
        <ns0:v>20</ns0:v>
      </ns0:c>
      <ns0:c r="D30" s="13" t="n">
        <ns0:v>0.833333</ns0:v>
      </ns0:c>
      <ns0:c r="E30" s="20" t="n">
        <ns0:v>0.705521</ns0:v>
      </ns0:c>
      <ns0:c r="F30" s="12" t="inlineStr">
        <ns0:is>
          <ns0:t>20/24 一致</ns0:t>
        </ns0:is>
      </ns0:c>
    </ns0:row>
    <ns0:row r="31" ht="24" customHeight="1" s="2">
      <ns0:c r="A31" s="8" t="inlineStr">
        <ns0:is>
          <ns0:t>三字段完全一致</ns0:t>
        </ns0:is>
      </ns0:c>
      <ns0:c r="B31" s="17" t="n">
        <ns0:v>24</ns0:v>
      </ns0:c>
      <ns0:c r="C31" s="17" t="n">
        <ns0:v>19</ns0:v>
      </ns0:c>
      <ns0:c r="D31" s="10" t="n">
        <ns0:v>0.791667</ns0:v>
      </ns0:c>
      <ns0:c r="E31" s="19" t="n">
        <ns0:v>0.722222</ns0:v>
      </ns0:c>
      <ns0:c r="F31" s="8" t="inlineStr">
        <ns0:is>
          <ns0:t>state+evidence+error type</ns0:t>
        </ns0:is>
      </ns0:c>
    </ns0:row>
    <ns0:row r="32" ht="24" customHeight="1" s="2">
      <ns0:c r="A32" s="12" t="inlineStr">
        <ns0:is>
          <ns0:t>两轮均 WRONG 的错误类型</ns0:t>
        </ns0:is>
      </ns0:c>
      <ns0:c r="B32" s="18" t="n">
        <ns0:v>10</ns0:v>
      </ns0:c>
      <ns0:c r="C32" s="18" t="n">
        <ns0:v>9</ns0:v>
      </ns0:c>
      <ns0:c r="D32" s="13" t="n">
        <ns0:v>0.9</ns0:v>
      </ns0:c>
      <ns0:c r="E32" s="20" t="n">
        <ns0:v>0.861111</ns0:v>
      </ns0:c>
      <ns0:c r="F32" s="12" t="inlineStr">
        <ns0:is>
          <ns0:t>条件子集</ns0:t>
        </ns0:is>
      </ns0:c>
    </ns0:row>
  </ns0:sheetData>
  <ns0:mergeCells count="7">
    <ns0:mergeCell ref="A1:J1"/>
    <ns0:mergeCell ref="A2:J2"/>
    <ns0:mergeCell ref="A27:J27"/>
    <ns0:mergeCell ref="A21:J21"/>
    <ns0:mergeCell ref="A4:J4"/>
    <ns0:mergeCell ref="A16:J16"/>
    <ns0:mergeCell ref="A10:J10"/>
  </ns0:mergeCells>
  <ns0:pageMargins left="0.7" right="0.7" top="0.75" bottom="0.75" header="0.3" footer="0.3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/>
  </ns0:sheetPr>
  <ns0:dimension ref="A1:J51"/>
  <ns0:sheetViews>
    <ns0:sheetView showGridLines="0" workbookViewId="0">
      <ns0:selection activeCell="A1" sqref="A1"/>
    </ns0:sheetView>
  </ns0:sheetViews>
  <ns0:sheetFormatPr baseColWidth="8" defaultRowHeight="15"/>
  <ns0:cols>
    <ns0:col width="28" customWidth="1" style="2" min="1" max="1"/>
    <ns0:col width="20" customWidth="1" style="2" min="2" max="2"/>
    <ns0:col width="15" customWidth="1" style="2" min="3" max="3"/>
    <ns0:col width="15" customWidth="1" style="2" min="4" max="4"/>
    <ns0:col width="16" customWidth="1" style="2" min="5" max="5"/>
    <ns0:col width="42" customWidth="1" style="2" min="6" max="6"/>
    <ns0:col width="18" customWidth="1" style="2" min="7" max="7"/>
    <ns0:col width="14" customWidth="1" style="2" min="8" max="8"/>
    <ns0:col width="28" customWidth="1" style="2" min="9" max="9"/>
    <ns0:col width="14" customWidth="1" style="2" min="10" max="10"/>
  </ns0:cols>
  <ns0:sheetData>
    <ns0:row r="1" ht="30" customHeight="1" s="2">
      <ns0:c r="A1" s="243" t="inlineStr">
        <ns0:is>
          <ns0:t>ali-my-VLM：全量诊断与修复后评测</ns0:t>
        </ns0:is>
      </ns0:c>
      <ns0:c r="B1" s="158" t="n"/>
      <ns0:c r="C1" s="158" t="n"/>
      <ns0:c r="D1" s="158" t="n"/>
      <ns0:c r="E1" s="158" t="n"/>
      <ns0:c r="F1" s="158" t="n"/>
      <ns0:c r="G1" s="158" t="n"/>
      <ns0:c r="H1" s="158" t="n"/>
      <ns0:c r="I1" s="158" t="n"/>
      <ns0:c r="J1" s="159" t="n"/>
    </ns0:row>
    <ns0:row r="2" ht="34" customHeight="1" s="2">
      <ns0:c r="A2" s="244" t="inlineStr">
        <ns0:is>
          <ns0:t>开发烟测与 full_97 分开；修复后同时报告原生 clip_ft 对照和 map_class_name 标签感知轨道。</ns0:t>
        </ns0:is>
      </ns0:c>
      <ns0:c r="B2" s="158" t="n"/>
      <ns0:c r="C2" s="158" t="n"/>
      <ns0:c r="D2" s="158" t="n"/>
      <ns0:c r="E2" s="158" t="n"/>
      <ns0:c r="F2" s="158" t="n"/>
      <ns0:c r="G2" s="158" t="n"/>
      <ns0:c r="H2" s="158" t="n"/>
      <ns0:c r="I2" s="158" t="n"/>
      <ns0:c r="J2" s="159" t="n"/>
    </ns0:row>
    <ns0:row r="3"/>
    <ns0:row r="4" ht="22" customHeight="1" s="2">
      <ns0:c r="A4" s="245" t="inlineStr">
        <ns0:is>
          <ns0:t>A. 开发/烟测与正式全量</ns0:t>
        </ns0:is>
      </ns0:c>
      <ns0:c r="B4" s="158" t="n"/>
      <ns0:c r="C4" s="158" t="n"/>
      <ns0:c r="D4" s="158" t="n"/>
      <ns0:c r="E4" s="158" t="n"/>
      <ns0:c r="F4" s="158" t="n"/>
      <ns0:c r="G4" s="158" t="n"/>
      <ns0:c r="H4" s="158" t="n"/>
      <ns0:c r="I4" s="158" t="n"/>
      <ns0:c r="J4" s="159" t="n"/>
    </ns0:row>
    <ns0:row r="5" ht="30" customHeight="1" s="2">
      <ns0:c r="A5" s="7" t="inlineStr">
        <ns0:is>
          <ns0:t>运行</ns0:t>
        </ns0:is>
      </ns0:c>
      <ns0:c r="B5" s="7" t="inlineStr">
        <ns0:is>
          <ns0:t>n</ns0:t>
        </ns0:is>
      </ns0:c>
      <ns0:c r="C5" s="7" t="inlineStr">
        <ns0:is>
          <ns0:t>状态准确率</ns0:t>
        </ns0:is>
      </ns0:c>
      <ns0:c r="D5" s="7" t="inlineStr">
        <ns0:is>
          <ns0:t>WRONG Precision</ns0:t>
        </ns0:is>
      </ns0:c>
      <ns0:c r="E5" s="7" t="inlineStr">
        <ns0:is>
          <ns0:t>WRONG Recall</ns0:t>
        </ns0:is>
      </ns0:c>
      <ns0:c r="F5" s="7" t="inlineStr">
        <ns0:is>
          <ns0:t>WRONG F1</ns0:t>
        </ns0:is>
      </ns0:c>
      <ns0:c r="G5" s="7" t="inlineStr">
        <ns0:is>
          <ns0:t>错误类型准确率</ns0:t>
        </ns0:is>
      </ns0:c>
      <ns0:c r="H5" s="7" t="inlineStr">
        <ns0:is>
          <ns0:t>Brier</ns0:t>
        </ns0:is>
      </ns0:c>
      <ns0:c r="I5" s="7" t="inlineStr">
        <ns0:is>
          <ns0:t>定位</ns0:t>
        </ns0:is>
      </ns0:c>
    </ns0:row>
    <ns0:row r="6" ht="24" customHeight="1" s="2">
      <ns0:c r="A6" s="8" t="inlineStr">
        <ns0:is>
          <ns0:t>smoke_6_terra_v1</ns0:t>
        </ns0:is>
      </ns0:c>
      <ns0:c r="B6" s="17" t="n">
        <ns0:v>6</ns0:v>
      </ns0:c>
      <ns0:c r="C6" s="10" t="n">
        <ns0:v>0.3333</ns0:v>
      </ns0:c>
      <ns0:c r="D6" s="10" t="n">
        <ns0:v>1</ns0:v>
      </ns0:c>
      <ns0:c r="E6" s="10" t="n">
        <ns0:v>0.2</ns0:v>
      </ns0:c>
      <ns0:c r="F6" s="10" t="n">
        <ns0:v>0.3333</ns0:v>
      </ns0:c>
      <ns0:c r="G6" s="10" t="n">
        <ns0:v>0</ns0:v>
      </ns0:c>
      <ns0:c r="H6" s="19" t="n">
        <ns0:v>0.631433</ns0:v>
      </ns0:c>
      <ns0:c r="I6" s="8" t="inlineStr">
        <ns0:is>
          <ns0:t>开发烟测</ns0:t>
        </ns0:is>
      </ns0:c>
    </ns0:row>
    <ns0:row r="7" ht="24" customHeight="1" s="2">
      <ns0:c r="A7" s="12" t="inlineStr">
        <ns0:is>
          <ns0:t>smoke_6_hier_terra_v1</ns0:t>
        </ns0:is>
      </ns0:c>
      <ns0:c r="B7" s="18" t="n">
        <ns0:v>5</ns0:v>
      </ns0:c>
      <ns0:c r="C7" s="13" t="n">
        <ns0:v>0.6</ns0:v>
      </ns0:c>
      <ns0:c r="D7" s="13" t="n">
        <ns0:v>1</ns0:v>
      </ns0:c>
      <ns0:c r="E7" s="13" t="n">
        <ns0:v>0.5</ns0:v>
      </ns0:c>
      <ns0:c r="F7" s="13" t="n">
        <ns0:v>0.6667</ns0:v>
      </ns0:c>
      <ns0:c r="G7" s="13" t="n">
        <ns0:v>0.5</ns0:v>
      </ns0:c>
      <ns0:c r="H7" s="20" t="n">
        <ns0:v>0.10738</ns0:v>
      </ns0:c>
      <ns0:c r="I7" s="12" t="inlineStr">
        <ns0:is>
          <ns0:t>开发烟测；实际匹配5例</ns0:t>
        </ns0:is>
      </ns0:c>
    </ns0:row>
    <ns0:row r="8" ht="24" customHeight="1" s="2">
      <ns0:c r="A8" s="8" t="inlineStr">
        <ns0:is>
          <ns0:t>smoke_6_terra_sol_v1</ns0:t>
        </ns0:is>
      </ns0:c>
      <ns0:c r="B8" s="17" t="n">
        <ns0:v>6</ns0:v>
      </ns0:c>
      <ns0:c r="C8" s="10" t="n">
        <ns0:v>1</ns0:v>
      </ns0:c>
      <ns0:c r="D8" s="10" t="n">
        <ns0:v>1</ns0:v>
      </ns0:c>
      <ns0:c r="E8" s="10" t="n">
        <ns0:v>1</ns0:v>
      </ns0:c>
      <ns0:c r="F8" s="10" t="n">
        <ns0:v>1</ns0:v>
      </ns0:c>
      <ns0:c r="G8" s="10" t="n">
        <ns0:v>0.6</ns0:v>
      </ns0:c>
      <ns0:c r="H8" s="19" t="n">
        <ns0:v>0.0395</ns0:v>
      </ns0:c>
      <ns0:c r="I8" s="8" t="inlineStr">
        <ns0:is>
          <ns0:t>小选择集</ns0:t>
        </ns0:is>
      </ns0:c>
    </ns0:row>
    <ns0:row r="9" ht="24" customHeight="1" s="2">
      <ns0:c r="A9" s="12" t="inlineStr">
        <ns0:is>
          <ns0:t>dev_12_terra_sol_v1</ns0:t>
        </ns0:is>
      </ns0:c>
      <ns0:c r="B9" s="18" t="n">
        <ns0:v>12</ns0:v>
      </ns0:c>
      <ns0:c r="C9" s="13" t="n">
        <ns0:v>0.5833</ns0:v>
      </ns0:c>
      <ns0:c r="D9" s="13" t="n">
        <ns0:v>0.8571</ns0:v>
      </ns0:c>
      <ns0:c r="E9" s="13" t="n">
        <ns0:v>0.8571</ns0:v>
      </ns0:c>
      <ns0:c r="F9" s="13" t="n">
        <ns0:v>0.8571</ns0:v>
      </ns0:c>
      <ns0:c r="G9" s="13" t="n">
        <ns0:v>0.6667</ns0:v>
      </ns0:c>
      <ns0:c r="H9" s="20" t="n">
        <ns0:v>0.21038</ns0:v>
      </ns0:c>
      <ns0:c r="I9" s="12" t="inlineStr">
        <ns0:is>
          <ns0:t>开发集</ns0:t>
        </ns0:is>
      </ns0:c>
    </ns0:row>
    <ns0:row r="10" ht="24" customHeight="1" s="2">
      <ns0:c r="A10" s="8" t="inlineStr">
        <ns0:is>
          <ns0:t>full_97_locked_v1</ns0:t>
        </ns0:is>
      </ns0:c>
      <ns0:c r="B10" s="17" t="n">
        <ns0:v>97</ns0:v>
      </ns0:c>
      <ns0:c r="C10" s="10" t="n">
        <ns0:v>0.670103</ns0:v>
      </ns0:c>
      <ns0:c r="D10" s="10" t="n">
        <ns0:v>0.584906</ns0:v>
      </ns0:c>
      <ns0:c r="E10" s="10" t="n">
        <ns0:v>0.775</ns0:v>
      </ns0:c>
      <ns0:c r="F10" s="10" t="n">
        <ns0:v>0.666667</ns0:v>
      </ns0:c>
      <ns0:c r="G10" s="10" t="n">
        <ns0:v>0.483871</ns0:v>
      </ns0:c>
      <ns0:c r="H10" s="19" t="n">
        <ns0:v>0.266206</ns0:v>
      </ns0:c>
      <ns0:c r="I10" s="8" t="inlineStr">
        <ns0:is>
          <ns0:t>正式全量</ns0:t>
        </ns0:is>
      </ns0:c>
    </ns0:row>
    <ns0:row r="11"/>
    <ns0:row r="12" ht="22" customHeight="1" s="2">
      <ns0:c r="A12" s="245" t="inlineStr">
        <ns0:is>
          <ns0:t>B. full_97 状态混淆（行=R1，列=VLM）</ns0:t>
        </ns0:is>
      </ns0:c>
      <ns0:c r="B12" s="158" t="n"/>
      <ns0:c r="C12" s="158" t="n"/>
      <ns0:c r="D12" s="158" t="n"/>
      <ns0:c r="E12" s="158" t="n"/>
      <ns0:c r="F12" s="158" t="n"/>
      <ns0:c r="G12" s="158" t="n"/>
      <ns0:c r="H12" s="158" t="n"/>
      <ns0:c r="I12" s="158" t="n"/>
      <ns0:c r="J12" s="159" t="n"/>
    </ns0:row>
    <ns0:row r="13" ht="30" customHeight="1" s="2">
      <ns0:c r="A13" s="7" t="inlineStr">
        <ns0:is>
          <ns0:t>R1状态</ns0:t>
        </ns0:is>
      </ns0:c>
      <ns0:c r="B13" s="7" t="inlineStr">
        <ns0:is>
          <ns0:t>VLM CORRECT</ns0:t>
        </ns0:is>
      </ns0:c>
      <ns0:c r="C13" s="7" t="inlineStr">
        <ns0:is>
          <ns0:t>VLM UNCLEAR</ns0:t>
        </ns0:is>
      </ns0:c>
      <ns0:c r="D13" s="7" t="inlineStr">
        <ns0:is>
          <ns0:t>VLM WRONG</ns0:t>
        </ns0:is>
      </ns0:c>
      <ns0:c r="E13" s="7" t="inlineStr">
        <ns0:is>
          <ns0:t>合计</ns0:t>
        </ns0:is>
      </ns0:c>
    </ns0:row>
    <ns0:row r="14" ht="24" customHeight="1" s="2">
      <ns0:c r="A14" s="8" t="inlineStr">
        <ns0:is>
          <ns0:t>CORRECT</ns0:t>
        </ns0:is>
      </ns0:c>
      <ns0:c r="B14" s="17" t="n">
        <ns0:v>33</ns0:v>
      </ns0:c>
      <ns0:c r="C14" s="17" t="n">
        <ns0:v>0</ns0:v>
      </ns0:c>
      <ns0:c r="D14" s="17" t="n">
        <ns0:v>22</ns0:v>
      </ns0:c>
      <ns0:c r="E14" s="17" t="n">
        <ns0:v>55</ns0:v>
      </ns0:c>
    </ns0:row>
    <ns0:row r="15" ht="24" customHeight="1" s="2">
      <ns0:c r="A15" s="12" t="inlineStr">
        <ns0:is>
          <ns0:t>UNCLEAR</ns0:t>
        </ns0:is>
      </ns0:c>
      <ns0:c r="B15" s="18" t="n">
        <ns0:v>0</ns0:v>
      </ns0:c>
      <ns0:c r="C15" s="18" t="n">
        <ns0:v>1</ns0:v>
      </ns0:c>
      <ns0:c r="D15" s="18" t="n">
        <ns0:v>1</ns0:v>
      </ns0:c>
      <ns0:c r="E15" s="18" t="n">
        <ns0:v>2</ns0:v>
      </ns0:c>
    </ns0:row>
    <ns0:row r="16" ht="24" customHeight="1" s="2">
      <ns0:c r="A16" s="8" t="inlineStr">
        <ns0:is>
          <ns0:t>WRONG</ns0:t>
        </ns0:is>
      </ns0:c>
      <ns0:c r="B16" s="17" t="n">
        <ns0:v>8</ns0:v>
      </ns0:c>
      <ns0:c r="C16" s="17" t="n">
        <ns0:v>1</ns0:v>
      </ns0:c>
      <ns0:c r="D16" s="17" t="n">
        <ns0:v>31</ns0:v>
      </ns0:c>
      <ns0:c r="E16" s="17" t="n">
        <ns0:v>40</ns0:v>
      </ns0:c>
    </ns0:row>
    <ns0:row r="17" ht="24" customHeight="1" s="2">
      <ns0:c r="A17" s="12" t="inlineStr">
        <ns0:is>
          <ns0:t>合计</ns0:t>
        </ns0:is>
      </ns0:c>
      <ns0:c r="B17" s="18" t="n">
        <ns0:v>41</ns0:v>
      </ns0:c>
      <ns0:c r="C17" s="18" t="n">
        <ns0:v>2</ns0:v>
      </ns0:c>
      <ns0:c r="D17" s="18" t="n">
        <ns0:v>54</ns0:v>
      </ns0:c>
      <ns0:c r="E17" s="18" t="n">
        <ns0:v>97</ns0:v>
      </ns0:c>
    </ns0:row>
    <ns0:row r="18"/>
    <ns0:row r="19" ht="22" customHeight="1" s="2">
      <ns0:c r="A19" s="245" t="inlineStr">
        <ns0:is>
          <ns0:t>C. full_97 门控状态</ns0:t>
        </ns0:is>
      </ns0:c>
      <ns0:c r="B19" s="158" t="n"/>
      <ns0:c r="C19" s="158" t="n"/>
      <ns0:c r="D19" s="158" t="n"/>
      <ns0:c r="E19" s="158" t="n"/>
      <ns0:c r="F19" s="158" t="n"/>
      <ns0:c r="G19" s="158" t="n"/>
      <ns0:c r="H19" s="158" t="n"/>
      <ns0:c r="I19" s="158" t="n"/>
      <ns0:c r="J19" s="159" t="n"/>
    </ns0:row>
    <ns0:row r="20" ht="30" customHeight="1" s="2">
      <ns0:c r="A20" s="7" t="inlineStr">
        <ns0:is>
          <ns0:t>状态</ns0:t>
        </ns0:is>
      </ns0:c>
      <ns0:c r="B20" s="7" t="inlineStr">
        <ns0:is>
          <ns0:t>数量</ns0:t>
        </ns0:is>
      </ns0:c>
      <ns0:c r="C20" s="7" t="inlineStr">
        <ns0:is>
          <ns0:t>解释</ns0:t>
        </ns0:is>
      </ns0:c>
    </ns0:row>
    <ns0:row r="21" ht="24" customHeight="1" s="2">
      <ns0:c r="A21" s="8" t="inlineStr">
        <ns0:is>
          <ns0:t>APPROVED_FOR_DERIVED_MAP</ns0:t>
        </ns0:is>
      </ns0:c>
      <ns0:c r="B21" s="17" t="n">
        <ns0:v>19</ns0:v>
      </ns0:c>
      <ns0:c r="C21" s="8" t="inlineStr">
        <ns0:is>
          <ns0:t>17 RELABEL + 2 MERGE_WITH</ns0:t>
        </ns0:is>
      </ns0:c>
    </ns0:row>
    <ns0:row r="22" ht="24" customHeight="1" s="2">
      <ns0:c r="A22" s="12" t="inlineStr">
        <ns0:is>
          <ns0:t>BELOW_DIAGNOSIS_THRESHOLD</ns0:t>
        </ns0:is>
      </ns0:c>
      <ns0:c r="B22" s="18" t="n">
        <ns0:v>14</ns0:v>
      </ns0:c>
      <ns0:c r="C22" s="12" t="inlineStr">
        <ns0:is>
          <ns0:t>诊断置信度不足</ns0:t>
        </ns0:is>
      </ns0:c>
    </ns0:row>
    <ns0:row r="23" ht="24" customHeight="1" s="2">
      <ns0:c r="A23" s="8" t="inlineStr">
        <ns0:is>
          <ns0:t>BELOW_VERIFICATION_THRESHOLD</ns0:t>
        </ns0:is>
      </ns0:c>
      <ns0:c r="B23" s="17" t="n">
        <ns0:v>2</ns0:v>
      </ns0:c>
      <ns0:c r="C23" s="8" t="inlineStr">
        <ns0:is>
          <ns0:t>复核置信度不足</ns0:t>
        </ns0:is>
      </ns0:c>
    </ns0:row>
    <ns0:row r="24" ht="24" customHeight="1" s="2">
      <ns0:c r="A24" s="12" t="inlineStr">
        <ns0:is>
          <ns0:t>NEEDS_FULL_MEMBER_PASS</ns0:t>
        </ns0:is>
      </ns0:c>
      <ns0:c r="B24" s="18" t="n">
        <ns0:v>12</ns0:v>
      </ns0:c>
      <ns0:c r="C24" s="12" t="inlineStr">
        <ns0:is>
          <ns0:t>结构修复不自动执行</ns0:t>
        </ns0:is>
      </ns0:c>
    </ns0:row>
    <ns0:row r="25" ht="24" customHeight="1" s="2">
      <ns0:c r="A25" s="8" t="inlineStr">
        <ns0:is>
          <ns0:t>VERIFIER_REJECTED</ns0:t>
        </ns0:is>
      </ns0:c>
      <ns0:c r="B25" s="17" t="n">
        <ns0:v>2</ns0:v>
      </ns0:c>
      <ns0:c r="C25" s="8" t="inlineStr">
        <ns0:is>
          <ns0:t>复核拒绝</ns0:t>
        </ns0:is>
      </ns0:c>
    </ns0:row>
    <ns0:row r="26" ht="24" customHeight="1" s="2">
      <ns0:c r="A26" s="12" t="inlineStr">
        <ns0:is>
          <ns0:t>NO_MUTATION</ns0:t>
        </ns0:is>
      </ns0:c>
      <ns0:c r="B26" s="18" t="n">
        <ns0:v>48</ns0:v>
      </ns0:c>
      <ns0:c r="C26" s="12" t="inlineStr">
        <ns0:is>
          <ns0:t>无修改</ns0:t>
        </ns0:is>
      </ns0:c>
    </ns0:row>
    <ns0:row r="27"/>
    <ns0:row r="28" ht="22" customHeight="1" s="2">
      <ns0:c r="A28" s="245" t="inlineStr">
        <ns0:is>
          <ns0:t>D. 两场景修复后下游对比</ns0:t>
        </ns0:is>
      </ns0:c>
      <ns0:c r="B28" s="158" t="n"/>
      <ns0:c r="C28" s="158" t="n"/>
      <ns0:c r="D28" s="158" t="n"/>
      <ns0:c r="E28" s="158" t="n"/>
      <ns0:c r="F28" s="158" t="n"/>
      <ns0:c r="G28" s="158" t="n"/>
      <ns0:c r="H28" s="158" t="n"/>
      <ns0:c r="I28" s="158" t="n"/>
      <ns0:c r="J28" s="159" t="n"/>
    </ns0:row>
    <ns0:row r="29" ht="30" customHeight="1" s="2">
      <ns0:c r="A29" s="7" t="inlineStr">
        <ns0:is>
          <ns0:t>轨道</ns0:t>
        </ns0:is>
      </ns0:c>
      <ns0:c r="B29" s="7" t="inlineStr">
        <ns0:is>
          <ns0:t>指标</ns0:t>
        </ns0:is>
      </ns0:c>
      <ns0:c r="C29" s="7" t="inlineStr">
        <ns0:is>
          <ns0:t>修复前</ns0:t>
        </ns0:is>
      </ns0:c>
      <ns0:c r="D29" s="7" t="inlineStr">
        <ns0:is>
          <ns0:t>修复后</ns0:t>
        </ns0:is>
      </ns0:c>
      <ns0:c r="E29" s="7" t="inlineStr">
        <ns0:is>
          <ns0:t>差值（pp）</ns0:t>
        </ns0:is>
      </ns0:c>
      <ns0:c r="F29" s="7" t="inlineStr">
        <ns0:is>
          <ns0:t>解释</ns0:t>
        </ns0:is>
      </ns0:c>
    </ns0:row>
    <ns0:row r="30" ht="24" customHeight="1" s="2">
      <ns0:c r="A30" s="8" t="inlineStr">
        <ns0:is>
          <ns0:t>语义 native_clip_ft</ns0:t>
        </ns0:is>
      </ns0:c>
      <ns0:c r="B30" s="8" t="inlineStr">
        <ns0:is>
          <ns0:t>mIoU</ns0:t>
        </ns0:is>
      </ns0:c>
      <ns0:c r="C30" s="10" t="n">
        <ns0:v>0.266955</ns0:v>
      </ns0:c>
      <ns0:c r="D30" s="10" t="n">
        <ns0:v>0.266955</ns0:v>
      </ns0:c>
      <ns0:c r="E30" s="11" t="n">
        <ns0:v>0</ns0:v>
      </ns0:c>
      <ns0:c r="F30" s="8" t="inlineStr">
        <ns0:is>
          <ns0:t>视觉特征对照</ns0:t>
        </ns0:is>
      </ns0:c>
    </ns0:row>
    <ns0:row r="31" ht="24" customHeight="1" s="2">
      <ns0:c r="A31" s="12" t="inlineStr">
        <ns0:is>
          <ns0:t>语义 native_clip_ft</ns0:t>
        </ns0:is>
      </ns0:c>
      <ns0:c r="B31" s="12" t="inlineStr">
        <ns0:is>
          <ns0:t>mRecall</ns0:t>
        </ns0:is>
      </ns0:c>
      <ns0:c r="C31" s="13" t="n">
        <ns0:v>0.434818</ns0:v>
      </ns0:c>
      <ns0:c r="D31" s="13" t="n">
        <ns0:v>0.434818</ns0:v>
      </ns0:c>
      <ns0:c r="E31" s="14" t="n">
        <ns0:v>0</ns0:v>
      </ns0:c>
      <ns0:c r="F31" s="12" t="inlineStr">
        <ns0:is>
          <ns0:t>不变</ns0:t>
        </ns0:is>
      </ns0:c>
    </ns0:row>
    <ns0:row r="32" ht="24" customHeight="1" s="2">
      <ns0:c r="A32" s="8" t="inlineStr">
        <ns0:is>
          <ns0:t>语义 native_clip_ft</ns0:t>
        </ns0:is>
      </ns0:c>
      <ns0:c r="B32" s="8" t="inlineStr">
        <ns0:is>
          <ns0:t>mPrecision</ns0:t>
        </ns0:is>
      </ns0:c>
      <ns0:c r="C32" s="10" t="n">
        <ns0:v>0.331909</ns0:v>
      </ns0:c>
      <ns0:c r="D32" s="10" t="n">
        <ns0:v>0.331909</ns0:v>
      </ns0:c>
      <ns0:c r="E32" s="11" t="n">
        <ns0:v>0</ns0:v>
      </ns0:c>
      <ns0:c r="F32" s="8" t="inlineStr">
        <ns0:is>
          <ns0:t>不变</ns0:t>
        </ns0:is>
      </ns0:c>
    </ns0:row>
    <ns0:row r="33" ht="24" customHeight="1" s="2">
      <ns0:c r="A33" s="12" t="inlineStr">
        <ns0:is>
          <ns0:t>语义 native_clip_ft</ns0:t>
        </ns0:is>
      </ns0:c>
      <ns0:c r="B33" s="12" t="inlineStr">
        <ns0:is>
          <ns0:t>mF1</ns0:t>
        </ns0:is>
      </ns0:c>
      <ns0:c r="C33" s="13" t="n">
        <ns0:v>0.326299</ns0:v>
      </ns0:c>
      <ns0:c r="D33" s="13" t="n">
        <ns0:v>0.326299</ns0:v>
      </ns0:c>
      <ns0:c r="E33" s="14" t="n">
        <ns0:v>0</ns0:v>
      </ns0:c>
      <ns0:c r="F33" s="12" t="inlineStr">
        <ns0:is>
          <ns0:t>不变</ns0:t>
        </ns0:is>
      </ns0:c>
    </ns0:row>
    <ns0:row r="34" ht="24" customHeight="1" s="2">
      <ns0:c r="A34" s="8" t="inlineStr">
        <ns0:is>
          <ns0:t>语义 native_clip_ft</ns0:t>
        </ns0:is>
      </ns0:c>
      <ns0:c r="B34" s="8" t="inlineStr">
        <ns0:is>
          <ns0:t>fwIoU</ns0:t>
        </ns0:is>
      </ns0:c>
      <ns0:c r="C34" s="10" t="n">
        <ns0:v>0.49743</ns0:v>
      </ns0:c>
      <ns0:c r="D34" s="10" t="n">
        <ns0:v>0.49743</ns0:v>
      </ns0:c>
      <ns0:c r="E34" s="11" t="n">
        <ns0:v>0</ns0:v>
      </ns0:c>
      <ns0:c r="F34" s="8" t="inlineStr">
        <ns0:is>
          <ns0:t>不变</ns0:t>
        </ns0:is>
      </ns0:c>
    </ns0:row>
    <ns0:row r="35" ht="24" customHeight="1" s="2">
      <ns0:c r="A35" s="12" t="inlineStr">
        <ns0:is>
          <ns0:t>语义 native_clip_ft</ns0:t>
        </ns0:is>
      </ns0:c>
      <ns0:c r="B35" s="12" t="inlineStr">
        <ns0:is>
          <ns0:t>点准确率</ns0:t>
        </ns0:is>
      </ns0:c>
      <ns0:c r="C35" s="13" t="n">
        <ns0:v>0.613672</ns0:v>
      </ns0:c>
      <ns0:c r="D35" s="13" t="n">
        <ns0:v>0.613672</ns0:v>
      </ns0:c>
      <ns0:c r="E35" s="14" t="n">
        <ns0:v>0</ns0:v>
      </ns0:c>
      <ns0:c r="F35" s="12" t="inlineStr">
        <ns0:is>
          <ns0:t>不变</ns0:t>
        </ns0:is>
      </ns0:c>
    </ns0:row>
    <ns0:row r="36" ht="24" customHeight="1" s="2">
      <ns0:c r="A36" s="8" t="inlineStr">
        <ns0:is>
          <ns0:t>语义 map_class_name</ns0:t>
        </ns0:is>
      </ns0:c>
      <ns0:c r="B36" s="8" t="inlineStr">
        <ns0:is>
          <ns0:t>mIoU</ns0:t>
        </ns0:is>
      </ns0:c>
      <ns0:c r="C36" s="10" t="n">
        <ns0:v>0.324926</ns0:v>
      </ns0:c>
      <ns0:c r="D36" s="10" t="n">
        <ns0:v>0.450415</ns0:v>
      </ns0:c>
      <ns0:c r="E36" s="11" t="n">
        <ns0:v>12.55</ns0:v>
      </ns0:c>
      <ns0:c r="F36" s="8" t="inlineStr">
        <ns0:is>
          <ns0:t>标签感知</ns0:t>
        </ns0:is>
      </ns0:c>
    </ns0:row>
    <ns0:row r="37" ht="24" customHeight="1" s="2">
      <ns0:c r="A37" s="12" t="inlineStr">
        <ns0:is>
          <ns0:t>语义 map_class_name</ns0:t>
        </ns0:is>
      </ns0:c>
      <ns0:c r="B37" s="12" t="inlineStr">
        <ns0:is>
          <ns0:t>mRecall</ns0:t>
        </ns0:is>
      </ns0:c>
      <ns0:c r="C37" s="13" t="n">
        <ns0:v>0.515424</ns0:v>
      </ns0:c>
      <ns0:c r="D37" s="13" t="n">
        <ns0:v>0.6545879999999999</ns0:v>
      </ns0:c>
      <ns0:c r="E37" s="14" t="n">
        <ns0:v>13.92</ns0:v>
      </ns0:c>
      <ns0:c r="F37" s="12" t="inlineStr">
        <ns0:is>
          <ns0:t>标签感知</ns0:t>
        </ns0:is>
      </ns0:c>
    </ns0:row>
    <ns0:row r="38" ht="24" customHeight="1" s="2">
      <ns0:c r="A38" s="8" t="inlineStr">
        <ns0:is>
          <ns0:t>语义 map_class_name</ns0:t>
        </ns0:is>
      </ns0:c>
      <ns0:c r="B38" s="8" t="inlineStr">
        <ns0:is>
          <ns0:t>mPrecision</ns0:t>
        </ns0:is>
      </ns0:c>
      <ns0:c r="C38" s="10" t="n">
        <ns0:v>0.344695</ns0:v>
      </ns0:c>
      <ns0:c r="D38" s="10" t="n">
        <ns0:v>0.495286</ns0:v>
      </ns0:c>
      <ns0:c r="E38" s="11" t="n">
        <ns0:v>15.06</ns0:v>
      </ns0:c>
      <ns0:c r="F38" s="8" t="inlineStr">
        <ns0:is>
          <ns0:t>标签感知</ns0:t>
        </ns0:is>
      </ns0:c>
    </ns0:row>
    <ns0:row r="39" ht="24" customHeight="1" s="2">
      <ns0:c r="A39" s="12" t="inlineStr">
        <ns0:is>
          <ns0:t>语义 map_class_name</ns0:t>
        </ns0:is>
      </ns0:c>
      <ns0:c r="B39" s="12" t="inlineStr">
        <ns0:is>
          <ns0:t>mF1</ns0:t>
        </ns0:is>
      </ns0:c>
      <ns0:c r="C39" s="13" t="n">
        <ns0:v>0.388993</ns0:v>
      </ns0:c>
      <ns0:c r="D39" s="13" t="n">
        <ns0:v>0.5296110000000001</ns0:v>
      </ns0:c>
      <ns0:c r="E39" s="14" t="n">
        <ns0:v>14.06</ns0:v>
      </ns0:c>
      <ns0:c r="F39" s="12" t="inlineStr">
        <ns0:is>
          <ns0:t>标签感知</ns0:t>
        </ns0:is>
      </ns0:c>
    </ns0:row>
    <ns0:row r="40" ht="24" customHeight="1" s="2">
      <ns0:c r="A40" s="8" t="inlineStr">
        <ns0:is>
          <ns0:t>语义 map_class_name</ns0:t>
        </ns0:is>
      </ns0:c>
      <ns0:c r="B40" s="8" t="inlineStr">
        <ns0:is>
          <ns0:t>fwIoU</ns0:t>
        </ns0:is>
      </ns0:c>
      <ns0:c r="C40" s="10" t="n">
        <ns0:v>0.434606</ns0:v>
      </ns0:c>
      <ns0:c r="D40" s="10" t="n">
        <ns0:v>0.62642</ns0:v>
      </ns0:c>
      <ns0:c r="E40" s="11" t="n">
        <ns0:v>19.18</ns0:v>
      </ns0:c>
      <ns0:c r="F40" s="8" t="inlineStr">
        <ns0:is>
          <ns0:t>标签感知</ns0:t>
        </ns0:is>
      </ns0:c>
    </ns0:row>
    <ns0:row r="41" ht="24" customHeight="1" s="2">
      <ns0:c r="A41" s="12" t="inlineStr">
        <ns0:is>
          <ns0:t>语义 map_class_name</ns0:t>
        </ns0:is>
      </ns0:c>
      <ns0:c r="B41" s="12" t="inlineStr">
        <ns0:is>
          <ns0:t>点准确率</ns0:t>
        </ns0:is>
      </ns0:c>
      <ns0:c r="C41" s="13" t="n">
        <ns0:v>0.576056</ns0:v>
      </ns0:c>
      <ns0:c r="D41" s="13" t="n">
        <ns0:v>0.737092</ns0:v>
      </ns0:c>
      <ns0:c r="E41" s="14" t="n">
        <ns0:v>16.1</ns0:v>
      </ns0:c>
      <ns0:c r="F41" s="12" t="inlineStr">
        <ns0:is>
          <ns0:t>标签感知</ns0:t>
        </ns0:is>
      </ns0:c>
    </ns0:row>
    <ns0:row r="42" ht="24" customHeight="1" s="2">
      <ns0:c r="A42" s="8" t="inlineStr">
        <ns0:is>
          <ns0:t>对象 native_clip_ft</ns0:t>
        </ns0:is>
      </ns0:c>
      <ns0:c r="B42" s="8" t="inlineStr">
        <ns0:is>
          <ns0:t>R@1</ns0:t>
        </ns0:is>
      </ns0:c>
      <ns0:c r="C42" s="10" t="n">
        <ns0:v>0.202703</ns0:v>
      </ns0:c>
      <ns0:c r="D42" s="10" t="n">
        <ns0:v>0.202703</ns0:v>
      </ns0:c>
      <ns0:c r="E42" s="11" t="n">
        <ns0:v>0</ns0:v>
      </ns0:c>
      <ns0:c r="F42" s="8" t="inlineStr">
        <ns0:is>
          <ns0:t>不变</ns0:t>
        </ns0:is>
      </ns0:c>
    </ns0:row>
    <ns0:row r="43" ht="24" customHeight="1" s="2">
      <ns0:c r="A43" s="12" t="inlineStr">
        <ns0:is>
          <ns0:t>对象 native_clip_ft</ns0:t>
        </ns0:is>
      </ns0:c>
      <ns0:c r="B43" s="12" t="inlineStr">
        <ns0:is>
          <ns0:t>R@5</ns0:t>
        </ns0:is>
      </ns0:c>
      <ns0:c r="C43" s="13" t="n">
        <ns0:v>0.364865</ns0:v>
      </ns0:c>
      <ns0:c r="D43" s="13" t="n">
        <ns0:v>0.364865</ns0:v>
      </ns0:c>
      <ns0:c r="E43" s="14" t="n">
        <ns0:v>0</ns0:v>
      </ns0:c>
      <ns0:c r="F43" s="12" t="inlineStr">
        <ns0:is>
          <ns0:t>不变</ns0:t>
        </ns0:is>
      </ns0:c>
    </ns0:row>
    <ns0:row r="44" ht="24" customHeight="1" s="2">
      <ns0:c r="A44" s="8" t="inlineStr">
        <ns0:is>
          <ns0:t>对象 native_clip_ft</ns0:t>
        </ns0:is>
      </ns0:c>
      <ns0:c r="B44" s="8" t="inlineStr">
        <ns0:is>
          <ns0:t>mR@1</ns0:t>
        </ns0:is>
      </ns0:c>
      <ns0:c r="C44" s="10" t="n">
        <ns0:v>0.333567</ns0:v>
      </ns0:c>
      <ns0:c r="D44" s="10" t="n">
        <ns0:v>0.333567</ns0:v>
      </ns0:c>
      <ns0:c r="E44" s="11" t="n">
        <ns0:v>0</ns0:v>
      </ns0:c>
      <ns0:c r="F44" s="8" t="inlineStr">
        <ns0:is>
          <ns0:t>不变</ns0:t>
        </ns0:is>
      </ns0:c>
    </ns0:row>
    <ns0:row r="45" ht="24" customHeight="1" s="2">
      <ns0:c r="A45" s="12" t="inlineStr">
        <ns0:is>
          <ns0:t>对象 native_clip_ft</ns0:t>
        </ns0:is>
      </ns0:c>
      <ns0:c r="B45" s="12" t="inlineStr">
        <ns0:is>
          <ns0:t>mR@5</ns0:t>
        </ns0:is>
      </ns0:c>
      <ns0:c r="C45" s="13" t="n">
        <ns0:v>0.485668</ns0:v>
      </ns0:c>
      <ns0:c r="D45" s="13" t="n">
        <ns0:v>0.485668</ns0:v>
      </ns0:c>
      <ns0:c r="E45" s="14" t="n">
        <ns0:v>0</ns0:v>
      </ns0:c>
      <ns0:c r="F45" s="12" t="inlineStr">
        <ns0:is>
          <ns0:t>不变</ns0:t>
        </ns0:is>
      </ns0:c>
    </ns0:row>
    <ns0:row r="46" ht="24" customHeight="1" s="2">
      <ns0:c r="A46" s="8" t="inlineStr">
        <ns0:is>
          <ns0:t>对象 map_class_name</ns0:t>
        </ns0:is>
      </ns0:c>
      <ns0:c r="B46" s="8" t="inlineStr">
        <ns0:is>
          <ns0:t>R@1</ns0:t>
        </ns0:is>
      </ns0:c>
      <ns0:c r="C46" s="10" t="n">
        <ns0:v>0.364865</ns0:v>
      </ns0:c>
      <ns0:c r="D46" s="10" t="n">
        <ns0:v>0.391892</ns0:v>
      </ns0:c>
      <ns0:c r="E46" s="11" t="n">
        <ns0:v>2.7</ns0:v>
      </ns0:c>
      <ns0:c r="F46" s="8" t="inlineStr">
        <ns0:is>
          <ns0:t>标签感知</ns0:t>
        </ns0:is>
      </ns0:c>
    </ns0:row>
    <ns0:row r="47" ht="24" customHeight="1" s="2">
      <ns0:c r="A47" s="12" t="inlineStr">
        <ns0:is>
          <ns0:t>对象 map_class_name</ns0:t>
        </ns0:is>
      </ns0:c>
      <ns0:c r="B47" s="12" t="inlineStr">
        <ns0:is>
          <ns0:t>R@5</ns0:t>
        </ns0:is>
      </ns0:c>
      <ns0:c r="C47" s="13" t="n">
        <ns0:v>0.418919</ns0:v>
      </ns0:c>
      <ns0:c r="D47" s="13" t="n">
        <ns0:v>0.445946</ns0:v>
      </ns0:c>
      <ns0:c r="E47" s="14" t="n">
        <ns0:v>2.7</ns0:v>
      </ns0:c>
      <ns0:c r="F47" s="12" t="inlineStr">
        <ns0:is>
          <ns0:t>标签感知</ns0:t>
        </ns0:is>
      </ns0:c>
    </ns0:row>
    <ns0:row r="48" ht="24" customHeight="1" s="2">
      <ns0:c r="A48" s="8" t="inlineStr">
        <ns0:is>
          <ns0:t>对象 map_class_name</ns0:t>
        </ns0:is>
      </ns0:c>
      <ns0:c r="B48" s="8" t="inlineStr">
        <ns0:is>
          <ns0:t>mR@1</ns0:t>
        </ns0:is>
      </ns0:c>
      <ns0:c r="C48" s="10" t="n">
        <ns0:v>0.353548</ns0:v>
      </ns0:c>
      <ns0:c r="D48" s="10" t="n">
        <ns0:v>0.492204</ns0:v>
      </ns0:c>
      <ns0:c r="E48" s="11" t="n">
        <ns0:v>13.87</ns0:v>
      </ns0:c>
      <ns0:c r="F48" s="8" t="inlineStr">
        <ns0:is>
          <ns0:t>标签感知</ns0:t>
        </ns0:is>
      </ns0:c>
    </ns0:row>
    <ns0:row r="49" ht="24" customHeight="1" s="2">
      <ns0:c r="A49" s="12" t="inlineStr">
        <ns0:is>
          <ns0:t>对象 map_class_name</ns0:t>
        </ns0:is>
      </ns0:c>
      <ns0:c r="B49" s="12" t="inlineStr">
        <ns0:is>
          <ns0:t>mR@5</ns0:t>
        </ns0:is>
      </ns0:c>
      <ns0:c r="C49" s="13" t="n">
        <ns0:v>0.483613</ns0:v>
      </ns0:c>
      <ns0:c r="D49" s="13" t="n">
        <ns0:v>0.5693279999999999</ns0:v>
      </ns0:c>
      <ns0:c r="E49" s="14" t="n">
        <ns0:v>8.57</ns0:v>
      </ns0:c>
      <ns0:c r="F49" s="12" t="inlineStr">
        <ns0:is>
          <ns0:t>标签感知</ns0:t>
        </ns0:is>
      </ns0:c>
    </ns0:row>
    <ns0:row r="50"/>
    <ns0:row r="51" ht="34" customHeight="1" s="2">
      <ns0:c r="A51" s="246" t="inlineStr">
        <ns0:is>
          <ns0:t>19 个已执行动作中，事后按冻结 R1 核对仅 11 个对应 WRONG，8 个对应 CORRECT；因此标签感知增益不能解释为可安全自动覆盖原图。</ns0:t>
        </ns0:is>
      </ns0:c>
      <ns0:c r="B51" s="158" t="n"/>
      <ns0:c r="C51" s="158" t="n"/>
      <ns0:c r="D51" s="158" t="n"/>
      <ns0:c r="E51" s="158" t="n"/>
      <ns0:c r="F51" s="158" t="n"/>
      <ns0:c r="G51" s="158" t="n"/>
      <ns0:c r="H51" s="158" t="n"/>
      <ns0:c r="I51" s="158" t="n"/>
      <ns0:c r="J51" s="159" t="n"/>
    </ns0:row>
  </ns0:sheetData>
  <ns0:mergeCells count="7">
    <ns0:mergeCell ref="A1:J1"/>
    <ns0:mergeCell ref="A12:J12"/>
    <ns0:mergeCell ref="A4:J4"/>
    <ns0:mergeCell ref="A2:J2"/>
    <ns0:mergeCell ref="A28:J28"/>
    <ns0:mergeCell ref="A19:J19"/>
    <ns0:mergeCell ref="A51:J51"/>
  </ns0:mergeCells>
  <ns0:pageMargins left="0.7" right="0.7" top="0.75" bottom="0.75" header="0.3" footer="0.3"/>
</ns0:worksheet>
</file>

<file path=xl/worksheets/sheet8.xml><?xml version="1.0" encoding="utf-8"?>
<ns0:worksheet xmlns:ns0="http://schemas.openxmlformats.org/spreadsheetml/2006/main">
  <ns0:sheetPr>
    <ns0:outlinePr summaryBelow="1" summaryRight="1"/>
    <ns0:pageSetUpPr/>
  </ns0:sheetPr>
  <ns0:dimension ref="A1:J40"/>
  <ns0:sheetViews>
    <ns0:sheetView showGridLines="0" workbookViewId="0">
      <ns0:selection activeCell="A1" sqref="A1"/>
    </ns0:sheetView>
  </ns0:sheetViews>
  <ns0:sheetFormatPr baseColWidth="8" defaultRowHeight="15"/>
  <ns0:cols>
    <ns0:col width="24" customWidth="1" style="2" min="1" max="1"/>
    <ns0:col width="25" customWidth="1" style="2" min="2" max="2"/>
    <ns0:col width="24" customWidth="1" style="2" min="3" max="3"/>
    <ns0:col width="24" customWidth="1" style="2" min="4" max="4"/>
    <ns0:col width="27" customWidth="1" style="2" min="5" max="5"/>
    <ns0:col width="22" customWidth="1" style="2" min="6" max="6"/>
    <ns0:col width="24" customWidth="1" style="2" min="7" max="7"/>
    <ns0:col width="20" customWidth="1" style="2" min="8" max="8"/>
    <ns0:col width="20" customWidth="1" style="2" min="9" max="9"/>
    <ns0:col width="14" customWidth="1" style="2" min="10" max="10"/>
  </ns0:cols>
  <ns0:sheetData>
    <ns0:row r="1" ht="30" customHeight="1" s="2">
      <ns0:c r="A1" s="243" t="inlineStr">
        <ns0:is>
          <ns0:t>Revision Kernel v0 / v1</ns0:t>
        </ns0:is>
      </ns0:c>
      <ns0:c r="B1" s="158" t="n"/>
      <ns0:c r="C1" s="158" t="n"/>
      <ns0:c r="D1" s="158" t="n"/>
      <ns0:c r="E1" s="158" t="n"/>
      <ns0:c r="F1" s="158" t="n"/>
      <ns0:c r="G1" s="158" t="n"/>
      <ns0:c r="H1" s="158" t="n"/>
      <ns0:c r="I1" s="158" t="n"/>
      <ns0:c r="J1" s="159" t="n"/>
    </ns0:row>
    <ns0:row r="2" ht="34" customHeight="1" s="2">
      <ns0:c r="A2" s="244" t="inlineStr">
        <ns0:is>
          <ns0:t>Controlled corruption、局部回放、全局参考、关系恢复与 collateral safety；未运行能力明确保留为空白/未运行。</ns0:t>
        </ns0:is>
      </ns0:c>
      <ns0:c r="B2" s="158" t="n"/>
      <ns0:c r="C2" s="158" t="n"/>
      <ns0:c r="D2" s="158" t="n"/>
      <ns0:c r="E2" s="158" t="n"/>
      <ns0:c r="F2" s="158" t="n"/>
      <ns0:c r="G2" s="158" t="n"/>
      <ns0:c r="H2" s="158" t="n"/>
      <ns0:c r="I2" s="158" t="n"/>
      <ns0:c r="J2" s="159" t="n"/>
    </ns0:row>
    <ns0:row r="3"/>
    <ns0:row r="4" ht="22" customHeight="1" s="2">
      <ns0:c r="A4" s="245" t="inlineStr">
        <ns0:is>
          <ns0:t>A. V0 六个 oracle 案例</ns0:t>
        </ns0:is>
      </ns0:c>
      <ns0:c r="B4" s="158" t="n"/>
      <ns0:c r="C4" s="158" t="n"/>
      <ns0:c r="D4" s="158" t="n"/>
      <ns0:c r="E4" s="158" t="n"/>
      <ns0:c r="F4" s="158" t="n"/>
      <ns0:c r="G4" s="158" t="n"/>
      <ns0:c r="H4" s="158" t="n"/>
      <ns0:c r="I4" s="158" t="n"/>
      <ns0:c r="J4" s="159" t="n"/>
    </ns0:row>
    <ns0:row r="5" ht="30" customHeight="1" s="2">
      <ns0:c r="A5" s="7" t="inlineStr">
        <ns0:is>
          <ns0:t>场景</ns0:t>
        </ns0:is>
      </ns0:c>
      <ns0:c r="B5" s="7" t="inlineStr">
        <ns0:is>
          <ns0:t>类型</ns0:t>
        </ns0:is>
      </ns0:c>
      <ns0:c r="C5" s="7" t="inlineStr">
        <ns0:is>
          <ns0:t>受损F1</ns0:t>
        </ns0:is>
      </ns0:c>
      <ns0:c r="D5" s="7" t="inlineStr">
        <ns0:is>
          <ns0:t>local F1</ns0:t>
        </ns0:is>
      </ns0:c>
      <ns0:c r="E5" s="7" t="inlineStr">
        <ns0:is>
          <ns0:t>global F1</ns0:t>
        </ns0:is>
      </ns0:c>
      <ns0:c r="F5" s="7" t="inlineStr">
        <ns0:is>
          <ns0:t>local ms</ns0:t>
        </ns0:is>
      </ns0:c>
      <ns0:c r="G5" s="7" t="inlineStr">
        <ns0:is>
          <ns0:t>global ms</ns0:t>
        </ns0:is>
      </ns0:c>
      <ns0:c r="H5" s="7" t="inlineStr">
        <ns0:is>
          <ns0:t>local/global</ns0:t>
        </ns0:is>
      </ns0:c>
      <ns0:c r="I5" s="7" t="inlineStr">
        <ns0:is>
          <ns0:t>事务</ns0:t>
        </ns0:is>
      </ns0:c>
    </ns0:row>
    <ns0:row r="6" ht="24" customHeight="1" s="2">
      <ns0:c r="A6" s="8" t="inlineStr">
        <ns0:is>
          <ns0:t>room0</ns0:t>
        </ns0:is>
      </ns0:c>
      <ns0:c r="B6" s="8" t="inlineStr">
        <ns0:is>
          <ns0:t>FALSE_MERGE</ns0:t>
        </ns0:is>
      </ns0:c>
      <ns0:c r="C6" s="10" t="n">
        <ns0:v>0.66925</ns0:v>
      </ns0:c>
      <ns0:c r="D6" s="10" t="n">
        <ns0:v>1</ns0:v>
      </ns0:c>
      <ns0:c r="E6" s="10" t="n">
        <ns0:v>1</ns0:v>
      </ns0:c>
      <ns0:c r="F6" s="19" t="n">
        <ns0:v>1912.03</ns0:v>
      </ns0:c>
      <ns0:c r="G6" s="19" t="n">
        <ns0:v>543078.62</ns0:v>
      </ns0:c>
      <ns0:c r="H6" s="10" t="n">
        <ns0:v>0.003521</ns0:v>
      </ns0:c>
      <ns0:c r="I6" s="8" t="inlineStr">
        <ns0:is>
          <ns0:t>COMMITTED</ns0:t>
        </ns0:is>
      </ns0:c>
    </ns0:row>
    <ns0:row r="7" ht="24" customHeight="1" s="2">
      <ns0:c r="A7" s="12" t="inlineStr">
        <ns0:is>
          <ns0:t>room0</ns0:t>
        </ns0:is>
      </ns0:c>
      <ns0:c r="B7" s="12" t="inlineStr">
        <ns0:is>
          <ns0:t>FALSE_SPLIT</ns0:t>
        </ns0:is>
      </ns0:c>
      <ns0:c r="C7" s="13" t="n">
        <ns0:v>0.980648</ns0:v>
      </ns0:c>
      <ns0:c r="D7" s="13" t="n">
        <ns0:v>1</ns0:v>
      </ns0:c>
      <ns0:c r="E7" s="13" t="n">
        <ns0:v>1</ns0:v>
      </ns0:c>
      <ns0:c r="F7" s="20" t="n">
        <ns0:v>1260.45</ns0:v>
      </ns0:c>
      <ns0:c r="G7" s="20" t="n">
        <ns0:v>564834.76</ns0:v>
      </ns0:c>
      <ns0:c r="H7" s="13" t="n">
        <ns0:v>0.002232</ns0:v>
      </ns0:c>
      <ns0:c r="I7" s="12" t="inlineStr">
        <ns0:is>
          <ns0:t>COMMITTED</ns0:t>
        </ns0:is>
      </ns0:c>
    </ns0:row>
    <ns0:row r="8" ht="24" customHeight="1" s="2">
      <ns0:c r="A8" s="8" t="inlineStr">
        <ns0:is>
          <ns0:t>room0</ns0:t>
        </ns0:is>
      </ns0:c>
      <ns0:c r="B8" s="8" t="inlineStr">
        <ns0:is>
          <ns0:t>WRONG_MEMBERSHIP</ns0:t>
        </ns0:is>
      </ns0:c>
      <ns0:c r="C8" s="10" t="n">
        <ns0:v>0.983699</ns0:v>
      </ns0:c>
      <ns0:c r="D8" s="10" t="n">
        <ns0:v>1</ns0:v>
      </ns0:c>
      <ns0:c r="E8" s="10" t="n">
        <ns0:v>1</ns0:v>
      </ns0:c>
      <ns0:c r="F8" s="19" t="n">
        <ns0:v>6972.92</ns0:v>
      </ns0:c>
      <ns0:c r="G8" s="19" t="n">
        <ns0:v>559976.1899999999</ns0:v>
      </ns0:c>
      <ns0:c r="H8" s="10" t="n">
        <ns0:v>0.012452</ns0:v>
      </ns0:c>
      <ns0:c r="I8" s="8" t="inlineStr">
        <ns0:is>
          <ns0:t>COMMITTED</ns0:t>
        </ns0:is>
      </ns0:c>
    </ns0:row>
    <ns0:row r="9" ht="24" customHeight="1" s="2">
      <ns0:c r="A9" s="12" t="inlineStr">
        <ns0:is>
          <ns0:t>office0</ns0:t>
        </ns0:is>
      </ns0:c>
      <ns0:c r="B9" s="12" t="inlineStr">
        <ns0:is>
          <ns0:t>FALSE_MERGE</ns0:t>
        </ns0:is>
      </ns0:c>
      <ns0:c r="C9" s="13" t="n">
        <ns0:v>0.667305</ns0:v>
      </ns0:c>
      <ns0:c r="D9" s="13" t="n">
        <ns0:v>1</ns0:v>
      </ns0:c>
      <ns0:c r="E9" s="15" t="n"/>
      <ns0:c r="F9" s="20" t="n">
        <ns0:v>10767.29</ns0:v>
      </ns0:c>
      <ns0:c r="G9" s="15" t="n"/>
      <ns0:c r="H9" s="15" t="n"/>
      <ns0:c r="I9" s="12" t="inlineStr">
        <ns0:is>
          <ns0:t>COMMITTED</ns0:t>
        </ns0:is>
      </ns0:c>
    </ns0:row>
    <ns0:row r="10" ht="24" customHeight="1" s="2">
      <ns0:c r="A10" s="8" t="inlineStr">
        <ns0:is>
          <ns0:t>office0</ns0:t>
        </ns0:is>
      </ns0:c>
      <ns0:c r="B10" s="8" t="inlineStr">
        <ns0:is>
          <ns0:t>FALSE_SPLIT</ns0:t>
        </ns0:is>
      </ns0:c>
      <ns0:c r="C10" s="10" t="n">
        <ns0:v>0.990164</ns0:v>
      </ns0:c>
      <ns0:c r="D10" s="10" t="n">
        <ns0:v>1</ns0:v>
      </ns0:c>
      <ns0:c r="E10" s="9" t="n"/>
      <ns0:c r="F10" s="19" t="n">
        <ns0:v>2889.38</ns0:v>
      </ns0:c>
      <ns0:c r="G10" s="9" t="n"/>
      <ns0:c r="H10" s="9" t="n"/>
      <ns0:c r="I10" s="8" t="inlineStr">
        <ns0:is>
          <ns0:t>COMMITTED</ns0:t>
        </ns0:is>
      </ns0:c>
    </ns0:row>
    <ns0:row r="11" ht="24" customHeight="1" s="2">
      <ns0:c r="A11" s="12" t="inlineStr">
        <ns0:is>
          <ns0:t>office0</ns0:t>
        </ns0:is>
      </ns0:c>
      <ns0:c r="B11" s="12" t="inlineStr">
        <ns0:is>
          <ns0:t>WRONG_MEMBERSHIP</ns0:t>
        </ns0:is>
      </ns0:c>
      <ns0:c r="C11" s="13" t="n">
        <ns0:v>0.992048</ns0:v>
      </ns0:c>
      <ns0:c r="D11" s="13" t="n">
        <ns0:v>1</ns0:v>
      </ns0:c>
      <ns0:c r="E11" s="15" t="n"/>
      <ns0:c r="F11" s="20" t="n">
        <ns0:v>22682.73</ns0:v>
      </ns0:c>
      <ns0:c r="G11" s="15" t="n"/>
      <ns0:c r="H11" s="15" t="n"/>
      <ns0:c r="I11" s="12" t="inlineStr">
        <ns0:is>
          <ns0:t>COMMITTED</ns0:t>
        </ns0:is>
      </ns0:c>
    </ns0:row>
    <ns0:row r="12"/>
    <ns0:row r="13" ht="22" customHeight="1" s="2">
      <ns0:c r="A13" s="245" t="inlineStr">
        <ns0:is>
          <ns0:t>B. V0 非空关系与 VLM 约束</ns0:t>
        </ns0:is>
      </ns0:c>
      <ns0:c r="B13" s="158" t="n"/>
      <ns0:c r="C13" s="158" t="n"/>
      <ns0:c r="D13" s="158" t="n"/>
      <ns0:c r="E13" s="158" t="n"/>
      <ns0:c r="F13" s="158" t="n"/>
      <ns0:c r="G13" s="158" t="n"/>
      <ns0:c r="H13" s="158" t="n"/>
      <ns0:c r="I13" s="158" t="n"/>
      <ns0:c r="J13" s="159" t="n"/>
    </ns0:row>
    <ns0:row r="14" ht="30" customHeight="1" s="2">
      <ns0:c r="A14" s="7" t="inlineStr">
        <ns0:is>
          <ns0:t>实验</ns0:t>
        </ns0:is>
      </ns0:c>
      <ns0:c r="B14" s="7" t="inlineStr">
        <ns0:is>
          <ns0:t>指标1</ns0:t>
        </ns0:is>
      </ns0:c>
      <ns0:c r="C14" s="7" t="inlineStr">
        <ns0:is>
          <ns0:t>结果1</ns0:t>
        </ns0:is>
      </ns0:c>
      <ns0:c r="D14" s="7" t="inlineStr">
        <ns0:is>
          <ns0:t>指标2</ns0:t>
        </ns0:is>
      </ns0:c>
      <ns0:c r="E14" s="7" t="inlineStr">
        <ns0:is>
          <ns0:t>结果2</ns0:t>
        </ns0:is>
      </ns0:c>
      <ns0:c r="F14" s="7" t="inlineStr">
        <ns0:is>
          <ns0:t>指标3</ns0:t>
        </ns0:is>
      </ns0:c>
      <ns0:c r="G14" s="7" t="inlineStr">
        <ns0:is>
          <ns0:t>结果3</ns0:t>
        </ns0:is>
      </ns0:c>
      <ns0:c r="H14" s="7" t="inlineStr">
        <ns0:is>
          <ns0:t>指标4</ns0:t>
        </ns0:is>
      </ns0:c>
      <ns0:c r="I14" s="7" t="inlineStr">
        <ns0:is>
          <ns0:t>结果4</ns0:t>
        </ns0:is>
      </ns0:c>
    </ns0:row>
    <ns0:row r="15" ht="24" customHeight="1" s="2">
      <ns0:c r="A15" s="8" t="inlineStr">
        <ns0:is>
          <ns0:t>formal relation stream</ns0:t>
        </ns0:is>
      </ns0:c>
      <ns0:c r="B15" s="8" t="inlineStr">
        <ns0:is>
          <ns0:t>帧/非空帧</ns0:t>
        </ns0:is>
      </ns0:c>
      <ns0:c r="C15" s="8" t="inlineStr">
        <ns0:is>
          <ns0:t>200 / 200</ns0:t>
        </ns0:is>
      </ns0:c>
      <ns0:c r="D15" s="8" t="inlineStr">
        <ns0:is>
          <ns0:t>观测</ns0:t>
        </ns0:is>
      </ns0:c>
      <ns0:c r="E15" s="9" t="n">
        <ns0:v>2425</ns0:v>
      </ns0:c>
      <ns0:c r="F15" s="8" t="inlineStr">
        <ns0:is>
          <ns0:t>最终边/support</ns0:t>
        </ns0:is>
      </ns0:c>
      <ns0:c r="G15" s="8" t="inlineStr">
        <ns0:is>
          <ns0:t>49 / 1304</ns0:t>
        </ns0:is>
      </ns0:c>
      <ns0:c r="H15" s="8" t="inlineStr">
        <ns0:is>
          <ns0:t>ali-dev/ali-my exact</ns0:t>
        </ns0:is>
      </ns0:c>
      <ns0:c r="I15" s="8" t="inlineStr">
        <ns0:is>
          <ns0:t>PASS</ns0:t>
        </ns0:is>
      </ns0:c>
    </ns0:row>
    <ns0:row r="16" ht="24" customHeight="1" s="2">
      <ns0:c r="A16" s="12" t="inlineStr">
        <ns0:is>
          <ns0:t>GT主结果</ns0:t>
        </ns0:is>
      </ns0:c>
      <ns0:c r="B16" s="12" t="inlineStr">
        <ns0:is>
          <ns0:t>P / R / F1</ns0:t>
        </ns0:is>
      </ns0:c>
      <ns0:c r="C16" s="12" t="inlineStr">
        <ns0:is>
          <ns0:t>20.41% / 58.82% / 30.30%</ns0:t>
        </ns0:is>
      </ns0:c>
      <ns0:c r="D16" s="12" t="inlineStr">
        <ns0:is>
          <ns0:t>TP/FP/FN</ns0:t>
        </ns0:is>
      </ns0:c>
      <ns0:c r="E16" s="12" t="inlineStr">
        <ns0:is>
          <ns0:t>10 / 39 / 7</ns0:t>
        </ns0:is>
      </ns0:c>
      <ns0:c r="F16" s="12" t="inlineStr">
        <ns0:is>
          <ns0:t>on子集F1</ns0:t>
        </ns0:is>
      </ns0:c>
      <ns0:c r="G16" s="12" t="inlineStr">
        <ns0:is>
          <ns0:t>50.00%</ns0:t>
        </ns0:is>
      </ns0:c>
      <ns0:c r="H16" s="12" t="inlineStr">
        <ns0:is>
          <ns0:t>单场景</ns0:t>
        </ns0:is>
      </ns0:c>
      <ns0:c r="I16" s="12" t="inlineStr">
        <ns0:is>
          <ns0:t>room0</ns0:t>
        </ns0:is>
      </ns0:c>
    </ns0:row>
    <ns0:row r="17" ht="24" customHeight="1" s="2">
      <ns0:c r="A17" s="8" t="inlineStr">
        <ns0:is>
          <ns0:t>VLM constraint</ns0:t>
        </ns0:is>
      </ns0:c>
      <ns0:c r="B17" s="8" t="inlineStr">
        <ns0:is>
          <ns0:t>raw exact</ns0:t>
        </ns0:is>
      </ns0:c>
      <ns0:c r="C17" s="8" t="inlineStr">
        <ns0:is>
          <ns0:t>1/3</ns0:t>
        </ns0:is>
      </ns0:c>
      <ns0:c r="D17" s="8" t="inlineStr">
        <ns0:is>
          <ns0:t>compiled exact</ns0:t>
        </ns0:is>
      </ns0:c>
      <ns0:c r="E17" s="8" t="inlineStr">
        <ns0:is>
          <ns0:t>2/3</ns0:t>
        </ns0:is>
      </ns0:c>
      <ns0:c r="F17" s="8" t="inlineStr">
        <ns0:is>
          <ns0:t>safe DEFER</ns0:t>
        </ns0:is>
      </ns0:c>
      <ns0:c r="G17" s="8" t="inlineStr">
        <ns0:is>
          <ns0:t>1/3</ns0:t>
        </ns0:is>
      </ns0:c>
      <ns0:c r="H17" s="8" t="inlineStr">
        <ns0:is>
          <ns0:t>错误自动提交</ns0:t>
        </ns0:is>
      </ns0:c>
      <ns0:c r="I17" s="8" t="inlineStr">
        <ns0:is>
          <ns0:t>0</ns0:t>
        </ns0:is>
      </ns0:c>
    </ns0:row>
    <ns0:row r="18"/>
    <ns0:row r="19" ht="22" customHeight="1" s="2">
      <ns0:c r="A19" s="245" t="inlineStr">
        <ns0:is>
          <ns0:t>C. V1 冻结 Primary 结果</ns0:t>
        </ns0:is>
      </ns0:c>
      <ns0:c r="B19" s="158" t="n"/>
      <ns0:c r="C19" s="158" t="n"/>
      <ns0:c r="D19" s="158" t="n"/>
      <ns0:c r="E19" s="158" t="n"/>
      <ns0:c r="F19" s="158" t="n"/>
      <ns0:c r="G19" s="158" t="n"/>
      <ns0:c r="H19" s="158" t="n"/>
      <ns0:c r="I19" s="158" t="n"/>
      <ns0:c r="J19" s="159" t="n"/>
    </ns0:row>
    <ns0:row r="20" ht="30" customHeight="1" s="2">
      <ns0:c r="A20" s="7" t="inlineStr">
        <ns0:is>
          <ns0:t>场景</ns0:t>
        </ns0:is>
      </ns0:c>
      <ns0:c r="B20" s="7" t="inlineStr">
        <ns0:is>
          <ns0:t>冻结案例</ns0:t>
        </ns0:is>
      </ns0:c>
      <ns0:c r="C20" s="7" t="inlineStr">
        <ns0:is>
          <ns0:t>产生损伤</ns0:t>
        </ns0:is>
      </ns0:c>
      <ns0:c r="D20" s="7" t="inlineStr">
        <ns0:is>
          <ns0:t>精确修复</ns0:t>
        </ns0:is>
      </ns0:c>
      <ns0:c r="E20" s="7" t="inlineStr">
        <ns0:is>
          <ns0:t>自然自愈</ns0:t>
        </ns0:is>
      </ns0:c>
      <ns0:c r="F20" s="7" t="inlineStr">
        <ns0:is>
          <ns0:t>collateral-safe</ns0:t>
        </ns0:is>
      </ns0:c>
      <ns0:c r="G20" s="7" t="inlineStr">
        <ns0:is>
          <ns0:t>有信息关系案例</ns0:t>
        </ns0:is>
      </ns0:c>
      <ns0:c r="H20" s="7" t="inlineStr">
        <ns0:is>
          <ns0:t>受损member F1均值</ns0:t>
        </ns0:is>
      </ns0:c>
      <ns0:c r="I20" s="7" t="inlineStr">
        <ns0:is>
          <ns0:t>修复member F1</ns0:t>
        </ns0:is>
      </ns0:c>
    </ns0:row>
    <ns0:row r="21" ht="24" customHeight="1" s="2">
      <ns0:c r="A21" s="8" t="inlineStr">
        <ns0:is>
          <ns0:t>room0</ns0:t>
        </ns0:is>
      </ns0:c>
      <ns0:c r="B21" s="17" t="n">
        <ns0:v>30</ns0:v>
      </ns0:c>
      <ns0:c r="C21" s="17" t="n">
        <ns0:v>24</ns0:v>
      </ns0:c>
      <ns0:c r="D21" s="17" t="n">
        <ns0:v>24</ns0:v>
      </ns0:c>
      <ns0:c r="E21" s="17" t="n">
        <ns0:v>6</ns0:v>
      </ns0:c>
      <ns0:c r="F21" s="17" t="n">
        <ns0:v>30</ns0:v>
      </ns0:c>
      <ns0:c r="G21" s="17" t="n">
        <ns0:v>30</ns0:v>
      </ns0:c>
      <ns0:c r="H21" s="10" t="n">
        <ns0:v>0.924899</ns0:v>
      </ns0:c>
      <ns0:c r="I21" s="10" t="n">
        <ns0:v>1</ns0:v>
      </ns0:c>
    </ns0:row>
    <ns0:row r="22" ht="24" customHeight="1" s="2">
      <ns0:c r="A22" s="12" t="inlineStr">
        <ns0:is>
          <ns0:t>office0</ns0:t>
        </ns0:is>
      </ns0:c>
      <ns0:c r="B22" s="18" t="n">
        <ns0:v>30</ns0:v>
      </ns0:c>
      <ns0:c r="C22" s="18" t="n">
        <ns0:v>25</ns0:v>
      </ns0:c>
      <ns0:c r="D22" s="18" t="n">
        <ns0:v>25</ns0:v>
      </ns0:c>
      <ns0:c r="E22" s="18" t="n">
        <ns0:v>5</ns0:v>
      </ns0:c>
      <ns0:c r="F22" s="18" t="n">
        <ns0:v>30</ns0:v>
      </ns0:c>
      <ns0:c r="G22" s="18" t="n">
        <ns0:v>0</ns0:v>
      </ns0:c>
      <ns0:c r="H22" s="13" t="n">
        <ns0:v>0.9562619999999999</ns0:v>
      </ns0:c>
      <ns0:c r="I22" s="13" t="n">
        <ns0:v>1</ns0:v>
      </ns0:c>
    </ns0:row>
    <ns0:row r="23" ht="24" customHeight="1" s="2">
      <ns0:c r="A23" s="8" t="inlineStr">
        <ns0:is>
          <ns0:t>合计</ns0:t>
        </ns0:is>
      </ns0:c>
      <ns0:c r="B23" s="17" t="n">
        <ns0:v>60</ns0:v>
      </ns0:c>
      <ns0:c r="C23" s="17" t="n">
        <ns0:v>49</ns0:v>
      </ns0:c>
      <ns0:c r="D23" s="17" t="n">
        <ns0:v>49</ns0:v>
      </ns0:c>
      <ns0:c r="E23" s="17" t="n">
        <ns0:v>11</ns0:v>
      </ns0:c>
      <ns0:c r="F23" s="17" t="n">
        <ns0:v>60</ns0:v>
      </ns0:c>
      <ns0:c r="G23" s="17" t="n">
        <ns0:v>30</ns0:v>
      </ns0:c>
      <ns0:c r="H23" s="9" t="n"/>
      <ns0:c r="I23" s="10" t="n">
        <ns0:v>1</ns0:v>
      </ns0:c>
    </ns0:row>
    <ns0:row r="24"/>
    <ns0:row r="25" ht="22" customHeight="1" s="2">
      <ns0:c r="A25" s="245" t="inlineStr">
        <ns0:is>
          <ns0:t>D. V1 按错误类型</ns0:t>
        </ns0:is>
      </ns0:c>
      <ns0:c r="B25" s="158" t="n"/>
      <ns0:c r="C25" s="158" t="n"/>
      <ns0:c r="D25" s="158" t="n"/>
      <ns0:c r="E25" s="158" t="n"/>
      <ns0:c r="F25" s="158" t="n"/>
      <ns0:c r="G25" s="158" t="n"/>
      <ns0:c r="H25" s="158" t="n"/>
      <ns0:c r="I25" s="158" t="n"/>
      <ns0:c r="J25" s="159" t="n"/>
    </ns0:row>
    <ns0:row r="26" ht="30" customHeight="1" s="2">
      <ns0:c r="A26" s="7" t="inlineStr">
        <ns0:is>
          <ns0:t>类型</ns0:t>
        </ns0:is>
      </ns0:c>
      <ns0:c r="B26" s="7" t="inlineStr">
        <ns0:is>
          <ns0:t>冻结</ns0:t>
        </ns0:is>
      </ns0:c>
      <ns0:c r="C26" s="7" t="inlineStr">
        <ns0:is>
          <ns0:t>产生损伤</ns0:t>
        </ns0:is>
      </ns0:c>
      <ns0:c r="D26" s="7" t="inlineStr">
        <ns0:is>
          <ns0:t>精确修复</ns0:t>
        </ns0:is>
      </ns0:c>
      <ns0:c r="E26" s="7" t="inlineStr">
        <ns0:is>
          <ns0:t>自愈</ns0:t>
        </ns0:is>
      </ns0:c>
    </ns0:row>
    <ns0:row r="27" ht="24" customHeight="1" s="2">
      <ns0:c r="A27" s="8" t="inlineStr">
        <ns0:is>
          <ns0:t>FALSE_MERGE</ns0:t>
        </ns0:is>
      </ns0:c>
      <ns0:c r="B27" s="17" t="n">
        <ns0:v>20</ns0:v>
      </ns0:c>
      <ns0:c r="C27" s="17" t="n">
        <ns0:v>20</ns0:v>
      </ns0:c>
      <ns0:c r="D27" s="17" t="n">
        <ns0:v>20</ns0:v>
      </ns0:c>
      <ns0:c r="E27" s="17" t="n">
        <ns0:v>0</ns0:v>
      </ns0:c>
    </ns0:row>
    <ns0:row r="28" ht="24" customHeight="1" s="2">
      <ns0:c r="A28" s="12" t="inlineStr">
        <ns0:is>
          <ns0:t>WRONG_MEMBERSHIP</ns0:t>
        </ns0:is>
      </ns0:c>
      <ns0:c r="B28" s="18" t="n">
        <ns0:v>20</ns0:v>
      </ns0:c>
      <ns0:c r="C28" s="18" t="n">
        <ns0:v>20</ns0:v>
      </ns0:c>
      <ns0:c r="D28" s="18" t="n">
        <ns0:v>20</ns0:v>
      </ns0:c>
      <ns0:c r="E28" s="18" t="n">
        <ns0:v>0</ns0:v>
      </ns0:c>
    </ns0:row>
    <ns0:row r="29" ht="24" customHeight="1" s="2">
      <ns0:c r="A29" s="8" t="inlineStr">
        <ns0:is>
          <ns0:t>FALSE_SPLIT</ns0:t>
        </ns0:is>
      </ns0:c>
      <ns0:c r="B29" s="17" t="n">
        <ns0:v>20</ns0:v>
      </ns0:c>
      <ns0:c r="C29" s="17" t="n">
        <ns0:v>9</ns0:v>
      </ns0:c>
      <ns0:c r="D29" s="17" t="n">
        <ns0:v>9</ns0:v>
      </ns0:c>
      <ns0:c r="E29" s="17" t="n">
        <ns0:v>11</ns0:v>
      </ns0:c>
    </ns0:row>
    <ns0:row r="30"/>
    <ns0:row r="31" ht="22" customHeight="1" s="2">
      <ns0:c r="A31" s="245" t="inlineStr">
        <ns0:is>
          <ns0:t>E. V1 locality、runtime 与回归</ns0:t>
        </ns0:is>
      </ns0:c>
      <ns0:c r="B31" s="158" t="n"/>
      <ns0:c r="C31" s="158" t="n"/>
      <ns0:c r="D31" s="158" t="n"/>
      <ns0:c r="E31" s="158" t="n"/>
      <ns0:c r="F31" s="158" t="n"/>
      <ns0:c r="G31" s="158" t="n"/>
      <ns0:c r="H31" s="158" t="n"/>
      <ns0:c r="I31" s="158" t="n"/>
      <ns0:c r="J31" s="159" t="n"/>
    </ns0:row>
    <ns0:row r="32" ht="30" customHeight="1" s="2">
      <ns0:c r="A32" s="7" t="inlineStr">
        <ns0:is>
          <ns0:t>范围</ns0:t>
        </ns0:is>
      </ns0:c>
      <ns0:c r="B32" s="7" t="inlineStr">
        <ns0:is>
          <ns0:t>指标1</ns0:t>
        </ns0:is>
      </ns0:c>
      <ns0:c r="C32" s="7" t="inlineStr">
        <ns0:is>
          <ns0:t>结果1</ns0:t>
        </ns0:is>
      </ns0:c>
      <ns0:c r="D32" s="7" t="inlineStr">
        <ns0:is>
          <ns0:t>指标2</ns0:t>
        </ns0:is>
      </ns0:c>
      <ns0:c r="E32" s="7" t="inlineStr">
        <ns0:is>
          <ns0:t>结果2</ns0:t>
        </ns0:is>
      </ns0:c>
      <ns0:c r="F32" s="7" t="inlineStr">
        <ns0:is>
          <ns0:t>指标3</ns0:t>
        </ns0:is>
      </ns0:c>
      <ns0:c r="G32" s="7" t="inlineStr">
        <ns0:is>
          <ns0:t>结果3</ns0:t>
        </ns0:is>
      </ns0:c>
    </ns0:row>
    <ns0:row r="33" ht="24" customHeight="1" s="2">
      <ns0:c r="A33" s="8" t="inlineStr">
        <ns0:is>
          <ns0:t>room0</ns0:t>
        </ns0:is>
      </ns0:c>
      <ns0:c r="B33" s="8" t="inlineStr">
        <ns0:is>
          <ns0:t>effective obs fraction p50/p95/max</ns0:t>
        </ns0:is>
      </ns0:c>
      <ns0:c r="C33" s="8" t="inlineStr">
        <ns0:is>
          <ns0:t>3.96% / 8.46% / 10.19%</ns0:t>
        </ns0:is>
      </ns0:c>
      <ns0:c r="D33" s="8" t="inlineStr">
        <ns0:is>
          <ns0:t>suffix p50/p95/max</ns0:t>
        </ns0:is>
      </ns0:c>
      <ns0:c r="E33" s="8" t="inlineStr">
        <ns0:is>
          <ns0:t>80.89 / 141.54 / 160.05 s</ns0:t>
        </ns0:is>
      </ns0:c>
      <ns0:c r="F33" s="8" t="inlineStr">
        <ns0:is>
          <ns0:t>global reference</ns0:t>
        </ns0:is>
      </ns0:c>
      <ns0:c r="G33" s="8" t="inlineStr">
        <ns0:is>
          <ns0:t>3/3 exact</ns0:t>
        </ns0:is>
      </ns0:c>
    </ns0:row>
    <ns0:row r="34" ht="24" customHeight="1" s="2">
      <ns0:c r="A34" s="12" t="inlineStr">
        <ns0:is>
          <ns0:t>office0</ns0:t>
        </ns0:is>
      </ns0:c>
      <ns0:c r="B34" s="12" t="inlineStr">
        <ns0:is>
          <ns0:t>effective obs fraction p50/p95/max</ns0:t>
        </ns0:is>
      </ns0:c>
      <ns0:c r="C34" s="12" t="inlineStr">
        <ns0:is>
          <ns0:t>8.69% / 16.03% / 16.15%</ns0:t>
        </ns0:is>
      </ns0:c>
      <ns0:c r="D34" s="12" t="inlineStr">
        <ns0:is>
          <ns0:t>suffix p50/p95/max</ns0:t>
        </ns0:is>
      </ns0:c>
      <ns0:c r="E34" s="12" t="inlineStr">
        <ns0:is>
          <ns0:t>46.59 / 66.63 / 73.69 s</ns0:t>
        </ns0:is>
      </ns0:c>
      <ns0:c r="F34" s="12" t="inlineStr">
        <ns0:is>
          <ns0:t>global reference</ns0:t>
        </ns0:is>
      </ns0:c>
      <ns0:c r="G34" s="12" t="inlineStr">
        <ns0:is>
          <ns0:t>3/3 exact</ns0:t>
        </ns0:is>
      </ns0:c>
    </ns0:row>
    <ns0:row r="35" ht="24" customHeight="1" s="2">
      <ns0:c r="A35" s="8" t="inlineStr">
        <ns0:is>
          <ns0:t>clean parity room0</ns0:t>
        </ns0:is>
      </ns0:c>
      <ns0:c r="B35" s="8" t="inlineStr">
        <ns0:is>
          <ns0:t>observations/objects/edges</ns0:t>
        </ns0:is>
      </ns0:c>
      <ns0:c r="C35" s="8" t="inlineStr">
        <ns0:is>
          <ns0:t>3779 / 72 / 49</ns0:t>
        </ns0:is>
      </ns0:c>
      <ns0:c r="D35" s="8" t="inlineStr">
        <ns0:is>
          <ns0:t>状态</ns0:t>
        </ns0:is>
      </ns0:c>
      <ns0:c r="E35" s="8" t="inlineStr">
        <ns0:is>
          <ns0:t>全部 exact</ns0:t>
        </ns0:is>
      </ns0:c>
      <ns0:c r="F35" s="8" t="inlineStr">
        <ns0:is>
          <ns0:t>runtime</ns0:t>
        </ns0:is>
      </ns0:c>
      <ns0:c r="G35" s="8" t="inlineStr">
        <ns0:is>
          <ns0:t>217.83 s</ns0:t>
        </ns0:is>
      </ns0:c>
    </ns0:row>
    <ns0:row r="36" ht="24" customHeight="1" s="2">
      <ns0:c r="A36" s="12" t="inlineStr">
        <ns0:is>
          <ns0:t>clean parity office0</ns0:t>
        </ns0:is>
      </ns0:c>
      <ns0:c r="B36" s="12" t="inlineStr">
        <ns0:is>
          <ns0:t>observations/objects/edges</ns0:t>
        </ns0:is>
      </ns0:c>
      <ns0:c r="C36" s="12" t="inlineStr">
        <ns0:is>
          <ns0:t>1560 / 29 / empty</ns0:t>
        </ns0:is>
      </ns0:c>
      <ns0:c r="D36" s="12" t="inlineStr">
        <ns0:is>
          <ns0:t>状态</ns0:t>
        </ns0:is>
      </ns0:c>
      <ns0:c r="E36" s="12" t="inlineStr">
        <ns0:is>
          <ns0:t>全部 exact；关系无信息</ns0:t>
        </ns0:is>
      </ns0:c>
      <ns0:c r="F36" s="12" t="inlineStr">
        <ns0:is>
          <ns0:t>runtime</ns0:t>
        </ns0:is>
      </ns0:c>
      <ns0:c r="G36" s="12" t="inlineStr">
        <ns0:is>
          <ns0:t>168.60 s</ns0:t>
        </ns0:is>
      </ns0:c>
    </ns0:row>
    <ns0:row r="37" ht="24" customHeight="1" s="2">
      <ns0:c r="A37" s="8" t="inlineStr">
        <ns0:is>
          <ns0:t>live fidelity room0</ns0:t>
        </ns0:is>
      </ns0:c>
      <ns0:c r="B37" s="8" t="inlineStr">
        <ns0:is>
          <ns0:t>正式案例</ns0:t>
        </ns0:is>
      </ns0:c>
      <ns0:c r="C37" s="8" t="inlineStr">
        <ns0:is>
          <ns0:t>6</ns0:t>
        </ns0:is>
      </ns0:c>
      <ns0:c r="D37" s="8" t="inlineStr">
        <ns0:is>
          <ns0:t>五类 gate</ns0:t>
        </ns0:is>
      </ns0:c>
      <ns0:c r="E37" s="8" t="inlineStr">
        <ns0:is>
          <ns0:t>6/6 exact</ns0:t>
        </ns0:is>
      </ns0:c>
      <ns0:c r="F37" s="8" t="inlineStr">
        <ns0:is>
          <ns0:t>member F1</ns0:t>
        </ns0:is>
      </ns0:c>
      <ns0:c r="G37" s="8" t="inlineStr">
        <ns0:is>
          <ns0:t>6/6 = 1.0</ns0:t>
        </ns0:is>
      </ns0:c>
    </ns0:row>
    <ns0:row r="38" ht="24" customHeight="1" s="2">
      <ns0:c r="A38" s="12" t="inlineStr">
        <ns0:is>
          <ns0:t>测试</ns0:t>
        </ns0:is>
      </ns0:c>
      <ns0:c r="B38" s="12" t="inlineStr">
        <ns0:is>
          <ns0:t>全套</ns0:t>
        </ns0:is>
      </ns0:c>
      <ns0:c r="C38" s="12" t="inlineStr">
        <ns0:is>
          <ns0:t>128 passed, 1 skipped</ns0:t>
        </ns0:is>
      </ns0:c>
      <ns0:c r="D38" s="12" t="inlineStr">
        <ns0:is>
          <ns0:t>Revision专项</ns0:t>
        </ns0:is>
      </ns0:c>
      <ns0:c r="E38" s="12" t="inlineStr">
        <ns0:is>
          <ns0:t>65 passed, 1 skipped</ns0:t>
        </ns0:is>
      </ns0:c>
      <ns0:c r="F38" s="12" t="inlineStr">
        <ns0:is>
          <ns0:t>oracle leakage</ns0:t>
        </ns0:is>
      </ns0:c>
      <ns0:c r="G38" s="12" t="inlineStr">
        <ns0:is>
          <ns0:t>0 violation</ns0:t>
        </ns0:is>
      </ns0:c>
    </ns0:row>
    <ns0:row r="39"/>
    <ns0:row r="40" ht="34" customHeight="1" s="2">
      <ns0:c r="A40" s="246" t="inlineStr">
        <ns0:is>
          <ns0:t>V1 未运行：blind anchor localization、clean-negative harm、六场景 holdout、online rebase、VLM constraint generation。V1 当前工作树有未提交实现改动，复现应绑定实验目录和报告。</ns0:t>
        </ns0:is>
      </ns0:c>
      <ns0:c r="B40" s="158" t="n"/>
      <ns0:c r="C40" s="158" t="n"/>
      <ns0:c r="D40" s="158" t="n"/>
      <ns0:c r="E40" s="158" t="n"/>
      <ns0:c r="F40" s="158" t="n"/>
      <ns0:c r="G40" s="158" t="n"/>
      <ns0:c r="H40" s="158" t="n"/>
      <ns0:c r="I40" s="158" t="n"/>
      <ns0:c r="J40" s="159" t="n"/>
    </ns0:row>
  </ns0:sheetData>
  <ns0:mergeCells count="8">
    <ns0:mergeCell ref="A1:J1"/>
    <ns0:mergeCell ref="A31:J31"/>
    <ns0:mergeCell ref="A40:J40"/>
    <ns0:mergeCell ref="A4:J4"/>
    <ns0:mergeCell ref="A13:J13"/>
    <ns0:mergeCell ref="A2:J2"/>
    <ns0:mergeCell ref="A25:J25"/>
    <ns0:mergeCell ref="A19:J19"/>
  </ns0:mergeCells>
  <ns0:pageMargins left="0.7" right="0.7" top="0.75" bottom="0.75" header="0.3" footer="0.3"/>
</ns0:worksheet>
</file>

<file path=xl/worksheets/sheet9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J60"/>
  <ns0:sheetViews>
    <ns0:sheetView showGridLines="0" workbookViewId="0">
      <ns0:selection activeCell="A1" sqref="A1"/>
    </ns0:sheetView>
  </ns0:sheetViews>
  <ns0:sheetFormatPr baseColWidth="8" defaultRowHeight="15"/>
  <ns0:cols>
    <ns0:col width="18" customWidth="1" style="2" min="1" max="1"/>
    <ns0:col width="36" customWidth="1" style="2" min="2" max="2"/>
    <ns0:col width="18" customWidth="1" style="2" min="3" max="3"/>
    <ns0:col width="18" customWidth="1" style="2" min="4" max="4"/>
    <ns0:col width="16" customWidth="1" style="2" min="5" max="5"/>
    <ns0:col width="18" customWidth="1" style="2" min="6" max="6"/>
    <ns0:col width="18" customWidth="1" style="2" min="7" max="7"/>
    <ns0:col width="16" customWidth="1" style="2" min="8" max="8"/>
    <ns0:col width="16" customWidth="1" style="2" min="9" max="9"/>
  </ns0:cols>
  <ns0:sheetData>
    <ns0:row r="1" ht="30" customHeight="1" s="2">
      <ns0:c r="A1" s="243" t="inlineStr">
        <ns0:is>
          <ns0:t>ConceptGraphs 原论文官方指标</ns0:t>
        </ns0:is>
      </ns0:c>
      <ns0:c r="B1" s="158" t="n"/>
      <ns0:c r="C1" s="158" t="n"/>
      <ns0:c r="D1" s="158" t="n"/>
      <ns0:c r="E1" s="158" t="n"/>
      <ns0:c r="F1" s="158" t="n"/>
      <ns0:c r="G1" s="158" t="n"/>
      <ns0:c r="H1" s="158" t="n"/>
      <ns0:c r="I1" s="159" t="n"/>
    </ns0:row>
    <ns0:row r="2" ht="34" customHeight="1" s="2">
      <ns0:c r="A2" s="244" t="inlineStr">
        <ns0:is>
          <ns0:t>直接核对 arXiv:2309.16650v1 的 Table I–III；官方数值与本地新指标分表保存。</ns0:t>
        </ns0:is>
      </ns0:c>
      <ns0:c r="B2" s="158" t="n"/>
      <ns0:c r="C2" s="158" t="n"/>
      <ns0:c r="D2" s="158" t="n"/>
      <ns0:c r="E2" s="158" t="n"/>
      <ns0:c r="F2" s="158" t="n"/>
      <ns0:c r="G2" s="158" t="n"/>
      <ns0:c r="H2" s="158" t="n"/>
      <ns0:c r="I2" s="159" t="n"/>
    </ns0:row>
    <ns0:row r="3"/>
    <ns0:row r="4" ht="22" customHeight="1" s="2">
      <ns0:c r="A4" s="245" t="inlineStr">
        <ns0:is>
          <ns0:t>Table I. Accuracy of constructed scene graphs（AMT 人工评估）</ns0:t>
        </ns0:is>
      </ns0:c>
      <ns0:c r="B4" s="158" t="n"/>
      <ns0:c r="C4" s="158" t="n"/>
      <ns0:c r="D4" s="158" t="n"/>
      <ns0:c r="E4" s="158" t="n"/>
      <ns0:c r="F4" s="158" t="n"/>
      <ns0:c r="G4" s="158" t="n"/>
      <ns0:c r="H4" s="158" t="n"/>
      <ns0:c r="I4" s="159" t="n"/>
    </ns0:row>
    <ns0:row r="5" ht="30" customHeight="1" s="2">
      <ns0:c r="A5" s="7" t="inlineStr">
        <ns0:is>
          <ns0:t>方法</ns0:t>
        </ns0:is>
      </ns0:c>
      <ns0:c r="B5" s="7" t="inlineStr">
        <ns0:is>
          <ns0:t>场景</ns0:t>
        </ns0:is>
      </ns0:c>
      <ns0:c r="C5" s="7" t="inlineStr">
        <ns0:is>
          <ns0:t>Node Precision</ns0:t>
        </ns0:is>
      </ns0:c>
      <ns0:c r="D5" s="7" t="inlineStr">
        <ns0:is>
          <ns0:t>Valid Objects</ns0:t>
        </ns0:is>
      </ns0:c>
      <ns0:c r="E5" s="7" t="inlineStr">
        <ns0:is>
          <ns0:t>Duplicates</ns0:t>
        </ns0:is>
      </ns0:c>
      <ns0:c r="F5" s="7" t="inlineStr">
        <ns0:is>
          <ns0:t>Edge Precision</ns0:t>
        </ns0:is>
      </ns0:c>
      <ns0:c r="G5" s="7" t="inlineStr">
        <ns0:is>
          <ns0:t>来源</ns0:t>
        </ns0:is>
      </ns0:c>
    </ns0:row>
    <ns0:row r="6" ht="24" customHeight="1" s="2">
      <ns0:c r="A6" s="8" t="inlineStr">
        <ns0:is>
          <ns0:t>CG</ns0:t>
        </ns0:is>
      </ns0:c>
      <ns0:c r="B6" s="8" t="inlineStr">
        <ns0:is>
          <ns0:t>room0</ns0:t>
        </ns0:is>
      </ns0:c>
      <ns0:c r="C6" s="10" t="n">
        <ns0:v>0.78</ns0:v>
      </ns0:c>
      <ns0:c r="D6" s="17" t="n">
        <ns0:v>54</ns0:v>
      </ns0:c>
      <ns0:c r="E6" s="17" t="n">
        <ns0:v>3</ns0:v>
      </ns0:c>
      <ns0:c r="F6" s="10" t="n">
        <ns0:v>0.91</ns0:v>
      </ns0:c>
      <ns0:c r="G6" s="8" t="inlineStr">
        <ns0:is>
          <ns0:t>论文</ns0:t>
        </ns0:is>
      </ns0:c>
    </ns0:row>
    <ns0:row r="7" ht="24" customHeight="1" s="2">
      <ns0:c r="A7" s="12" t="inlineStr">
        <ns0:is>
          <ns0:t>CG</ns0:t>
        </ns0:is>
      </ns0:c>
      <ns0:c r="B7" s="12" t="inlineStr">
        <ns0:is>
          <ns0:t>room1</ns0:t>
        </ns0:is>
      </ns0:c>
      <ns0:c r="C7" s="13" t="n">
        <ns0:v>0.77</ns0:v>
      </ns0:c>
      <ns0:c r="D7" s="18" t="n">
        <ns0:v>43</ns0:v>
      </ns0:c>
      <ns0:c r="E7" s="18" t="n">
        <ns0:v>4</ns0:v>
      </ns0:c>
      <ns0:c r="F7" s="13" t="n">
        <ns0:v>0.93</ns0:v>
      </ns0:c>
      <ns0:c r="G7" s="12" t="inlineStr">
        <ns0:is>
          <ns0:t>论文</ns0:t>
        </ns0:is>
      </ns0:c>
    </ns0:row>
    <ns0:row r="8" ht="24" customHeight="1" s="2">
      <ns0:c r="A8" s="8" t="inlineStr">
        <ns0:is>
          <ns0:t>CG</ns0:t>
        </ns0:is>
      </ns0:c>
      <ns0:c r="B8" s="8" t="inlineStr">
        <ns0:is>
          <ns0:t>room2</ns0:t>
        </ns0:is>
      </ns0:c>
      <ns0:c r="C8" s="10" t="n">
        <ns0:v>0.66</ns0:v>
      </ns0:c>
      <ns0:c r="D8" s="17" t="n">
        <ns0:v>47</ns0:v>
      </ns0:c>
      <ns0:c r="E8" s="17" t="n">
        <ns0:v>4</ns0:v>
      </ns0:c>
      <ns0:c r="F8" s="10" t="n">
        <ns0:v>1</ns0:v>
      </ns0:c>
      <ns0:c r="G8" s="8" t="inlineStr">
        <ns0:is>
          <ns0:t>论文</ns0:t>
        </ns0:is>
      </ns0:c>
    </ns0:row>
    <ns0:row r="9" ht="24" customHeight="1" s="2">
      <ns0:c r="A9" s="12" t="inlineStr">
        <ns0:is>
          <ns0:t>CG</ns0:t>
        </ns0:is>
      </ns0:c>
      <ns0:c r="B9" s="12" t="inlineStr">
        <ns0:is>
          <ns0:t>office0</ns0:t>
        </ns0:is>
      </ns0:c>
      <ns0:c r="C9" s="13" t="n">
        <ns0:v>0.65</ns0:v>
      </ns0:c>
      <ns0:c r="D9" s="18" t="n">
        <ns0:v>44</ns0:v>
      </ns0:c>
      <ns0:c r="E9" s="18" t="n">
        <ns0:v>2</ns0:v>
      </ns0:c>
      <ns0:c r="F9" s="13" t="n">
        <ns0:v>0.88</ns0:v>
      </ns0:c>
      <ns0:c r="G9" s="12" t="inlineStr">
        <ns0:is>
          <ns0:t>论文</ns0:t>
        </ns0:is>
      </ns0:c>
    </ns0:row>
    <ns0:row r="10" ht="24" customHeight="1" s="2">
      <ns0:c r="A10" s="8" t="inlineStr">
        <ns0:is>
          <ns0:t>CG</ns0:t>
        </ns0:is>
      </ns0:c>
      <ns0:c r="B10" s="8" t="inlineStr">
        <ns0:is>
          <ns0:t>office1</ns0:t>
        </ns0:is>
      </ns0:c>
      <ns0:c r="C10" s="10" t="n">
        <ns0:v>0.65</ns0:v>
      </ns0:c>
      <ns0:c r="D10" s="17" t="n">
        <ns0:v>23</ns0:v>
      </ns0:c>
      <ns0:c r="E10" s="17" t="n">
        <ns0:v>0</ns0:v>
      </ns0:c>
      <ns0:c r="F10" s="10" t="n">
        <ns0:v>0.9</ns0:v>
      </ns0:c>
      <ns0:c r="G10" s="8" t="inlineStr">
        <ns0:is>
          <ns0:t>论文</ns0:t>
        </ns0:is>
      </ns0:c>
    </ns0:row>
    <ns0:row r="11" ht="24" customHeight="1" s="2">
      <ns0:c r="A11" s="12" t="inlineStr">
        <ns0:is>
          <ns0:t>CG</ns0:t>
        </ns0:is>
      </ns0:c>
      <ns0:c r="B11" s="12" t="inlineStr">
        <ns0:is>
          <ns0:t>office2</ns0:t>
        </ns0:is>
      </ns0:c>
      <ns0:c r="C11" s="13" t="n">
        <ns0:v>0.75</ns0:v>
      </ns0:c>
      <ns0:c r="D11" s="18" t="n">
        <ns0:v>44</ns0:v>
      </ns0:c>
      <ns0:c r="E11" s="18" t="n">
        <ns0:v>3</ns0:v>
      </ns0:c>
      <ns0:c r="F11" s="13" t="n">
        <ns0:v>0.82</ns0:v>
      </ns0:c>
      <ns0:c r="G11" s="12" t="inlineStr">
        <ns0:is>
          <ns0:t>论文</ns0:t>
        </ns0:is>
      </ns0:c>
    </ns0:row>
    <ns0:row r="12" ht="24" customHeight="1" s="2">
      <ns0:c r="A12" s="8" t="inlineStr">
        <ns0:is>
          <ns0:t>CG</ns0:t>
        </ns0:is>
      </ns0:c>
      <ns0:c r="B12" s="8" t="inlineStr">
        <ns0:is>
          <ns0:t>office3</ns0:t>
        </ns0:is>
      </ns0:c>
      <ns0:c r="C12" s="10" t="n">
        <ns0:v>0.68</ns0:v>
      </ns0:c>
      <ns0:c r="D12" s="17" t="n">
        <ns0:v>60</ns0:v>
      </ns0:c>
      <ns0:c r="E12" s="17" t="n">
        <ns0:v>5</ns0:v>
      </ns0:c>
      <ns0:c r="F12" s="10" t="n">
        <ns0:v>0.79</ns0:v>
      </ns0:c>
      <ns0:c r="G12" s="8" t="inlineStr">
        <ns0:is>
          <ns0:t>论文</ns0:t>
        </ns0:is>
      </ns0:c>
    </ns0:row>
    <ns0:row r="13" ht="24" customHeight="1" s="2">
      <ns0:c r="A13" s="12" t="inlineStr">
        <ns0:is>
          <ns0:t>CG</ns0:t>
        </ns0:is>
      </ns0:c>
      <ns0:c r="B13" s="12" t="inlineStr">
        <ns0:is>
          <ns0:t>Average</ns0:t>
        </ns0:is>
      </ns0:c>
      <ns0:c r="C13" s="13" t="n">
        <ns0:v>0.71</ns0:v>
      </ns0:c>
      <ns0:c r="D13" s="15" t="n"/>
      <ns0:c r="E13" s="15" t="n"/>
      <ns0:c r="F13" s="13" t="n">
        <ns0:v>0.88</ns0:v>
      </ns0:c>
      <ns0:c r="G13" s="12" t="inlineStr">
        <ns0:is>
          <ns0:t>论文平均</ns0:t>
        </ns0:is>
      </ns0:c>
    </ns0:row>
    <ns0:row r="14" ht="24" customHeight="1" s="2">
      <ns0:c r="A14" s="8" t="inlineStr">
        <ns0:is>
          <ns0:t>CG-D</ns0:t>
        </ns0:is>
      </ns0:c>
      <ns0:c r="B14" s="8" t="inlineStr">
        <ns0:is>
          <ns0:t>room0</ns0:t>
        </ns0:is>
      </ns0:c>
      <ns0:c r="C14" s="10" t="n">
        <ns0:v>0.5600000000000001</ns0:v>
      </ns0:c>
      <ns0:c r="D14" s="17" t="n">
        <ns0:v>60</ns0:v>
      </ns0:c>
      <ns0:c r="E14" s="17" t="n">
        <ns0:v>4</ns0:v>
      </ns0:c>
      <ns0:c r="F14" s="10" t="n">
        <ns0:v>0.87</ns0:v>
      </ns0:c>
      <ns0:c r="G14" s="8" t="inlineStr">
        <ns0:is>
          <ns0:t>论文</ns0:t>
        </ns0:is>
      </ns0:c>
    </ns0:row>
    <ns0:row r="15" ht="24" customHeight="1" s="2">
      <ns0:c r="A15" s="12" t="inlineStr">
        <ns0:is>
          <ns0:t>CG-D</ns0:t>
        </ns0:is>
      </ns0:c>
      <ns0:c r="B15" s="12" t="inlineStr">
        <ns0:is>
          <ns0:t>room1</ns0:t>
        </ns0:is>
      </ns0:c>
      <ns0:c r="C15" s="13" t="n">
        <ns0:v>0.7</ns0:v>
      </ns0:c>
      <ns0:c r="D15" s="18" t="n">
        <ns0:v>40</ns0:v>
      </ns0:c>
      <ns0:c r="E15" s="18" t="n">
        <ns0:v>3</ns0:v>
      </ns0:c>
      <ns0:c r="F15" s="13" t="n">
        <ns0:v>0.93</ns0:v>
      </ns0:c>
      <ns0:c r="G15" s="12" t="inlineStr">
        <ns0:is>
          <ns0:t>论文</ns0:t>
        </ns0:is>
      </ns0:c>
    </ns0:row>
    <ns0:row r="16" ht="24" customHeight="1" s="2">
      <ns0:c r="A16" s="8" t="inlineStr">
        <ns0:is>
          <ns0:t>CG-D</ns0:t>
        </ns0:is>
      </ns0:c>
      <ns0:c r="B16" s="8" t="inlineStr">
        <ns0:is>
          <ns0:t>room2</ns0:t>
        </ns0:is>
      </ns0:c>
      <ns0:c r="C16" s="10" t="n">
        <ns0:v>0.54</ns0:v>
      </ns0:c>
      <ns0:c r="D16" s="17" t="n">
        <ns0:v>49</ns0:v>
      </ns0:c>
      <ns0:c r="E16" s="17" t="n">
        <ns0:v>2</ns0:v>
      </ns0:c>
      <ns0:c r="F16" s="10" t="n">
        <ns0:v>0.93</ns0:v>
      </ns0:c>
      <ns0:c r="G16" s="8" t="inlineStr">
        <ns0:is>
          <ns0:t>论文</ns0:t>
        </ns0:is>
      </ns0:c>
    </ns0:row>
    <ns0:row r="17" ht="24" customHeight="1" s="2">
      <ns0:c r="A17" s="12" t="inlineStr">
        <ns0:is>
          <ns0:t>CG-D</ns0:t>
        </ns0:is>
      </ns0:c>
      <ns0:c r="B17" s="12" t="inlineStr">
        <ns0:is>
          <ns0:t>office0</ns0:t>
        </ns0:is>
      </ns0:c>
      <ns0:c r="C17" s="13" t="n">
        <ns0:v>0.59</ns0:v>
      </ns0:c>
      <ns0:c r="D17" s="18" t="n">
        <ns0:v>35</ns0:v>
      </ns0:c>
      <ns0:c r="E17" s="18" t="n">
        <ns0:v>0</ns0:v>
      </ns0:c>
      <ns0:c r="F17" s="13" t="n">
        <ns0:v>1</ns0:v>
      </ns0:c>
      <ns0:c r="G17" s="12" t="inlineStr">
        <ns0:is>
          <ns0:t>论文</ns0:t>
        </ns0:is>
      </ns0:c>
    </ns0:row>
    <ns0:row r="18" ht="24" customHeight="1" s="2">
      <ns0:c r="A18" s="8" t="inlineStr">
        <ns0:is>
          <ns0:t>CG-D</ns0:t>
        </ns0:is>
      </ns0:c>
      <ns0:c r="B18" s="8" t="inlineStr">
        <ns0:is>
          <ns0:t>office1</ns0:t>
        </ns0:is>
      </ns0:c>
      <ns0:c r="C18" s="10" t="n">
        <ns0:v>0.49</ns0:v>
      </ns0:c>
      <ns0:c r="D18" s="17" t="n">
        <ns0:v>24</ns0:v>
      </ns0:c>
      <ns0:c r="E18" s="17" t="n">
        <ns0:v>2</ns0:v>
      </ns0:c>
      <ns0:c r="F18" s="10" t="n">
        <ns0:v>0.9</ns0:v>
      </ns0:c>
      <ns0:c r="G18" s="8" t="inlineStr">
        <ns0:is>
          <ns0:t>论文</ns0:t>
        </ns0:is>
      </ns0:c>
    </ns0:row>
    <ns0:row r="19" ht="24" customHeight="1" s="2">
      <ns0:c r="A19" s="12" t="inlineStr">
        <ns0:is>
          <ns0:t>CG-D</ns0:t>
        </ns0:is>
      </ns0:c>
      <ns0:c r="B19" s="12" t="inlineStr">
        <ns0:is>
          <ns0:t>office2</ns0:t>
        </ns0:is>
      </ns0:c>
      <ns0:c r="C19" s="13" t="n">
        <ns0:v>0.67</ns0:v>
      </ns0:c>
      <ns0:c r="D19" s="18" t="n">
        <ns0:v>47</ns0:v>
      </ns0:c>
      <ns0:c r="E19" s="18" t="n">
        <ns0:v>3</ns0:v>
      </ns0:c>
      <ns0:c r="F19" s="13" t="n">
        <ns0:v>0.88</ns0:v>
      </ns0:c>
      <ns0:c r="G19" s="12" t="inlineStr">
        <ns0:is>
          <ns0:t>论文</ns0:t>
        </ns0:is>
      </ns0:c>
    </ns0:row>
    <ns0:row r="20" ht="24" customHeight="1" s="2">
      <ns0:c r="A20" s="8" t="inlineStr">
        <ns0:is>
          <ns0:t>CG-D</ns0:t>
        </ns0:is>
      </ns0:c>
      <ns0:c r="B20" s="8" t="inlineStr">
        <ns0:is>
          <ns0:t>office3</ns0:t>
        </ns0:is>
      </ns0:c>
      <ns0:c r="C20" s="10" t="n">
        <ns0:v>0.71</ns0:v>
      </ns0:c>
      <ns0:c r="D20" s="17" t="n">
        <ns0:v>59</ns0:v>
      </ns0:c>
      <ns0:c r="E20" s="17" t="n">
        <ns0:v>1</ns0:v>
      </ns0:c>
      <ns0:c r="F20" s="10" t="n">
        <ns0:v>0.83</ns0:v>
      </ns0:c>
      <ns0:c r="G20" s="8" t="inlineStr">
        <ns0:is>
          <ns0:t>论文</ns0:t>
        </ns0:is>
      </ns0:c>
    </ns0:row>
    <ns0:row r="21" ht="24" customHeight="1" s="2">
      <ns0:c r="A21" s="12" t="inlineStr">
        <ns0:is>
          <ns0:t>CG-D</ns0:t>
        </ns0:is>
      </ns0:c>
      <ns0:c r="B21" s="12" t="inlineStr">
        <ns0:is>
          <ns0:t>Average</ns0:t>
        </ns0:is>
      </ns0:c>
      <ns0:c r="C21" s="13" t="n">
        <ns0:v>0.61</ns0:v>
      </ns0:c>
      <ns0:c r="D21" s="15" t="n"/>
      <ns0:c r="E21" s="15" t="n"/>
      <ns0:c r="F21" s="13" t="n">
        <ns0:v>0.91</ns0:v>
      </ns0:c>
      <ns0:c r="G21" s="12" t="inlineStr">
        <ns0:is>
          <ns0:t>论文平均</ns0:t>
        </ns0:is>
      </ns0:c>
    </ns0:row>
    <ns0:row r="22"/>
    <ns0:row r="23" ht="22" customHeight="1" s="2">
      <ns0:c r="A23" s="245" t="inlineStr">
        <ns0:is>
          <ns0:t>Table II. Open-vocabulary semantic segmentation on Replica</ns0:t>
        </ns0:is>
      </ns0:c>
      <ns0:c r="B23" s="158" t="n"/>
      <ns0:c r="C23" s="158" t="n"/>
      <ns0:c r="D23" s="158" t="n"/>
      <ns0:c r="E23" s="158" t="n"/>
      <ns0:c r="F23" s="158" t="n"/>
      <ns0:c r="G23" s="158" t="n"/>
      <ns0:c r="H23" s="158" t="n"/>
      <ns0:c r="I23" s="159" t="n"/>
    </ns0:row>
    <ns0:row r="24" ht="30" customHeight="1" s="2">
      <ns0:c r="A24" s="7" t="inlineStr">
        <ns0:is>
          <ns0:t>类别</ns0:t>
        </ns0:is>
      </ns0:c>
      <ns0:c r="B24" s="7" t="inlineStr">
        <ns0:is>
          <ns0:t>方法</ns0:t>
        </ns0:is>
      </ns0:c>
      <ns0:c r="C24" s="7" t="inlineStr">
        <ns0:is>
          <ns0:t>mAcc</ns0:t>
        </ns0:is>
      </ns0:c>
      <ns0:c r="D24" s="7" t="inlineStr">
        <ns0:is>
          <ns0:t>F-mIoU</ns0:t>
        </ns0:is>
      </ns0:c>
    </ns0:row>
    <ns0:row r="25" ht="24" customHeight="1" s="2">
      <ns0:c r="A25" s="8" t="inlineStr">
        <ns0:is>
          <ns0:t>Privileged</ns0:t>
        </ns0:is>
      </ns0:c>
      <ns0:c r="B25" s="8" t="inlineStr">
        <ns0:is>
          <ns0:t>CLIPSeg (rd64-uni)</ns0:t>
        </ns0:is>
      </ns0:c>
      <ns0:c r="C25" s="10" t="n">
        <ns0:v>0.2821</ns0:v>
      </ns0:c>
      <ns0:c r="D25" s="10" t="n">
        <ns0:v>0.3984</ns0:v>
      </ns0:c>
    </ns0:row>
    <ns0:row r="26" ht="24" customHeight="1" s="2">
      <ns0:c r="A26" s="12" t="inlineStr">
        <ns0:is>
          <ns0:t>Privileged</ns0:t>
        </ns0:is>
      </ns0:c>
      <ns0:c r="B26" s="12" t="inlineStr">
        <ns0:is>
          <ns0:t>LSeg</ns0:t>
        </ns0:is>
      </ns0:c>
      <ns0:c r="C26" s="13" t="n">
        <ns0:v>0.3339</ns0:v>
      </ns0:c>
      <ns0:c r="D26" s="13" t="n">
        <ns0:v>0.5154</ns0:v>
      </ns0:c>
    </ns0:row>
    <ns0:row r="27" ht="24" customHeight="1" s="2">
      <ns0:c r="A27" s="8" t="inlineStr">
        <ns0:is>
          <ns0:t>Privileged</ns0:t>
        </ns0:is>
      </ns0:c>
      <ns0:c r="B27" s="8" t="inlineStr">
        <ns0:is>
          <ns0:t>OpenSeg</ns0:t>
        </ns0:is>
      </ns0:c>
      <ns0:c r="C27" s="10" t="n">
        <ns0:v>0.4119</ns0:v>
      </ns0:c>
      <ns0:c r="D27" s="10" t="n">
        <ns0:v>0.5374</ns0:v>
      </ns0:c>
    </ns0:row>
    <ns0:row r="28" ht="24" customHeight="1" s="2">
      <ns0:c r="A28" s="12" t="inlineStr">
        <ns0:is>
          <ns0:t>Zero-shot</ns0:t>
        </ns0:is>
      </ns0:c>
      <ns0:c r="B28" s="12" t="inlineStr">
        <ns0:is>
          <ns0:t>MaskCLIP</ns0:t>
        </ns0:is>
      </ns0:c>
      <ns0:c r="C28" s="13" t="n">
        <ns0:v>0.0453</ns0:v>
      </ns0:c>
      <ns0:c r="D28" s="13" t="n">
        <ns0:v>0.0094</ns0:v>
      </ns0:c>
    </ns0:row>
    <ns0:row r="29" ht="24" customHeight="1" s="2">
      <ns0:c r="A29" s="8" t="inlineStr">
        <ns0:is>
          <ns0:t>Zero-shot</ns0:t>
        </ns0:is>
      </ns0:c>
      <ns0:c r="B29" s="8" t="inlineStr">
        <ns0:is>
          <ns0:t>Mask2Former + Global CLIP feat</ns0:t>
        </ns0:is>
      </ns0:c>
      <ns0:c r="C29" s="10" t="n">
        <ns0:v>0.1042</ns0:v>
      </ns0:c>
      <ns0:c r="D29" s="10" t="n">
        <ns0:v>0.1311</ns0:v>
      </ns0:c>
    </ns0:row>
    <ns0:row r="30" ht="24" customHeight="1" s="2">
      <ns0:c r="A30" s="12" t="inlineStr">
        <ns0:is>
          <ns0:t>Zero-shot</ns0:t>
        </ns0:is>
      </ns0:c>
      <ns0:c r="B30" s="12" t="inlineStr">
        <ns0:is>
          <ns0:t>ConceptFusion</ns0:t>
        </ns0:is>
      </ns0:c>
      <ns0:c r="C30" s="13" t="n">
        <ns0:v>0.2416</ns0:v>
      </ns0:c>
      <ns0:c r="D30" s="13" t="n">
        <ns0:v>0.3131</ns0:v>
      </ns0:c>
    </ns0:row>
    <ns0:row r="31" ht="24" customHeight="1" s="2">
      <ns0:c r="A31" s="8" t="inlineStr">
        <ns0:is>
          <ns0:t>Zero-shot</ns0:t>
        </ns0:is>
      </ns0:c>
      <ns0:c r="B31" s="8" t="inlineStr">
        <ns0:is>
          <ns0:t>ConceptFusion + SAM</ns0:t>
        </ns0:is>
      </ns0:c>
      <ns0:c r="C31" s="10" t="n">
        <ns0:v>0.3153</ns0:v>
      </ns0:c>
      <ns0:c r="D31" s="10" t="n">
        <ns0:v>0.387</ns0:v>
      </ns0:c>
    </ns0:row>
    <ns0:row r="32" ht="24" customHeight="1" s="2">
      <ns0:c r="A32" s="12" t="inlineStr">
        <ns0:is>
          <ns0:t>Zero-shot</ns0:t>
        </ns0:is>
      </ns0:c>
      <ns0:c r="B32" s="12" t="inlineStr">
        <ns0:is>
          <ns0:t>ConceptGraphs (Ours)</ns0:t>
        </ns0:is>
      </ns0:c>
      <ns0:c r="C32" s="13" t="n">
        <ns0:v>0.4063</ns0:v>
      </ns0:c>
      <ns0:c r="D32" s="13" t="n">
        <ns0:v>0.3595</ns0:v>
      </ns0:c>
    </ns0:row>
    <ns0:row r="33" ht="24" customHeight="1" s="2">
      <ns0:c r="A33" s="8" t="inlineStr">
        <ns0:is>
          <ns0:t>Zero-shot</ns0:t>
        </ns0:is>
      </ns0:c>
      <ns0:c r="B33" s="8" t="inlineStr">
        <ns0:is>
          <ns0:t>ConceptGraphs-Detector (Ours)</ns0:t>
        </ns0:is>
      </ns0:c>
      <ns0:c r="C33" s="10" t="n">
        <ns0:v>0.3872</ns0:v>
      </ns0:c>
      <ns0:c r="D33" s="10" t="n">
        <ns0:v>0.3582</ns0:v>
      </ns0:c>
    </ns0:row>
    <ns0:row r="34"/>
    <ns0:row r="35" ht="22" customHeight="1" s="2">
      <ns0:c r="A35" s="245" t="inlineStr">
        <ns0:is>
          <ns0:t>Table III. Object retrieval from text queries</ns0:t>
        </ns0:is>
      </ns0:c>
      <ns0:c r="B35" s="158" t="n"/>
      <ns0:c r="C35" s="158" t="n"/>
      <ns0:c r="D35" s="158" t="n"/>
      <ns0:c r="E35" s="158" t="n"/>
      <ns0:c r="F35" s="158" t="n"/>
      <ns0:c r="G35" s="158" t="n"/>
      <ns0:c r="H35" s="158" t="n"/>
      <ns0:c r="I35" s="159" t="n"/>
    </ns0:row>
    <ns0:row r="36" ht="30" customHeight="1" s="2">
      <ns0:c r="A36" s="7" t="inlineStr">
        <ns0:is>
          <ns0:t>数据集</ns0:t>
        </ns0:is>
      </ns0:c>
      <ns0:c r="B36" s="7" t="inlineStr">
        <ns0:is>
          <ns0:t>Query Type</ns0:t>
        </ns0:is>
      </ns0:c>
      <ns0:c r="C36" s="7" t="inlineStr">
        <ns0:is>
          <ns0:t>模型</ns0:t>
        </ns0:is>
      </ns0:c>
      <ns0:c r="D36" s="7" t="inlineStr">
        <ns0:is>
          <ns0:t>R@1</ns0:t>
        </ns0:is>
      </ns0:c>
      <ns0:c r="E36" s="7" t="inlineStr">
        <ns0:is>
          <ns0:t>R@2</ns0:t>
        </ns0:is>
      </ns0:c>
      <ns0:c r="F36" s="7" t="inlineStr">
        <ns0:is>
          <ns0:t>R@3</ns0:t>
        </ns0:is>
      </ns0:c>
      <ns0:c r="G36" s="7" t="inlineStr">
        <ns0:is>
          <ns0:t># Queries</ns0:t>
        </ns0:is>
      </ns0:c>
    </ns0:row>
    <ns0:row r="37" ht="24" customHeight="1" s="2">
      <ns0:c r="A37" s="8" t="inlineStr">
        <ns0:is>
          <ns0:t>Replica</ns0:t>
        </ns0:is>
      </ns0:c>
      <ns0:c r="B37" s="8" t="inlineStr">
        <ns0:is>
          <ns0:t>Descriptive</ns0:t>
        </ns0:is>
      </ns0:c>
      <ns0:c r="C37" s="8" t="inlineStr">
        <ns0:is>
          <ns0:t>CLIP</ns0:t>
        </ns0:is>
      </ns0:c>
      <ns0:c r="D37" s="10" t="n">
        <ns0:v>0.59</ns0:v>
      </ns0:c>
      <ns0:c r="E37" s="10" t="n">
        <ns0:v>0.82</ns0:v>
      </ns0:c>
      <ns0:c r="F37" s="10" t="n">
        <ns0:v>0.86</ns0:v>
      </ns0:c>
      <ns0:c r="G37" s="17" t="n">
        <ns0:v>20</ns0:v>
      </ns0:c>
    </ns0:row>
    <ns0:row r="38" ht="24" customHeight="1" s="2">
      <ns0:c r="A38" s="12" t="inlineStr">
        <ns0:is>
          <ns0:t>Replica</ns0:t>
        </ns0:is>
      </ns0:c>
      <ns0:c r="B38" s="12" t="inlineStr">
        <ns0:is>
          <ns0:t>Descriptive</ns0:t>
        </ns0:is>
      </ns0:c>
      <ns0:c r="C38" s="12" t="inlineStr">
        <ns0:is>
          <ns0:t>LLM</ns0:t>
        </ns0:is>
      </ns0:c>
      <ns0:c r="D38" s="13" t="n">
        <ns0:v>0.61</ns0:v>
      </ns0:c>
      <ns0:c r="E38" s="13" t="n">
        <ns0:v>0.64</ns0:v>
      </ns0:c>
      <ns0:c r="F38" s="13" t="n">
        <ns0:v>0.64</ns0:v>
      </ns0:c>
      <ns0:c r="G38" s="18" t="n">
        <ns0:v>20</ns0:v>
      </ns0:c>
    </ns0:row>
    <ns0:row r="39" ht="24" customHeight="1" s="2">
      <ns0:c r="A39" s="8" t="inlineStr">
        <ns0:is>
          <ns0:t>Replica</ns0:t>
        </ns0:is>
      </ns0:c>
      <ns0:c r="B39" s="8" t="inlineStr">
        <ns0:is>
          <ns0:t>Affordance</ns0:t>
        </ns0:is>
      </ns0:c>
      <ns0:c r="C39" s="8" t="inlineStr">
        <ns0:is>
          <ns0:t>CLIP</ns0:t>
        </ns0:is>
      </ns0:c>
      <ns0:c r="D39" s="10" t="n">
        <ns0:v>0.43</ns0:v>
      </ns0:c>
      <ns0:c r="E39" s="10" t="n">
        <ns0:v>0.57</ns0:v>
      </ns0:c>
      <ns0:c r="F39" s="10" t="n">
        <ns0:v>0.63</ns0:v>
      </ns0:c>
      <ns0:c r="G39" s="17" t="n">
        <ns0:v>5</ns0:v>
      </ns0:c>
    </ns0:row>
    <ns0:row r="40" ht="24" customHeight="1" s="2">
      <ns0:c r="A40" s="12" t="inlineStr">
        <ns0:is>
          <ns0:t>Replica</ns0:t>
        </ns0:is>
      </ns0:c>
      <ns0:c r="B40" s="12" t="inlineStr">
        <ns0:is>
          <ns0:t>Affordance</ns0:t>
        </ns0:is>
      </ns0:c>
      <ns0:c r="C40" s="12" t="inlineStr">
        <ns0:is>
          <ns0:t>LLM</ns0:t>
        </ns0:is>
      </ns0:c>
      <ns0:c r="D40" s="13" t="n">
        <ns0:v>0.57</ns0:v>
      </ns0:c>
      <ns0:c r="E40" s="13" t="n">
        <ns0:v>0.63</ns0:v>
      </ns0:c>
      <ns0:c r="F40" s="13" t="n">
        <ns0:v>0.66</ns0:v>
      </ns0:c>
      <ns0:c r="G40" s="18" t="n">
        <ns0:v>5</ns0:v>
      </ns0:c>
    </ns0:row>
    <ns0:row r="41" ht="24" customHeight="1" s="2">
      <ns0:c r="A41" s="8" t="inlineStr">
        <ns0:is>
          <ns0:t>Replica</ns0:t>
        </ns0:is>
      </ns0:c>
      <ns0:c r="B41" s="8" t="inlineStr">
        <ns0:is>
          <ns0:t>Negation</ns0:t>
        </ns0:is>
      </ns0:c>
      <ns0:c r="C41" s="8" t="inlineStr">
        <ns0:is>
          <ns0:t>CLIP</ns0:t>
        </ns0:is>
      </ns0:c>
      <ns0:c r="D41" s="10" t="n">
        <ns0:v>0.26</ns0:v>
      </ns0:c>
      <ns0:c r="E41" s="10" t="n">
        <ns0:v>0.6</ns0:v>
      </ns0:c>
      <ns0:c r="F41" s="10" t="n">
        <ns0:v>0.71</ns0:v>
      </ns0:c>
      <ns0:c r="G41" s="17" t="n">
        <ns0:v>5</ns0:v>
      </ns0:c>
    </ns0:row>
    <ns0:row r="42" ht="24" customHeight="1" s="2">
      <ns0:c r="A42" s="12" t="inlineStr">
        <ns0:is>
          <ns0:t>Replica</ns0:t>
        </ns0:is>
      </ns0:c>
      <ns0:c r="B42" s="12" t="inlineStr">
        <ns0:is>
          <ns0:t>Negation</ns0:t>
        </ns0:is>
      </ns0:c>
      <ns0:c r="C42" s="12" t="inlineStr">
        <ns0:is>
          <ns0:t>LLM</ns0:t>
        </ns0:is>
      </ns0:c>
      <ns0:c r="D42" s="13" t="n">
        <ns0:v>0.8</ns0:v>
      </ns0:c>
      <ns0:c r="E42" s="13" t="n">
        <ns0:v>0.89</ns0:v>
      </ns0:c>
      <ns0:c r="F42" s="13" t="n">
        <ns0:v>0.97</ns0:v>
      </ns0:c>
      <ns0:c r="G42" s="18" t="n">
        <ns0:v>5</ns0:v>
      </ns0:c>
    </ns0:row>
    <ns0:row r="43" ht="24" customHeight="1" s="2">
      <ns0:c r="A43" s="8" t="inlineStr">
        <ns0:is>
          <ns0:t>Lab</ns0:t>
        </ns0:is>
      </ns0:c>
      <ns0:c r="B43" s="8" t="inlineStr">
        <ns0:is>
          <ns0:t>Descriptive</ns0:t>
        </ns0:is>
      </ns0:c>
      <ns0:c r="C43" s="8" t="inlineStr">
        <ns0:is>
          <ns0:t>CLIP</ns0:t>
        </ns0:is>
      </ns0:c>
      <ns0:c r="D43" s="10" t="n">
        <ns0:v>1</ns0:v>
      </ns0:c>
      <ns0:c r="E43" s="9" t="n"/>
      <ns0:c r="F43" s="9" t="n"/>
      <ns0:c r="G43" s="17" t="n">
        <ns0:v>10</ns0:v>
      </ns0:c>
    </ns0:row>
    <ns0:row r="44" ht="24" customHeight="1" s="2">
      <ns0:c r="A44" s="12" t="inlineStr">
        <ns0:is>
          <ns0:t>Lab</ns0:t>
        </ns0:is>
      </ns0:c>
      <ns0:c r="B44" s="12" t="inlineStr">
        <ns0:is>
          <ns0:t>Descriptive</ns0:t>
        </ns0:is>
      </ns0:c>
      <ns0:c r="C44" s="12" t="inlineStr">
        <ns0:is>
          <ns0:t>LLM</ns0:t>
        </ns0:is>
      </ns0:c>
      <ns0:c r="D44" s="13" t="n">
        <ns0:v>1</ns0:v>
      </ns0:c>
      <ns0:c r="E44" s="15" t="n"/>
      <ns0:c r="F44" s="15" t="n"/>
      <ns0:c r="G44" s="18" t="n">
        <ns0:v>10</ns0:v>
      </ns0:c>
    </ns0:row>
    <ns0:row r="45" ht="24" customHeight="1" s="2">
      <ns0:c r="A45" s="8" t="inlineStr">
        <ns0:is>
          <ns0:t>Lab</ns0:t>
        </ns0:is>
      </ns0:c>
      <ns0:c r="B45" s="8" t="inlineStr">
        <ns0:is>
          <ns0:t>Affordance</ns0:t>
        </ns0:is>
      </ns0:c>
      <ns0:c r="C45" s="8" t="inlineStr">
        <ns0:is>
          <ns0:t>CLIP</ns0:t>
        </ns0:is>
      </ns0:c>
      <ns0:c r="D45" s="10" t="n">
        <ns0:v>0.4</ns0:v>
      </ns0:c>
      <ns0:c r="E45" s="10" t="n">
        <ns0:v>0.6</ns0:v>
      </ns0:c>
      <ns0:c r="F45" s="10" t="n">
        <ns0:v>0.6</ns0:v>
      </ns0:c>
      <ns0:c r="G45" s="17" t="n">
        <ns0:v>10</ns0:v>
      </ns0:c>
    </ns0:row>
    <ns0:row r="46" ht="24" customHeight="1" s="2">
      <ns0:c r="A46" s="12" t="inlineStr">
        <ns0:is>
          <ns0:t>Lab</ns0:t>
        </ns0:is>
      </ns0:c>
      <ns0:c r="B46" s="12" t="inlineStr">
        <ns0:is>
          <ns0:t>Affordance</ns0:t>
        </ns0:is>
      </ns0:c>
      <ns0:c r="C46" s="12" t="inlineStr">
        <ns0:is>
          <ns0:t>LLM</ns0:t>
        </ns0:is>
      </ns0:c>
      <ns0:c r="D46" s="13" t="n">
        <ns0:v>1</ns0:v>
      </ns0:c>
      <ns0:c r="E46" s="15" t="n"/>
      <ns0:c r="F46" s="15" t="n"/>
      <ns0:c r="G46" s="18" t="n">
        <ns0:v>10</ns0:v>
      </ns0:c>
    </ns0:row>
    <ns0:row r="47" ht="24" customHeight="1" s="2">
      <ns0:c r="A47" s="8" t="inlineStr">
        <ns0:is>
          <ns0:t>Lab</ns0:t>
        </ns0:is>
      </ns0:c>
      <ns0:c r="B47" s="8" t="inlineStr">
        <ns0:is>
          <ns0:t>Negation</ns0:t>
        </ns0:is>
      </ns0:c>
      <ns0:c r="C47" s="8" t="inlineStr">
        <ns0:is>
          <ns0:t>CLIP</ns0:t>
        </ns0:is>
      </ns0:c>
      <ns0:c r="D47" s="10" t="n">
        <ns0:v>0</ns0:v>
      </ns0:c>
      <ns0:c r="E47" s="9" t="n"/>
      <ns0:c r="F47" s="9" t="n"/>
      <ns0:c r="G47" s="17" t="n">
        <ns0:v>10</ns0:v>
      </ns0:c>
    </ns0:row>
    <ns0:row r="48" ht="24" customHeight="1" s="2">
      <ns0:c r="A48" s="12" t="inlineStr">
        <ns0:is>
          <ns0:t>Lab</ns0:t>
        </ns0:is>
      </ns0:c>
      <ns0:c r="B48" s="12" t="inlineStr">
        <ns0:is>
          <ns0:t>Negation</ns0:t>
        </ns0:is>
      </ns0:c>
      <ns0:c r="C48" s="12" t="inlineStr">
        <ns0:is>
          <ns0:t>LLM</ns0:t>
        </ns0:is>
      </ns0:c>
      <ns0:c r="D48" s="13" t="n">
        <ns0:v>1</ns0:v>
      </ns0:c>
      <ns0:c r="E48" s="15" t="n"/>
      <ns0:c r="F48" s="15" t="n"/>
      <ns0:c r="G48" s="18" t="n">
        <ns0:v>10</ns0:v>
      </ns0:c>
    </ns0:row>
    <ns0:row r="49"/>
    <ns0:row r="50" ht="34" customHeight="1" s="2">
      <ns0:c r="A50" s="246" t="inlineStr">
        <ns0:is>
          <ns0:t>论文 Table III 的 R@1/R@2/R@3 是文本查询对象检索；本地 ReplicaSSG R@1/R@5 是不同任务与 GT，不能直接比较。</ns0:t>
        </ns0:is>
      </ns0:c>
      <ns0:c r="B50" s="158" t="n"/>
      <ns0:c r="C50" s="158" t="n"/>
      <ns0:c r="D50" s="158" t="n"/>
      <ns0:c r="E50" s="158" t="n"/>
      <ns0:c r="F50" s="158" t="n"/>
      <ns0:c r="G50" s="158" t="n"/>
      <ns0:c r="H50" s="158" t="n"/>
      <ns0:c r="I50" s="159" t="n"/>
    </ns0:row>
    <ns0:row r="51"/>
    <ns0:row r="52" ht="24" customHeight="1" s="2">
      <ns0:c r="A52" s="152" t="inlineStr">
        <ns0:is>
          <ns0:t>OVI-MAP 官方语义指标（同名/近似名协议对照）</ns0:t>
        </ns0:is>
      </ns0:c>
      <ns0:c r="B52" s="158" t="n"/>
      <ns0:c r="C52" s="158" t="n"/>
      <ns0:c r="D52" s="158" t="n"/>
      <ns0:c r="E52" s="158" t="n"/>
      <ns0:c r="F52" s="158" t="n"/>
      <ns0:c r="G52" s="158" t="n"/>
      <ns0:c r="H52" s="158" t="n"/>
      <ns0:c r="I52" s="158" t="n"/>
      <ns0:c r="J52" s="159" t="n"/>
    </ns0:row>
    <ns0:row r="53" ht="42" customHeight="1" s="2">
      <ns0:c r="A53" s="122" t="inlineStr">
        <ns0:is>
          <ns0:t>mAcc 名称相同，但标签集、帧采样、地图表示和投影协议不同；OVI-MAP 的 semantic mIoU 也不是 ConceptGraphs Table II 的 F-mIoU。数值并列保存，不作直接优劣结论。</ns0:t>
        </ns0:is>
      </ns0:c>
      <ns0:c r="B53" s="158" t="n"/>
      <ns0:c r="C53" s="158" t="n"/>
      <ns0:c r="D53" s="158" t="n"/>
      <ns0:c r="E53" s="158" t="n"/>
      <ns0:c r="F53" s="158" t="n"/>
      <ns0:c r="G53" s="158" t="n"/>
      <ns0:c r="H53" s="158" t="n"/>
      <ns0:c r="I53" s="158" t="n"/>
      <ns0:c r="J53" s="159" t="n"/>
    </ns0:row>
    <ns0:row r="54" ht="32" customHeight="1" s="2">
      <ns0:c r="A54" s="92" t="inlineStr">
        <ns0:is>
          <ns0:t>方法</ns0:t>
        </ns0:is>
      </ns0:c>
      <ns0:c r="B54" s="158" t="n"/>
      <ns0:c r="C54" s="158" t="n"/>
      <ns0:c r="D54" s="158" t="n"/>
      <ns0:c r="E54" s="158" t="n"/>
      <ns0:c r="F54" s="158" t="n"/>
      <ns0:c r="G54" s="158" t="n"/>
      <ns0:c r="H54" s="158" t="n"/>
      <ns0:c r="I54" s="158" t="n"/>
      <ns0:c r="J54" s="159" t="n"/>
    </ns0:row>
    <ns0:row r="55" ht="32" customHeight="1" s="2">
      <ns0:c r="A55" s="147" t="inlineStr">
        <ns0:is>
          <ns0:t>ConceptGraphs (official)</ns0:t>
        </ns0:is>
      </ns0:c>
      <ns0:c r="B55" s="147" t="inlineStr">
        <ns0:is>
          <ns0:t>Replica</ns0:t>
        </ns0:is>
      </ns0:c>
      <ns0:c r="C55" s="147" t="inlineStr">
        <ns0:is>
          <ns0:t>Zero-shot</ns0:t>
        </ns0:is>
      </ns0:c>
      <ns0:c r="D55" s="153" t="n">
        <ns0:v>0.4063</ns0:v>
      </ns0:c>
      <ns0:c r="E55" s="154" t="n"/>
      <ns0:c r="F55" s="153" t="n">
        <ns0:v>0.3595</ns0:v>
      </ns0:c>
      <ns0:c r="G55" s="154" t="n"/>
      <ns0:c r="H55" s="154" t="n"/>
      <ns0:c r="I55" s="154" t="n"/>
      <ns0:c r="J55" s="147" t="inlineStr">
        <ns0:is>
          <ns0:t>否</ns0:t>
        </ns0:is>
      </ns0:c>
    </ns0:row>
    <ns0:row r="56">
      <ns0:c r="A56" s="141" t="inlineStr">
        <ns0:is>
          <ns0:t>OVI-MAP</ns0:t>
        </ns0:is>
      </ns0:c>
      <ns0:c r="B56" s="141" t="inlineStr">
        <ns0:is>
          <ns0:t>Replica</ns0:t>
        </ns0:is>
      </ns0:c>
      <ns0:c r="C56" s="141" t="inlineStr">
        <ns0:is>
          <ns0:t>完整处理</ns0:t>
        </ns0:is>
      </ns0:c>
      <ns0:c r="D56" s="155" t="n">
        <ns0:v>0.322</ns0:v>
      </ns0:c>
      <ns0:c r="E56" s="155" t="n">
        <ns0:v>0.265</ns0:v>
      </ns0:c>
      <ns0:c r="F56" s="156" t="n"/>
      <ns0:c r="G56" s="155" t="n">
        <ns0:v>0.345</ns0:v>
      </ns0:c>
      <ns0:c r="H56" s="155" t="n">
        <ns0:v>0.212</ns0:v>
      </ns0:c>
      <ns0:c r="I56" s="155" t="n">
        <ns0:v>0.08500000000000001</ns0:v>
      </ns0:c>
      <ns0:c r="J56" s="141" t="inlineStr">
        <ns0:is>
          <ns0:t>否</ns0:t>
        </ns0:is>
      </ns0:c>
    </ns0:row>
    <ns0:row r="57">
      <ns0:c r="A57" s="128" t="inlineStr">
        <ns0:is>
          <ns0:t>OVI-MAP</ns0:t>
        </ns0:is>
      </ns0:c>
      <ns0:c r="B57" s="128" t="inlineStr">
        <ns0:is>
          <ns0:t>Replica</ns0:t>
        </ns0:is>
      </ns0:c>
      <ns0:c r="C57" s="128" t="inlineStr">
        <ns0:is>
          <ns0:t>30 FPS</ns0:t>
        </ns0:is>
      </ns0:c>
      <ns0:c r="D57" s="99" t="n">
        <ns0:v>0.325</ns0:v>
      </ns0:c>
      <ns0:c r="E57" s="99" t="n">
        <ns0:v>0.27</ns0:v>
      </ns0:c>
      <ns0:c r="F57" s="129" t="n"/>
      <ns0:c r="G57" s="99" t="n">
        <ns0:v>0.318</ns0:v>
      </ns0:c>
      <ns0:c r="H57" s="99" t="n">
        <ns0:v>0.177</ns0:v>
      </ns0:c>
      <ns0:c r="I57" s="99" t="n">
        <ns0:v>0.08</ns0:v>
      </ns0:c>
      <ns0:c r="J57" s="128" t="inlineStr">
        <ns0:is>
          <ns0:t>否</ns0:t>
        </ns0:is>
      </ns0:c>
    </ns0:row>
    <ns0:row r="58">
      <ns0:c r="A58" s="130" t="inlineStr">
        <ns0:is>
          <ns0:t>OVI-MAP</ns0:t>
        </ns0:is>
      </ns0:c>
      <ns0:c r="B58" s="130" t="inlineStr">
        <ns0:is>
          <ns0:t>ScanNet</ns0:t>
        </ns0:is>
      </ns0:c>
      <ns0:c r="C58" s="130" t="inlineStr">
        <ns0:is>
          <ns0:t>完整处理</ns0:t>
        </ns0:is>
      </ns0:c>
      <ns0:c r="D58" s="98" t="n">
        <ns0:v>0.276</ns0:v>
      </ns0:c>
      <ns0:c r="E58" s="98" t="n">
        <ns0:v>0.175</ns0:v>
      </ns0:c>
      <ns0:c r="F58" s="136" t="n"/>
      <ns0:c r="G58" s="98" t="n">
        <ns0:v>0.234</ns0:v>
      </ns0:c>
      <ns0:c r="H58" s="98" t="n">
        <ns0:v>0.157</ns0:v>
      </ns0:c>
      <ns0:c r="I58" s="98" t="n">
        <ns0:v>0.07199999999999999</ns0:v>
      </ns0:c>
      <ns0:c r="J58" s="130" t="inlineStr">
        <ns0:is>
          <ns0:t>否</ns0:t>
        </ns0:is>
      </ns0:c>
    </ns0:row>
    <ns0:row r="59">
      <ns0:c r="A59" s="128" t="inlineStr">
        <ns0:is>
          <ns0:t>OVI-MAP</ns0:t>
        </ns0:is>
      </ns0:c>
      <ns0:c r="B59" s="128" t="inlineStr">
        <ns0:is>
          <ns0:t>ScanNet</ns0:t>
        </ns0:is>
      </ns0:c>
      <ns0:c r="C59" s="128" t="inlineStr">
        <ns0:is>
          <ns0:t>30 FPS</ns0:t>
        </ns0:is>
      </ns0:c>
      <ns0:c r="D59" s="99" t="n">
        <ns0:v>0.254</ns0:v>
      </ns0:c>
      <ns0:c r="E59" s="99" t="n">
        <ns0:v>0.163</ns0:v>
      </ns0:c>
      <ns0:c r="F59" s="129" t="n"/>
      <ns0:c r="G59" s="99" t="n">
        <ns0:v>0.211</ns0:v>
      </ns0:c>
      <ns0:c r="H59" s="99" t="n">
        <ns0:v>0.144</ns0:v>
      </ns0:c>
      <ns0:c r="I59" s="99" t="n">
        <ns0:v>0.07000000000000001</ns0:v>
      </ns0:c>
      <ns0:c r="J59" s="128" t="inlineStr">
        <ns0:is>
          <ns0:t>否</ns0:t>
        </ns0:is>
      </ns0:c>
    </ns0:row>
    <ns0:row r="60">
      <ns0:c r="A60" s="130" t="inlineStr">
        <ns0:is>
          <ns0:t>来源</ns0:t>
        </ns0:is>
      </ns0:c>
      <ns0:c r="B60" s="130" t="inlineStr"/>
      <ns0:c r="C60" s="130" t="inlineStr"/>
      <ns0:c r="D60" s="130" t="n"/>
      <ns0:c r="E60" s="130" t="n"/>
      <ns0:c r="F60" s="130" t="n"/>
      <ns0:c r="G60" s="130" t="n"/>
      <ns0:c r="H60" s="130" t="n"/>
      <ns0:c r="I60" s="130" t="n"/>
      <ns0:c r="J60" s="157" t="inlineStr">
        <ns0:is>
          <ns0:t>论文 Table 3</ns0:t>
        </ns0:is>
      </ns0:c>
    </ns0:row>
  </ns0:sheetData>
  <ns0:mergeCells count="9">
    <ns0:mergeCell ref="A2:I2"/>
    <ns0:mergeCell ref="A1:I1"/>
    <ns0:mergeCell ref="A23:I23"/>
    <ns0:mergeCell ref="A53:J53"/>
    <ns0:mergeCell ref="A54:J54"/>
    <ns0:mergeCell ref="A50:I50"/>
    <ns0:mergeCell ref="A4:I4"/>
    <ns0:mergeCell ref="A52:J52"/>
    <ns0:mergeCell ref="A35:I35"/>
  </ns0:mergeCells>
  <ns0:hyperlinks>
    <ns0:hyperlink ref="J60" ns1:id="rId1"/>
  </ns0:hyperlinks>
  <ns0:pageMargins left="0.7" right="0.7" top="0.75" bottom="0.75" header="0.3" footer="0.3"/>
</ns0:worksheet>
</file>

<file path=xl/worksheets/sheet10.xml><?xml version="1.0" encoding="utf-8"?>
<ns0:worksheet xmlns:ns0="http://schemas.openxmlformats.org/spreadsheetml/2006/main">
  <ns0:sheetPr>
    <ns0:outlinePr summaryBelow="1" summaryRight="1"/>
    <ns0:pageSetUpPr/>
  </ns0:sheetPr>
  <ns0:dimension ref="A1:F37"/>
  <ns0:sheetViews>
    <ns0:sheetView showGridLines="0" workbookViewId="0">
      <ns0:selection activeCell="A1" sqref="A1"/>
    </ns0:sheetView>
  </ns0:sheetViews>
  <ns0:sheetFormatPr baseColWidth="8" defaultRowHeight="15"/>
  <ns0:cols>
    <ns0:col width="40" customWidth="1" style="2" min="1" max="1"/>
    <ns0:col width="20" customWidth="1" style="2" min="2" max="2"/>
    <ns0:col width="14" customWidth="1" style="2" min="3" max="3"/>
    <ns0:col width="18" customWidth="1" style="2" min="4" max="4"/>
    <ns0:col width="42" customWidth="1" style="2" min="5" max="5"/>
    <ns0:col width="28" customWidth="1" style="2" min="6" max="6"/>
  </ns0:cols>
  <ns0:sheetData>
    <ns0:row r="1" ht="30" customHeight="1" s="2">
      <ns0:c r="A1" s="25" t="inlineStr">
        <ns0:is>
          <ns0:t>其他已经完成的诊断与下游结果</ns0:t>
        </ns0:is>
      </ns0:c>
    </ns0:row>
    <ns0:row r="2" ht="34" customHeight="1" s="2">
      <ns0:c r="A2" s="26" t="inlineStr">
        <ns0:is>
          <ns0:t>这些结果已经实际运行并落盘，但不属于 Replica 8 场景语义/对象主 benchmark；ObjectNav 也不是官方 Habitat GT。</ns0:t>
        </ns0:is>
      </ns0:c>
    </ns0:row>
    <ns0:row r="3"/>
    <ns0:row r="4">
      <ns0:c r="A4" s="259" t="inlineStr">
        <ns0:is>
          <ns0:t>A. main room0 Stage 5/6 对象标签诊断</ns0:t>
        </ns0:is>
      </ns0:c>
      <ns0:c r="B4" s="158" t="n"/>
      <ns0:c r="C4" s="158" t="n"/>
      <ns0:c r="D4" s="158" t="n"/>
      <ns0:c r="E4" s="158" t="n"/>
      <ns0:c r="F4" s="159" t="n"/>
    </ns0:row>
    <ns0:row r="5">
      <ns0:c r="A5" s="7" t="inlineStr">
        <ns0:is>
          <ns0:t>指标</ns0:t>
        </ns0:is>
      </ns0:c>
      <ns0:c r="B5" s="7" t="inlineStr">
        <ns0:is>
          <ns0:t>数值</ns0:t>
        </ns0:is>
      </ns0:c>
      <ns0:c r="C5" s="7" t="inlineStr">
        <ns0:is>
          <ns0:t>单位</ns0:t>
        </ns0:is>
      </ns0:c>
      <ns0:c r="D5" s="7" t="inlineStr">
        <ns0:is>
          <ns0:t>范围</ns0:t>
        </ns0:is>
      </ns0:c>
      <ns0:c r="E5" s="7" t="inlineStr">
        <ns0:is>
          <ns0:t>口径</ns0:t>
        </ns0:is>
      </ns0:c>
      <ns0:c r="F5" s="7" t="inlineStr">
        <ns0:is>
          <ns0:t>定位</ns0:t>
        </ns0:is>
      </ns0:c>
    </ns0:row>
    <ns0:row r="6">
      <ns0:c r="A6" s="28" t="inlineStr">
        <ns0:is>
          <ns0:t>对象总数</ns0:t>
        </ns0:is>
      </ns0:c>
      <ns0:c r="B6" s="32" t="n">
        <ns0:v>75</ns0:v>
      </ns0:c>
      <ns0:c r="C6" s="28" t="inlineStr">
        <ns0:is>
          <ns0:t>个</ns0:t>
        </ns0:is>
      </ns0:c>
      <ns0:c r="D6" s="28" t="inlineStr">
        <ns0:is>
          <ns0:t>room0</ns0:t>
        </ns0:is>
      </ns0:c>
      <ns0:c r="E6" s="28" t="inlineStr">
        <ns0:is>
          <ns0:t>stage56_object_gt_audit_summary.json</ns0:t>
        </ns0:is>
      </ns0:c>
      <ns0:c r="F6" s="28" t="inlineStr">
        <ns0:is>
          <ns0:t>诊断</ns0:t>
        </ns0:is>
      </ns0:c>
    </ns0:row>
    <ns0:row r="7">
      <ns0:c r="A7" s="30" t="inlineStr">
        <ns0:is>
          <ns0:t>前景 majority 对象</ns0:t>
        </ns0:is>
      </ns0:c>
      <ns0:c r="B7" s="34" t="n">
        <ns0:v>44</ns0:v>
      </ns0:c>
      <ns0:c r="C7" s="30" t="inlineStr">
        <ns0:is>
          <ns0:t>个</ns0:t>
        </ns0:is>
      </ns0:c>
      <ns0:c r="D7" s="30" t="inlineStr">
        <ns0:is>
          <ns0:t>room0</ns0:t>
        </ns0:is>
      </ns0:c>
      <ns0:c r="E7" s="30" t="inlineStr">
        <ns0:is>
          <ns0:t>GT最近邻多数</ns0:t>
        </ns0:is>
      </ns0:c>
      <ns0:c r="F7" s="30" t="inlineStr">
        <ns0:is>
          <ns0:t>诊断</ns0:t>
        </ns0:is>
      </ns0:c>
    </ns0:row>
    <ns0:row r="8">
      <ns0:c r="A8" s="28" t="inlineStr">
        <ns0:is>
          <ns0:t>高纯度前景对象</ns0:t>
        </ns0:is>
      </ns0:c>
      <ns0:c r="B8" s="32" t="n">
        <ns0:v>44</ns0:v>
      </ns0:c>
      <ns0:c r="C8" s="28" t="inlineStr">
        <ns0:is>
          <ns0:t>个</ns0:t>
        </ns0:is>
      </ns0:c>
      <ns0:c r="D8" s="28" t="inlineStr">
        <ns0:is>
          <ns0:t>room0</ns0:t>
        </ns0:is>
      </ns0:c>
      <ns0:c r="E8" s="28" t="inlineStr">
        <ns0:is>
          <ns0:t>purity≥0.5 且近邻覆盖≥0.8</ns0:t>
        </ns0:is>
      </ns0:c>
      <ns0:c r="F8" s="28" t="inlineStr">
        <ns0:is>
          <ns0:t>诊断</ns0:t>
        </ns0:is>
      </ns0:c>
    </ns0:row>
    <ns0:row r="9">
      <ns0:c r="A9" s="30" t="inlineStr">
        <ns0:is>
          <ns0:t>有效高纯度前景对象</ns0:t>
        </ns0:is>
      </ns0:c>
      <ns0:c r="B9" s="34" t="n">
        <ns0:v>36</ns0:v>
      </ns0:c>
      <ns0:c r="C9" s="30" t="inlineStr">
        <ns0:is>
          <ns0:t>个</ns0:t>
        </ns0:is>
      </ns0:c>
      <ns0:c r="D9" s="30" t="inlineStr">
        <ns0:is>
          <ns0:t>room0</ns0:t>
        </ns0:is>
      </ns0:c>
      <ns0:c r="E9" s="30" t="inlineStr">
        <ns0:is>
          <ns0:t>排除 invalid</ns0:t>
        </ns0:is>
      </ns0:c>
      <ns0:c r="F9" s="30" t="inlineStr">
        <ns0:is>
          <ns0:t>诊断</ns0:t>
        </ns0:is>
      </ns0:c>
    </ns0:row>
    <ns0:row r="10">
      <ns0:c r="A10" s="28" t="inlineStr">
        <ns0:is>
          <ns0:t>Stage6 CLIP类别一致率（全部高纯度）</ns0:t>
        </ns0:is>
      </ns0:c>
      <ns0:c r="B10" s="29" t="n">
        <ns0:v>0.2954545455</ns0:v>
      </ns0:c>
      <ns0:c r="C10" s="28" t="inlineStr">
        <ns0:is>
          <ns0:t>%</ns0:t>
        </ns0:is>
      </ns0:c>
      <ns0:c r="D10" s="28" t="inlineStr">
        <ns0:is>
          <ns0:t>room0</ns0:t>
        </ns0:is>
      </ns0:c>
      <ns0:c r="E10" s="28" t="inlineStr">
        <ns0:is>
          <ns0:t>CLIP proxy</ns0:t>
        </ns0:is>
      </ns0:c>
      <ns0:c r="F10" s="28" t="inlineStr">
        <ns0:is>
          <ns0:t>非人工caption准确率</ns0:t>
        </ns0:is>
      </ns0:c>
    </ns0:row>
    <ns0:row r="11">
      <ns0:c r="A11" s="30" t="inlineStr">
        <ns0:is>
          <ns0:t>Stage6 CLIP类别一致率（有效对象）</ns0:t>
        </ns0:is>
      </ns0:c>
      <ns0:c r="B11" s="31" t="n">
        <ns0:v>0.3611111111</ns0:v>
      </ns0:c>
      <ns0:c r="C11" s="30" t="inlineStr">
        <ns0:is>
          <ns0:t>%</ns0:t>
        </ns0:is>
      </ns0:c>
      <ns0:c r="D11" s="30" t="inlineStr">
        <ns0:is>
          <ns0:t>room0</ns0:t>
        </ns0:is>
      </ns0:c>
      <ns0:c r="E11" s="30" t="inlineStr">
        <ns0:is>
          <ns0:t>CLIP proxy</ns0:t>
        </ns0:is>
      </ns0:c>
      <ns0:c r="F11" s="30" t="inlineStr">
        <ns0:is>
          <ns0:t>非人工caption准确率</ns0:t>
        </ns0:is>
      </ns0:c>
    </ns0:row>
    <ns0:row r="12">
      <ns0:c r="A12" s="28" t="inlineStr">
        <ns0:is>
          <ns0:t>Stage5 CLIP-majority一致率</ns0:t>
        </ns0:is>
      </ns0:c>
      <ns0:c r="B12" s="29" t="n">
        <ns0:v>0.275</ns0:v>
      </ns0:c>
      <ns0:c r="C12" s="28" t="inlineStr">
        <ns0:is>
          <ns0:t>%</ns0:t>
        </ns0:is>
      </ns0:c>
      <ns0:c r="D12" s="28" t="inlineStr">
        <ns0:is>
          <ns0:t>room0</ns0:t>
        </ns0:is>
      </ns0:c>
      <ns0:c r="E12" s="28" t="inlineStr">
        <ns0:is>
          <ns0:t>高纯度非空</ns0:t>
        </ns0:is>
      </ns0:c>
      <ns0:c r="F12" s="28" t="inlineStr">
        <ns0:is>
          <ns0:t>诊断</ns0:t>
        </ns0:is>
      </ns0:c>
    </ns0:row>
    <ns0:row r="13">
      <ns0:c r="A13" s="30" t="inlineStr">
        <ns0:is>
          <ns0:t>Stage5 caption加权一致率</ns0:t>
        </ns0:is>
      </ns0:c>
      <ns0:c r="B13" s="31" t="n">
        <ns0:v>0.2237569061</ns0:v>
      </ns0:c>
      <ns0:c r="C13" s="30" t="inlineStr">
        <ns0:is>
          <ns0:t>%</ns0:t>
        </ns0:is>
      </ns0:c>
      <ns0:c r="D13" s="30" t="inlineStr">
        <ns0:is>
          <ns0:t>room0</ns0:t>
        </ns0:is>
      </ns0:c>
      <ns0:c r="E13" s="30" t="inlineStr">
        <ns0:is>
          <ns0:t>高纯度非空</ns0:t>
        </ns0:is>
      </ns0:c>
      <ns0:c r="F13" s="30" t="inlineStr">
        <ns0:is>
          <ns0:t>诊断</ns0:t>
        </ns0:is>
      </ns0:c>
    </ns0:row>
    <ns0:row r="14">
      <ns0:c r="A14" s="28" t="inlineStr">
        <ns0:is>
          <ns0:t>invalid高纯度前景</ns0:t>
        </ns0:is>
      </ns0:c>
      <ns0:c r="B14" s="32" t="n">
        <ns0:v>8</ns0:v>
      </ns0:c>
      <ns0:c r="C14" s="28" t="inlineStr">
        <ns0:is>
          <ns0:t>个</ns0:t>
        </ns0:is>
      </ns0:c>
      <ns0:c r="D14" s="28" t="inlineStr">
        <ns0:is>
          <ns0:t>room0</ns0:t>
        </ns0:is>
      </ns0:c>
      <ns0:c r="E14" s="28" t="inlineStr">
        <ns0:is>
          <ns0:t>Stage6 invalid</ns0:t>
        </ns0:is>
      </ns0:c>
      <ns0:c r="F14" s="28" t="inlineStr">
        <ns0:is>
          <ns0:t>诊断</ns0:t>
        </ns0:is>
      </ns0:c>
    </ns0:row>
    <ns0:row r="15">
      <ns0:c r="A15" s="30" t="inlineStr">
        <ns0:is>
          <ns0:t>GT purity中位数</ns0:t>
        </ns0:is>
      </ns0:c>
      <ns0:c r="B15" s="31" t="n">
        <ns0:v>0.9252675448</ns0:v>
      </ns0:c>
      <ns0:c r="C15" s="30" t="inlineStr">
        <ns0:is>
          <ns0:t>%</ns0:t>
        </ns0:is>
      </ns0:c>
      <ns0:c r="D15" s="30" t="inlineStr">
        <ns0:is>
          <ns0:t>room0</ns0:t>
        </ns0:is>
      </ns0:c>
      <ns0:c r="E15" s="30" t="inlineStr">
        <ns0:is>
          <ns0:t>全部对象审计</ns0:t>
        </ns0:is>
      </ns0:c>
      <ns0:c r="F15" s="30" t="inlineStr">
        <ns0:is>
          <ns0:t>诊断</ns0:t>
        </ns0:is>
      </ns0:c>
    </ns0:row>
    <ns0:row r="16">
      <ns0:c r="A16" s="28" t="inlineStr">
        <ns0:is>
          <ns0:t>5cm内最近邻比例中位数</ns0:t>
        </ns0:is>
      </ns0:c>
      <ns0:c r="B16" s="29" t="n">
        <ns0:v>1</ns0:v>
      </ns0:c>
      <ns0:c r="C16" s="28" t="inlineStr">
        <ns0:is>
          <ns0:t>%</ns0:t>
        </ns0:is>
      </ns0:c>
      <ns0:c r="D16" s="28" t="inlineStr">
        <ns0:is>
          <ns0:t>room0</ns0:t>
        </ns0:is>
      </ns0:c>
      <ns0:c r="E16" s="28" t="inlineStr">
        <ns0:is>
          <ns0:t>几何覆盖</ns0:t>
        </ns0:is>
      </ns0:c>
      <ns0:c r="F16" s="28" t="inlineStr">
        <ns0:is>
          <ns0:t>诊断</ns0:t>
        </ns0:is>
      </ns0:c>
    </ns0:row>
    <ns0:row r="17">
      <ns0:c r="A17" s="30" t="inlineStr">
        <ns0:is>
          <ns0:t>caption consistency中位数</ns0:t>
        </ns0:is>
      </ns0:c>
      <ns0:c r="B17" s="31" t="n">
        <ns0:v>0.6186240017</ns0:v>
      </ns0:c>
      <ns0:c r="C17" s="30" t="inlineStr">
        <ns0:is>
          <ns0:t>%</ns0:t>
        </ns0:is>
      </ns0:c>
      <ns0:c r="D17" s="30" t="inlineStr">
        <ns0:is>
          <ns0:t>room0</ns0:t>
        </ns0:is>
      </ns0:c>
      <ns0:c r="E17" s="30" t="inlineStr">
        <ns0:is>
          <ns0:t>非空caption</ns0:t>
        </ns0:is>
      </ns0:c>
      <ns0:c r="F17" s="30" t="inlineStr">
        <ns0:is>
          <ns0:t>诊断</ns0:t>
        </ns0:is>
      </ns0:c>
    </ns0:row>
    <ns0:row r="18"/>
    <ns0:row r="19">
      <ns0:c r="A19" s="259" t="inlineStr">
        <ns0:is>
          <ns0:t>B. Stage 6 / Stage 7 执行完整性</ns0:t>
        </ns0:is>
      </ns0:c>
      <ns0:c r="B19" s="158" t="n"/>
      <ns0:c r="C19" s="158" t="n"/>
      <ns0:c r="D19" s="158" t="n"/>
      <ns0:c r="E19" s="158" t="n"/>
      <ns0:c r="F19" s="159" t="n"/>
    </ns0:row>
    <ns0:row r="20">
      <ns0:c r="A20" s="7" t="inlineStr">
        <ns0:is>
          <ns0:t>阶段</ns0:t>
        </ns0:is>
      </ns0:c>
      <ns0:c r="B20" s="7" t="inlineStr">
        <ns0:is>
          <ns0:t>模型</ns0:t>
        </ns0:is>
      </ns0:c>
      <ns0:c r="C20" s="7" t="inlineStr">
        <ns0:is>
          <ns0:t>成功/处理数</ns0:t>
        </ns0:is>
      </ns0:c>
      <ns0:c r="D20" s="7" t="inlineStr">
        <ns0:is>
          <ns0:t>失败</ns0:t>
        </ns0:is>
      </ns0:c>
      <ns0:c r="E20" s="7" t="inlineStr">
        <ns0:is>
          <ns0:t>总tokens</ns0:t>
        </ns0:is>
      </ns0:c>
      <ns0:c r="F20" s="7" t="inlineStr">
        <ns0:is>
          <ns0:t>耗时（s）</ns0:t>
        </ns0:is>
      </ns0:c>
    </ns0:row>
    <ns0:row r="21">
      <ns0:c r="A21" s="28" t="inlineStr">
        <ns0:is>
          <ns0:t>Stage6 refinement</ns0:t>
        </ns0:is>
      </ns0:c>
      <ns0:c r="B21" s="28" t="inlineStr">
        <ns0:is>
          <ns0:t>gpt-5.4</ns0:t>
        </ns0:is>
      </ns0:c>
      <ns0:c r="C21" s="32" t="n">
        <ns0:v>75</ns0:v>
      </ns0:c>
      <ns0:c r="D21" s="32" t="n">
        <ns0:v>0</ns0:v>
      </ns0:c>
      <ns0:c r="E21" s="32" t="n">
        <ns0:v>430056</ns0:v>
      </ns0:c>
      <ns0:c r="F21" s="33" t="n">
        <ns0:v>199.34</ns0:v>
      </ns0:c>
    </ns0:row>
    <ns0:row r="22">
      <ns0:c r="A22" s="30" t="inlineStr">
        <ns0:is>
          <ns0:t>Stage7 scene graph API</ns0:t>
        </ns0:is>
      </ns0:c>
      <ns0:c r="B22" s="30" t="inlineStr">
        <ns0:is>
          <ns0:t>gpt-5.4</ns0:t>
        </ns0:is>
      </ns0:c>
      <ns0:c r="C22" s="34" t="n">
        <ns0:v>43</ns0:v>
      </ns0:c>
      <ns0:c r="D22" s="34" t="n">
        <ns0:v>0</ns0:v>
      </ns0:c>
      <ns0:c r="E22" s="34" t="n">
        <ns0:v>209670</ns0:v>
      </ns0:c>
      <ns0:c r="F22" s="35" t="n">
        <ns0:v>269.672</ns0:v>
      </ns0:c>
    </ns0:row>
    <ns0:row r="23"/>
    <ns0:row r="24">
      <ns0:c r="A24" s="259" t="inlineStr">
        <ns0:is>
          <ns0:t>C. 单次 Habitat ObjectNav acceptance</ns0:t>
        </ns0:is>
      </ns0:c>
      <ns0:c r="B24" s="158" t="n"/>
      <ns0:c r="C24" s="158" t="n"/>
      <ns0:c r="D24" s="158" t="n"/>
      <ns0:c r="E24" s="158" t="n"/>
      <ns0:c r="F24" s="159" t="n"/>
    </ns0:row>
    <ns0:row r="25">
      <ns0:c r="A25" s="7" t="inlineStr">
        <ns0:is>
          <ns0:t>指标</ns0:t>
        </ns0:is>
      </ns0:c>
      <ns0:c r="B25" s="7" t="inlineStr">
        <ns0:is>
          <ns0:t>数值</ns0:t>
        </ns0:is>
      </ns0:c>
      <ns0:c r="C25" s="7" t="inlineStr">
        <ns0:is>
          <ns0:t>单位</ns0:t>
        </ns0:is>
      </ns0:c>
      <ns0:c r="D25" s="7" t="inlineStr">
        <ns0:is>
          <ns0:t>状态</ns0:t>
        </ns0:is>
      </ns0:c>
      <ns0:c r="E25" s="7" t="inlineStr">
        <ns0:is>
          <ns0:t>说明</ns0:t>
        </ns0:is>
      </ns0:c>
      <ns0:c r="F25" s="7" t="inlineStr">
        <ns0:is>
          <ns0:t>边界</ns0:t>
        </ns0:is>
      </ns0:c>
    </ns0:row>
    <ns0:row r="26">
      <ns0:c r="A26" s="28" t="inlineStr">
        <ns0:is>
          <ns0:t>success</ns0:t>
        </ns0:is>
      </ns0:c>
      <ns0:c r="B26" s="37" t="b">
        <ns0:v>1</ns0:v>
      </ns0:c>
      <ns0:c r="C26" s="28" t="inlineStr">
        <ns0:is>
          <ns0:t>布尔</ns0:t>
        </ns0:is>
      </ns0:c>
      <ns0:c r="D26" s="28" t="inlineStr">
        <ns0:is>
          <ns0:t>成功</ns0:t>
        </ns0:is>
      </ns0:c>
      <ns0:c r="E26" s="28" t="inlineStr">
        <ns0:is>
          <ns0:t>内部 predicted_object_visibility_v1</ns0:t>
        </ns0:is>
      </ns0:c>
      <ns0:c r="F26" s="28" t="inlineStr">
        <ns0:is>
          <ns0:t>非官方Habitat GT</ns0:t>
        </ns0:is>
      </ns0:c>
    </ns0:row>
    <ns0:row r="27">
      <ns0:c r="A27" s="30" t="inlineStr">
        <ns0:is>
          <ns0:t>SPL</ns0:t>
        </ns0:is>
      </ns0:c>
      <ns0:c r="B27" s="35" t="n">
        <ns0:v>1</ns0:v>
      </ns0:c>
      <ns0:c r="C27" s="30" t="inlineStr">
        <ns0:is>
          <ns0:t>比例</ns0:t>
        </ns0:is>
      </ns0:c>
      <ns0:c r="D27" s="30" t="inlineStr">
        <ns0:is>
          <ns0:t>成功</ns0:t>
        </ns0:is>
      </ns0:c>
      <ns0:c r="E27" s="30" t="inlineStr">
        <ns0:is>
          <ns0:t>单次run</ns0:t>
        </ns0:is>
      </ns0:c>
      <ns0:c r="F27" s="30" t="inlineStr">
        <ns0:is>
          <ns0:t>非官方Habitat GT</ns0:t>
        </ns0:is>
      </ns0:c>
    </ns0:row>
    <ns0:row r="28">
      <ns0:c r="A28" s="28" t="inlineStr">
        <ns0:is>
          <ns0:t>steps</ns0:t>
        </ns0:is>
      </ns0:c>
      <ns0:c r="B28" s="32" t="n">
        <ns0:v>56</ns0:v>
      </ns0:c>
      <ns0:c r="C28" s="28" t="inlineStr">
        <ns0:is>
          <ns0:t>步</ns0:t>
        </ns0:is>
      </ns0:c>
      <ns0:c r="D28" s="28" t="inlineStr">
        <ns0:is>
          <ns0:t>完成</ns0:t>
        </ns0:is>
      </ns0:c>
      <ns0:c r="E28" s="28" t="inlineStr">
        <ns0:is>
          <ns0:t>含17个final turn steps</ns0:t>
        </ns0:is>
      </ns0:c>
      <ns0:c r="F28" s="28" t="inlineStr"/>
    </ns0:row>
    <ns0:row r="29">
      <ns0:c r="A29" s="30" t="inlineStr">
        <ns0:is>
          <ns0:t>collisions</ns0:t>
        </ns0:is>
      </ns0:c>
      <ns0:c r="B29" s="34" t="n">
        <ns0:v>0</ns0:v>
      </ns0:c>
      <ns0:c r="C29" s="30" t="inlineStr">
        <ns0:is>
          <ns0:t>次</ns0:t>
        </ns0:is>
      </ns0:c>
      <ns0:c r="D29" s="30" t="inlineStr">
        <ns0:is>
          <ns0:t>完成</ns0:t>
        </ns0:is>
      </ns0:c>
      <ns0:c r="E29" s="30" t="inlineStr"/>
      <ns0:c r="F29" s="30" t="inlineStr"/>
    </ns0:row>
    <ns0:row r="30">
      <ns0:c r="A30" s="28" t="inlineStr">
        <ns0:is>
          <ns0:t>actual path length</ns0:t>
        </ns0:is>
      </ns0:c>
      <ns0:c r="B30" s="33" t="n">
        <ns0:v>4.7651646633</ns0:v>
      </ns0:c>
      <ns0:c r="C30" s="28" t="inlineStr">
        <ns0:is>
          <ns0:t>m</ns0:t>
        </ns0:is>
      </ns0:c>
      <ns0:c r="D30" s="28" t="inlineStr">
        <ns0:is>
          <ns0:t>完成</ns0:t>
        </ns0:is>
      </ns0:c>
      <ns0:c r="E30" s="28" t="inlineStr"/>
      <ns0:c r="F30" s="28" t="inlineStr"/>
    </ns0:row>
    <ns0:row r="31">
      <ns0:c r="A31" s="30" t="inlineStr">
        <ns0:is>
          <ns0:t>shortest path length</ns0:t>
        </ns0:is>
      </ns0:c>
      <ns0:c r="B31" s="35" t="n">
        <ns0:v>4.8850383759</ns0:v>
      </ns0:c>
      <ns0:c r="C31" s="30" t="inlineStr">
        <ns0:is>
          <ns0:t>m</ns0:t>
        </ns0:is>
      </ns0:c>
      <ns0:c r="D31" s="30" t="inlineStr">
        <ns0:is>
          <ns0:t>完成</ns0:t>
        </ns0:is>
      </ns0:c>
      <ns0:c r="E31" s="30" t="inlineStr"/>
      <ns0:c r="F31" s="30" t="inlineStr"/>
    </ns0:row>
    <ns0:row r="32">
      <ns0:c r="A32" s="28" t="inlineStr">
        <ns0:is>
          <ns0:t>final geodesic distance</ns0:t>
        </ns0:is>
      </ns0:c>
      <ns0:c r="B32" s="33" t="n">
        <ns0:v>0.0954954103</ns0:v>
      </ns0:c>
      <ns0:c r="C32" s="28" t="inlineStr">
        <ns0:is>
          <ns0:t>m</ns0:t>
        </ns0:is>
      </ns0:c>
      <ns0:c r="D32" s="28" t="inlineStr">
        <ns0:is>
          <ns0:t>完成</ns0:t>
        </ns0:is>
      </ns0:c>
      <ns0:c r="E32" s="28" t="inlineStr">
        <ns0:is>
          <ns0:t>success阈值0.35m</ns0:t>
        </ns0:is>
      </ns0:c>
      <ns0:c r="F32" s="28" t="inlineStr"/>
    </ns0:row>
    <ns0:row r="33">
      <ns0:c r="A33" s="30" t="inlineStr">
        <ns0:is>
          <ns0:t>CLIP similarity</ns0:t>
        </ns0:is>
      </ns0:c>
      <ns0:c r="B33" s="35" t="n">
        <ns0:v>0.2196352035</ns0:v>
      </ns0:c>
      <ns0:c r="C33" s="30" t="inlineStr">
        <ns0:is>
          <ns0:t>score</ns0:t>
        </ns0:is>
      </ns0:c>
      <ns0:c r="D33" s="30" t="inlineStr">
        <ns0:is>
          <ns0:t>完成</ns0:t>
        </ns0:is>
      </ns0:c>
      <ns0:c r="E33" s="30" t="inlineStr">
        <ns0:is>
          <ns0:t>selected_class=sofa chair</ns0:t>
        </ns0:is>
      </ns0:c>
      <ns0:c r="F33" s="30" t="inlineStr"/>
    </ns0:row>
    <ns0:row r="34">
      <ns0:c r="A34" s="28" t="inlineStr">
        <ns0:is>
          <ns0:t>target visible points</ns0:t>
        </ns0:is>
      </ns0:c>
      <ns0:c r="B34" s="32" t="n">
        <ns0:v>46</ns0:v>
      </ns0:c>
      <ns0:c r="C34" s="28" t="inlineStr">
        <ns0:is>
          <ns0:t>/128</ns0:t>
        </ns0:is>
      </ns0:c>
      <ns0:c r="D34" s="28" t="inlineStr">
        <ns0:is>
          <ns0:t>完成</ns0:t>
        </ns0:is>
      </ns0:c>
      <ns0:c r="E34" s="28" t="inlineStr">
        <ns0:is>
          <ns0:t>停止时目标可见</ns0:t>
        </ns0:is>
      </ns0:c>
      <ns0:c r="F34" s="28" t="inlineStr"/>
    </ns0:row>
    <ns0:row r="35">
      <ns0:c r="A35" s="30" t="inlineStr">
        <ns0:is>
          <ns0:t>official_habitat_objectnav_gt</ns0:t>
        </ns0:is>
      </ns0:c>
      <ns0:c r="B35" s="38" t="b">
        <ns0:v>0</ns0:v>
      </ns0:c>
      <ns0:c r="C35" s="30" t="inlineStr">
        <ns0:is>
          <ns0:t>布尔</ns0:t>
        </ns0:is>
      </ns0:c>
      <ns0:c r="D35" s="30" t="inlineStr">
        <ns0:is>
          <ns0:t>限制</ns0:t>
        </ns0:is>
      </ns0:c>
      <ns0:c r="E35" s="30" t="inlineStr">
        <ns0:is>
          <ns0:t>不能作为官方benchmark</ns0:t>
        </ns0:is>
      </ns0:c>
      <ns0:c r="F35" s="30" t="inlineStr">
        <ns0:is>
          <ns0:t>必须保留</ns0:t>
        </ns0:is>
      </ns0:c>
    </ns0:row>
    <ns0:row r="36"/>
    <ns0:row r="37" ht="34" customHeight="1" s="2">
      <ns0:c r="A37" s="260" t="inlineStr">
        <ns0:is>
          <ns0:t>ObjectNav 的 success/SPL 只表示该 acceptance run 完成；由于 official_habitat_objectnav_gt=false，不能与官方 Habitat ObjectNav 排名直接比较。</ns0:t>
        </ns0:is>
      </ns0:c>
      <ns0:c r="B37" s="158" t="n"/>
      <ns0:c r="C37" s="158" t="n"/>
      <ns0:c r="D37" s="158" t="n"/>
      <ns0:c r="E37" s="158" t="n"/>
      <ns0:c r="F37" s="159" t="n"/>
    </ns0:row>
  </ns0:sheetData>
  <ns0:mergeCells count="6">
    <ns0:mergeCell ref="A24:F24"/>
    <ns0:mergeCell ref="A2:F2"/>
    <ns0:mergeCell ref="A19:F19"/>
    <ns0:mergeCell ref="A1:F1"/>
    <ns0:mergeCell ref="A37:F37"/>
    <ns0:mergeCell ref="A4:F4"/>
  </ns0:mergeCells>
  <ns0:pageMargins left="0.7" right="0.7" top="0.75" bottom="0.75" header="0.3" footer="0.3"/>
</ns0:worksheet>
</file>

<file path=xl/worksheets/sheet11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F41"/>
  <ns0:sheetViews>
    <ns0:sheetView showGridLines="0" workbookViewId="0">
      <ns0:selection activeCell="A1" sqref="A1"/>
    </ns0:sheetView>
  </ns0:sheetViews>
  <ns0:sheetFormatPr baseColWidth="8" defaultRowHeight="15"/>
  <ns0:cols>
    <ns0:col width="32" customWidth="1" style="2" min="1" max="1"/>
    <ns0:col width="82" customWidth="1" style="2" min="2" max="2"/>
    <ns0:col width="48" customWidth="1" style="2" min="3" max="3"/>
    <ns0:col width="45" customWidth="1" style="2" min="4" max="4"/>
    <ns0:col width="18" customWidth="1" style="2" min="5" max="5"/>
    <ns0:col width="18" customWidth="1" style="2" min="6" max="6"/>
  </ns0:cols>
  <ns0:sheetData>
    <ns0:row r="1" ht="30" customHeight="1" s="2">
      <ns0:c r="A1" s="243" t="inlineStr">
        <ns0:is>
          <ns0:t>版本、证据路径与比较边界</ns0:t>
        </ns0:is>
      </ns0:c>
      <ns0:c r="B1" s="158" t="n"/>
      <ns0:c r="C1" s="158" t="n"/>
      <ns0:c r="D1" s="158" t="n"/>
      <ns0:c r="E1" s="158" t="n"/>
      <ns0:c r="F1" s="159" t="n"/>
    </ns0:row>
    <ns0:row r="2" ht="34" customHeight="1" s="2">
      <ns0:c r="A2" s="244" t="inlineStr">
        <ns0:is>
          <ns0:t>用于追溯每张表的服务器产物、分支版本和论文来源。</ns0:t>
        </ns0:is>
      </ns0:c>
      <ns0:c r="B2" s="158" t="n"/>
      <ns0:c r="C2" s="158" t="n"/>
      <ns0:c r="D2" s="158" t="n"/>
      <ns0:c r="E2" s="158" t="n"/>
      <ns0:c r="F2" s="159" t="n"/>
    </ns0:row>
    <ns0:row r="3"/>
    <ns0:row r="4" ht="22" customHeight="1" s="2">
      <ns0:c r="A4" s="245" t="inlineStr">
        <ns0:is>
          <ns0:t>A. 版本</ns0:t>
        </ns0:is>
      </ns0:c>
      <ns0:c r="B4" s="158" t="n"/>
      <ns0:c r="C4" s="158" t="n"/>
      <ns0:c r="D4" s="158" t="n"/>
      <ns0:c r="E4" s="158" t="n"/>
      <ns0:c r="F4" s="159" t="n"/>
    </ns0:row>
    <ns0:row r="5" ht="30" customHeight="1" s="2">
      <ns0:c r="A5" s="7" t="inlineStr">
        <ns0:is>
          <ns0:t>版本</ns0:t>
        </ns0:is>
      </ns0:c>
      <ns0:c r="B5" s="7" t="inlineStr">
        <ns0:is>
          <ns0:t>提交</ns0:t>
        </ns0:is>
      </ns0:c>
      <ns0:c r="C5" s="7" t="inlineStr">
        <ns0:is>
          <ns0:t>归属</ns0:t>
        </ns0:is>
      </ns0:c>
      <ns0:c r="D5" s="7" t="inlineStr">
        <ns0:is>
          <ns0:t>说明</ns0:t>
        </ns0:is>
      </ns0:c>
    </ns0:row>
    <ns0:row r="6" ht="24" customHeight="1" s="2">
      <ns0:c r="A6" s="8" t="inlineStr">
        <ns0:is>
          <ns0:t>main</ns0:t>
        </ns0:is>
      </ns0:c>
      <ns0:c r="B6" s="8" t="inlineStr">
        <ns0:is>
          <ns0:t>93277a02bd89171f8121e84203121cf7af9ebb5d</ns0:t>
        </ns0:is>
      </ns0:c>
      <ns0:c r="C6" s="8" t="inlineStr">
        <ns0:is>
          <ns0:t>严格 main 复现</ns0:t>
        </ns0:is>
      </ns0:c>
      <ns0:c r="D6" s="8" t="inlineStr">
        <ns0:is>
          <ns0:t>8场景语义/对象</ns0:t>
        </ns0:is>
      </ns0:c>
    </ns0:row>
    <ns0:row r="7" ht="24" customHeight="1" s="2">
      <ns0:c r="A7" s="12" t="inlineStr">
        <ns0:is>
          <ns0:t>ali-dev</ns0:t>
        </ns0:is>
      </ns0:c>
      <ns0:c r="B7" s="12" t="inlineStr">
        <ns0:is>
          <ns0:t>72f5962822b5e8678a446f367a06df1a977d2a4d</ns0:t>
        </ns0:is>
      </ns0:c>
      <ns0:c r="C7" s="12" t="inlineStr">
        <ns0:is>
          <ns0:t>严格结果仅 room0</ns0:t>
        </ns0:is>
      </ns0:c>
      <ns0:c r="D7" s="12" t="inlineStr">
        <ns0:is>
          <ns0:t>关系系统其余场景使用 ali-my 底图</ns0:t>
        </ns0:is>
      </ns0:c>
    </ns0:row>
    <ns0:row r="8" ht="24" customHeight="1" s="2">
      <ns0:c r="A8" s="8" t="inlineStr">
        <ns0:is>
          <ns0:t>ali-my</ns0:t>
        </ns0:is>
      </ns0:c>
      <ns0:c r="B8" s="8" t="inlineStr">
        <ns0:is>
          <ns0:t>bff233ff004939d2ecf4ac5546f87cb7b7b16e60</ns0:t>
        </ns0:is>
      </ns0:c>
      <ns0:c r="C8" s="8" t="inlineStr">
        <ns0:is>
          <ns0:t>exp/audit-validity-gate-v1</ns0:t>
        </ns0:is>
      </ns0:c>
      <ns0:c r="D8" s="8" t="inlineStr">
        <ns0:is>
          <ns0:t>8场景和两场景审计</ns0:t>
        </ns0:is>
      </ns0:c>
    </ns0:row>
    <ns0:row r="9" ht="24" customHeight="1" s="2">
      <ns0:c r="A9" s="12" t="inlineStr">
        <ns0:is>
          <ns0:t>ali-my-VLM</ns0:t>
        </ns0:is>
      </ns0:c>
      <ns0:c r="B9" s="12" t="inlineStr">
        <ns0:is>
          <ns0:t>4e4a3b7 / 02bf0e9 / 当前4c6e376</ns0:t>
        </ns0:is>
      </ns0:c>
      <ns0:c r="C9" s="12" t="inlineStr">
        <ns0:is>
          <ns0:t>全量97与派生图</ns0:t>
        </ns0:is>
      </ns0:c>
      <ns0:c r="D9" s="12" t="inlineStr">
        <ns0:is>
          <ns0:t>repair-aware 目录后缀 e150cbf</ns0:t>
        </ns0:is>
      </ns0:c>
    </ns0:row>
    <ns0:row r="10" ht="24" customHeight="1" s="2">
      <ns0:c r="A10" s="8" t="inlineStr">
        <ns0:is>
          <ns0:t>Revision v0/v1</ns0:t>
        </ns0:is>
      </ns0:c>
      <ns0:c r="B10" s="8" t="inlineStr">
        <ns0:is>
          <ns0:t>900f117 基线</ns0:t>
        </ns0:is>
      </ns0:c>
      <ns0:c r="C10" s="8" t="inlineStr">
        <ns0:is>
          <ns0:t>V1工作树当前有未提交实现改动</ns0:t>
        </ns0:is>
      </ns0:c>
      <ns0:c r="D10" s="8" t="inlineStr">
        <ns0:is>
          <ns0:t>结果绑定实验目录</ns0:t>
        </ns0:is>
      </ns0:c>
    </ns0:row>
    <ns0:row r="11"/>
    <ns0:row r="12" ht="22" customHeight="1" s="2">
      <ns0:c r="A12" s="245" t="inlineStr">
        <ns0:is>
          <ns0:t>B. 服务器证据入口</ns0:t>
        </ns0:is>
      </ns0:c>
      <ns0:c r="B12" s="158" t="n"/>
      <ns0:c r="C12" s="158" t="n"/>
      <ns0:c r="D12" s="158" t="n"/>
      <ns0:c r="E12" s="158" t="n"/>
      <ns0:c r="F12" s="159" t="n"/>
    </ns0:row>
    <ns0:row r="13" ht="30" customHeight="1" s="2">
      <ns0:c r="A13" s="7" t="inlineStr">
        <ns0:is>
          <ns0:t>实验</ns0:t>
        </ns0:is>
      </ns0:c>
      <ns0:c r="B13" s="7" t="inlineStr">
        <ns0:is>
          <ns0:t>服务器路径</ns0:t>
        </ns0:is>
      </ns0:c>
      <ns0:c r="C13" s="7" t="inlineStr">
        <ns0:is>
          <ns0:t>内容</ns0:t>
        </ns0:is>
      </ns0:c>
    </ns0:row>
    <ns0:row r="14" ht="24" customHeight="1" s="2">
      <ns0:c r="A14" s="8" t="inlineStr">
        <ns0:is>
          <ns0:t>8场景主评测</ns0:t>
        </ns0:is>
      </ns0:c>
      <ns0:c r="B14" s="8" t="inlineStr">
        <ns0:is>
          <ns0:t>/home/chenkejun/beauty/conceptgraphs/results/ali-my/paper_main_aligned_20260821</ns0:t>
        </ns0:is>
      </ns0:c>
      <ns0:c r="C14" s="8" t="inlineStr">
        <ns0:is>
          <ns0:t>语义、对象和对比汇总</ns0:t>
        </ns0:is>
      </ns0:c>
    </ns0:row>
    <ns0:row r="15" ht="24" customHeight="1" s="2">
      <ns0:c r="A15" s="12" t="inlineStr">
        <ns0:is>
          <ns0:t>ali-dev关系</ns0:t>
        </ns0:is>
      </ns0:c>
      <ns0:c r="B15" s="12" t="inlineStr">
        <ns0:is>
          <ns0:t>/home/chenkejun/beauty/conceptgraphs/experiments/ali-dev-relations/synced_8scene_gpt56sol_v1</ns0:t>
        </ns0:is>
      </ns0:c>
      <ns0:c r="C15" s="12" t="inlineStr">
        <ns0:is>
          <ns0:t>8场景关系主实验</ns0:t>
        </ns0:is>
      </ns0:c>
    </ns0:row>
    <ns0:row r="16" ht="24" customHeight="1" s="2">
      <ns0:c r="A16" s="8" t="inlineStr">
        <ns0:is>
          <ns0:t>严格ali-dev room0</ns0:t>
        </ns0:is>
      </ns0:c>
      <ns0:c r="B16" s="8" t="inlineStr">
        <ns0:is>
          <ns0:t>/home/chenkejun/beauty/conceptgraphs/results/ali-dev/replica_stride5/Replica/room0/relations_gpt56sol_synced_v1</ns0:t>
        </ns0:is>
      </ns0:c>
      <ns0:c r="C16" s="8" t="inlineStr">
        <ns0:is>
          <ns0:t>节点重映射与严格PCD复评</ns0:t>
        </ns0:is>
      </ns0:c>
    </ns0:row>
    <ns0:row r="17" ht="24" customHeight="1" s="2">
      <ns0:c r="A17" s="12" t="inlineStr">
        <ns0:is>
          <ns0:t>ali-my R1/R2</ns0:t>
        </ns0:is>
      </ns0:c>
      <ns0:c r="B17" s="12" t="inlineStr">
        <ns0:is>
          <ns0:t>/home/chenkejun/beauty/conceptgraphs/validation_gate_endpoint_v2_1/metrics</ns0:t>
        </ns0:is>
      </ns0:c>
      <ns0:c r="C17" s="12" t="inlineStr">
        <ns0:is>
          <ns0:t>incident_endpoint_metrics + r2_repeatability</ns0:t>
        </ns0:is>
      </ns0:c>
    </ns0:row>
    <ns0:row r="18" ht="24" customHeight="1" s="2">
      <ns0:c r="A18" s="8" t="inlineStr">
        <ns0:is>
          <ns0:t>VLM full97</ns0:t>
        </ns0:is>
      </ns0:c>
      <ns0:c r="B18" s="8" t="inlineStr">
        <ns0:is>
          <ns0:t>/home/chenkejun/beauty/conceptgraphs/experiments/ali-my-VLM/full_97_locked_v1</ns0:t>
        </ns0:is>
      </ns0:c>
      <ns0:c r="C18" s="8" t="inlineStr">
        <ns0:is>
          <ns0:t>evaluation_r1_frozen.json</ns0:t>
        </ns0:is>
      </ns0:c>
    </ns0:row>
    <ns0:row r="19" ht="24" customHeight="1" s="2">
      <ns0:c r="A19" s="12" t="inlineStr">
        <ns0:is>
          <ns0:t>VLM修复后</ns0:t>
        </ns0:is>
      </ns0:c>
      <ns0:c r="B19" s="12" t="inlineStr">
        <ns0:is>
          <ns0:t>/home/chenkejun/beauty/conceptgraphs/results/ali-my-VLM/repair_aware_2scene_20260821_e150cbf</ns0:t>
        </ns0:is>
      </ns0:c>
      <ns0:c r="C19" s="12" t="inlineStr">
        <ns0:is>
          <ns0:t>repair-aware summary</ns0:t>
        </ns0:is>
      </ns0:c>
    </ns0:row>
    <ns0:row r="20" ht="24" customHeight="1" s="2">
      <ns0:c r="A20" s="8" t="inlineStr">
        <ns0:is>
          <ns0:t>Revision v0</ns0:t>
        </ns0:is>
      </ns0:c>
      <ns0:c r="B20" s="8" t="inlineStr">
        <ns0:is>
          <ns0:t>/home/chenkejun/beauty/conceptgraphs/experiments/revision_v0_20260822</ns0:t>
        </ns0:is>
      </ns0:c>
      <ns0:c r="C20" s="8" t="inlineStr">
        <ns0:is>
          <ns0:t>room0 v0</ns0:t>
        </ns0:is>
      </ns0:c>
    </ns0:row>
    <ns0:row r="21" ht="24" customHeight="1" s="2">
      <ns0:c r="A21" s="12" t="inlineStr">
        <ns0:is>
          <ns0:t>Revision relation</ns0:t>
        </ns0:is>
      </ns0:c>
      <ns0:c r="B21" s="12" t="inlineStr">
        <ns0:is>
          <ns0:t>/home/chenkejun/beauty/conceptgraphs/experiments/revision_edges_make_true_room0_20260823</ns0:t>
        </ns0:is>
      </ns0:c>
      <ns0:c r="C21" s="12" t="inlineStr">
        <ns0:is>
          <ns0:t>非空关系流</ns0:t>
        </ns0:is>
      </ns0:c>
    </ns0:row>
    <ns0:row r="22" ht="24" customHeight="1" s="2">
      <ns0:c r="A22" s="8" t="inlineStr">
        <ns0:is>
          <ns0:t>Revision v1</ns0:t>
        </ns0:is>
      </ns0:c>
      <ns0:c r="B22" s="8" t="inlineStr">
        <ns0:is>
          <ns0:t>/home/chenkejun/beauty/conceptgraphs/experiments/revision_v1_20260823</ns0:t>
        </ns0:is>
      </ns0:c>
      <ns0:c r="C22" s="8" t="inlineStr">
        <ns0:is>
          <ns0:t>Primary/global/live fidelity</ns0:t>
        </ns0:is>
      </ns0:c>
    </ns0:row>
    <ns0:row r="23"/>
    <ns0:row r="24" ht="22" customHeight="1" s="2">
      <ns0:c r="A24" s="245" t="inlineStr">
        <ns0:is>
          <ns0:t>C. 本地报告与论文</ns0:t>
        </ns0:is>
      </ns0:c>
      <ns0:c r="B24" s="158" t="n"/>
      <ns0:c r="C24" s="158" t="n"/>
      <ns0:c r="D24" s="158" t="n"/>
      <ns0:c r="E24" s="158" t="n"/>
      <ns0:c r="F24" s="159" t="n"/>
    </ns0:row>
    <ns0:row r="25" ht="30" customHeight="1" s="2">
      <ns0:c r="A25" s="7" t="inlineStr">
        <ns0:is>
          <ns0:t>名称</ns0:t>
        </ns0:is>
      </ns0:c>
      <ns0:c r="B25" s="7" t="inlineStr">
        <ns0:is>
          <ns0:t>路径/链接</ns0:t>
        </ns0:is>
      </ns0:c>
    </ns0:row>
    <ns0:row r="26" ht="24" customHeight="1" s="2">
      <ns0:c r="A26" s="8" t="inlineStr">
        <ns0:is>
          <ns0:t>main/论文对比</ns0:t>
        </ns0:is>
      </ns0:c>
      <ns0:c r="B26" s="21" t="inlineStr">
        <ns0:is>
          <ns0:t>D:\Users\刘雯静\Downloads\Conceptgraphs\docs\ALI_DEV_MAIN_REPRODUCTION_VS_PAPER_20260822.md</ns0:t>
        </ns0:is>
      </ns0:c>
    </ns0:row>
    <ns0:row r="27" ht="24" customHeight="1" s="2">
      <ns0:c r="A27" s="12" t="inlineStr">
        <ns0:is>
          <ns0:t>ali-my 8场景</ns0:t>
        </ns0:is>
      </ns0:c>
      <ns0:c r="B27" s="22" t="inlineStr">
        <ns0:is>
          <ns0:t>D:\Users\刘雯静\Downloads\Conceptgraphs\docs\ALI_MY_PAPER_MAIN_ALIGNED_8SCENE_EVALUATION_20260821.md</ns0:t>
        </ns0:is>
      </ns0:c>
    </ns0:row>
    <ns0:row r="28" ht="24" customHeight="1" s="2">
      <ns0:c r="A28" s="8" t="inlineStr">
        <ns0:is>
          <ns0:t>ali-dev关系</ns0:t>
        </ns0:is>
      </ns0:c>
      <ns0:c r="B28" s="21" t="inlineStr">
        <ns0:is>
          <ns0:t>D:\Users\刘雯静\Downloads\Conceptgraphs\docs\ALI_DEV_RELATION_EDGES_EVALUATION_20260822.md</ns0:t>
        </ns0:is>
      </ns0:c>
    </ns0:row>
    <ns0:row r="29" ht="24" customHeight="1" s="2">
      <ns0:c r="A29" s="12" t="inlineStr">
        <ns0:is>
          <ns0:t>ali-my/VLM</ns0:t>
        </ns0:is>
      </ns0:c>
      <ns0:c r="B29" s="22" t="inlineStr">
        <ns0:is>
          <ns0:t>D:\Users\刘雯静\Downloads\Conceptgraphs\docs\ALI_MY_METRICS_EVALUATION_20260821.md</ns0:t>
        </ns0:is>
      </ns0:c>
    </ns0:row>
    <ns0:row r="30" ht="24" customHeight="1" s="2">
      <ns0:c r="A30" s="8" t="inlineStr">
        <ns0:is>
          <ns0:t>Revision v0</ns0:t>
        </ns0:is>
      </ns0:c>
      <ns0:c r="B30" s="21" t="inlineStr">
        <ns0:is>
          <ns0:t>D:\Users\刘雯静\Downloads\Conceptgraphs\docs\ALI_MY_REVISION_KERNEL_VALIDATION_SUMMARY_20260822.md</ns0:t>
        </ns0:is>
      </ns0:c>
    </ns0:row>
    <ns0:row r="31" ht="24" customHeight="1" s="2">
      <ns0:c r="A31" s="12" t="inlineStr">
        <ns0:is>
          <ns0:t>Revision v1</ns0:t>
        </ns0:is>
      </ns0:c>
      <ns0:c r="B31" s="22" t="inlineStr">
        <ns0:is>
          <ns0:t>D:\Users\刘雯静\Downloads\Conceptgraphs\docs\ALI_MY_REVISION_KERNEL_V1_IMPLEMENTATION_EVALUATION_20260823.md</ns0:t>
        </ns0:is>
      </ns0:c>
    </ns0:row>
    <ns0:row r="32" ht="24" customHeight="1" s="2">
      <ns0:c r="A32" s="8" t="inlineStr">
        <ns0:is>
          <ns0:t>ConceptGraphs论文</ns0:t>
        </ns0:is>
      </ns0:c>
      <ns0:c r="B32" s="21" t="inlineStr">
        <ns0:is>
          <ns0:t>https://arxiv.org/abs/2309.16650</ns0:t>
        </ns0:is>
      </ns0:c>
    </ns0:row>
    <ns0:row r="33"/>
    <ns0:row r="34" ht="22" customHeight="1" s="2">
      <ns0:c r="A34" s="245" t="inlineStr">
        <ns0:is>
          <ns0:t>D. 关键比较边界</ns0:t>
        </ns0:is>
      </ns0:c>
      <ns0:c r="B34" s="158" t="n"/>
      <ns0:c r="C34" s="158" t="n"/>
      <ns0:c r="D34" s="158" t="n"/>
      <ns0:c r="E34" s="158" t="n"/>
      <ns0:c r="F34" s="159" t="n"/>
    </ns0:row>
    <ns0:row r="35" ht="30" customHeight="1" s="2">
      <ns0:c r="A35" s="7" t="inlineStr">
        <ns0:is>
          <ns0:t>比较</ns0:t>
        </ns0:is>
      </ns0:c>
      <ns0:c r="B35" s="7" t="inlineStr">
        <ns0:is>
          <ns0:t>结论</ns0:t>
        </ns0:is>
      </ns0:c>
      <ns0:c r="C35" s="7" t="inlineStr">
        <ns0:is>
          <ns0:t>原因</ns0:t>
        </ns0:is>
      </ns0:c>
    </ns0:row>
    <ns0:row r="36" ht="24" customHeight="1" s="2">
      <ns0:c r="A36" s="8" t="inlineStr">
        <ns0:is>
          <ns0:t>论文 mAcc ↔ 本地 mRecall</ns0:t>
        </ns0:is>
      </ns0:c>
      <ns0:c r="B36" s="8" t="inlineStr">
        <ns0:is>
          <ns0:t>可直接对齐</ns0:t>
        </ns0:is>
      </ns0:c>
      <ns0:c r="C36" s="8" t="inlineStr">
        <ns0:is>
          <ns0:t>相同宏平均定义；Replica 8场景</ns0:t>
        </ns0:is>
      </ns0:c>
    </ns0:row>
    <ns0:row r="37" ht="24" customHeight="1" s="2">
      <ns0:c r="A37" s="12" t="inlineStr">
        <ns0:is>
          <ns0:t>论文 F-mIoU ↔ 本地 fwIoU</ns0:t>
        </ns0:is>
      </ns0:c>
      <ns0:c r="B37" s="12" t="inlineStr">
        <ns0:is>
          <ns0:t>可直接对齐</ns0:t>
        </ns0:is>
      </ns0:c>
      <ns0:c r="C37" s="12" t="inlineStr">
        <ns0:is>
          <ns0:t>相同频率加权 IoU 定义</ns0:t>
        </ns0:is>
      </ns0:c>
    </ns0:row>
    <ns0:row r="38" ht="24" customHeight="1" s="2">
      <ns0:c r="A38" s="8" t="inlineStr">
        <ns0:is>
          <ns0:t>论文 AMT Edge Precision ↔ ReplicaSSG闭世界P/R/F1</ns0:t>
        </ns0:is>
      </ns0:c>
      <ns0:c r="B38" s="8" t="inlineStr">
        <ns0:is>
          <ns0:t>不可直接比较</ns0:t>
        </ns0:is>
      </ns0:c>
      <ns0:c r="C38" s="8" t="inlineStr">
        <ns0:is>
          <ns0:t>人工开放词汇 vs 稀疏封闭GT</ns0:t>
        </ns0:is>
      </ns0:c>
    </ns0:row>
    <ns0:row r="39" ht="24" customHeight="1" s="2">
      <ns0:c r="A39" s="12" t="inlineStr">
        <ns0:is>
          <ns0:t>论文 Table III R@1/2/3 ↔ ReplicaSSG对象R@1/5</ns0:t>
        </ns0:is>
      </ns0:c>
      <ns0:c r="B39" s="12" t="inlineStr">
        <ns0:is>
          <ns0:t>不可直接比较</ns0:t>
        </ns0:is>
      </ns0:c>
      <ns0:c r="C39" s="12" t="inlineStr">
        <ns0:is>
          <ns0:t>文本查询检索 vs GT对象分类</ns0:t>
        </ns0:is>
      </ns0:c>
    </ns0:row>
    <ns0:row r="40" ht="24" customHeight="1" s="2">
      <ns0:c r="A40" s="8" t="inlineStr">
        <ns0:is>
          <ns0:t>严格 ali-dev ↔ ali-my派生8场景</ns0:t>
        </ns0:is>
      </ns0:c>
      <ns0:c r="B40" s="8" t="inlineStr">
        <ns0:is>
          <ns0:t>不能改名</ns0:t>
        </ns0:is>
      </ns0:c>
      <ns0:c r="C40" s="8" t="inlineStr">
        <ns0:is>
          <ns0:t>严格ali-dev目前仅room0</ns0:t>
        </ns0:is>
      </ns0:c>
    </ns0:row>
    <ns0:row r="41" ht="24" customHeight="1" s="2">
      <ns0:c r="A41" s="12" t="inlineStr">
        <ns0:is>
          <ns0:t>VLM map_class_name增益 ↔ 视觉特征增益</ns0:t>
        </ns0:is>
      </ns0:c>
      <ns0:c r="B41" s="12" t="inlineStr">
        <ns0:is>
          <ns0:t>不可等同</ns0:t>
        </ns0:is>
      </ns0:c>
      <ns0:c r="C41" s="12" t="inlineStr">
        <ns0:is>
          <ns0:t>native clip_ft指标未变；且存在8/19误修</ns0:t>
        </ns0:is>
      </ns0:c>
    </ns0:row>
  </ns0:sheetData>
  <ns0:mergeCells count="6">
    <ns0:mergeCell ref="A24:F24"/>
    <ns0:mergeCell ref="A2:F2"/>
    <ns0:mergeCell ref="A1:F1"/>
    <ns0:mergeCell ref="A34:F34"/>
    <ns0:mergeCell ref="A12:F12"/>
    <ns0:mergeCell ref="A4:F4"/>
  </ns0:mergeCells>
  <ns0:hyperlinks>
    <ns0:hyperlink ref="B26" ns1:id="rId1"/>
    <ns0:hyperlink ref="B27" ns1:id="rId2"/>
    <ns0:hyperlink ref="B28" ns1:id="rId3"/>
    <ns0:hyperlink ref="B29" ns1:id="rId4"/>
    <ns0:hyperlink ref="B30" ns1:id="rId5"/>
    <ns0:hyperlink ref="B31" ns1:id="rId6"/>
    <ns0:hyperlink ref="B32" ns1:id="rId7"/>
  </ns0:hyperlinks>
  <ns0:pageMargins left="0.7" right="0.7" top="0.75" bottom="0.75" header="0.3" footer="0.3"/>
</ns0:worksheet>
</file>

<file path=xl/worksheets/sheet12.xml><?xml version="1.0" encoding="utf-8"?>
<ns0:worksheet xmlns:ns0="http://schemas.openxmlformats.org/spreadsheetml/2006/main" xmlns:ns1="http://schemas.openxmlformats.org/officeDocument/2006/relationships">
  <ns0:sheetPr>
    <ns0:tabColor rgb="FFC00000"/>
    <ns0:outlinePr summaryBelow="1" summaryRight="1"/>
    <ns0:pageSetUpPr/>
  </ns0:sheetPr>
  <ns0:dimension ref="A1:H77"/>
  <ns0:sheetViews>
    <ns0:sheetView showGridLines="0" workbookViewId="0">
      <ns0:selection activeCell="A1" sqref="A1"/>
    </ns0:sheetView>
  </ns0:sheetViews>
  <ns0:sheetFormatPr baseColWidth="8" defaultRowHeight="15"/>
  <ns0:cols>
    <ns0:col width="14" customWidth="1" style="2" min="1" max="1"/>
    <ns0:col width="16" customWidth="1" style="2" min="2" max="2"/>
    <ns0:col width="15" customWidth="1" style="2" min="3" max="3"/>
    <ns0:col width="15" customWidth="1" style="2" min="4" max="4"/>
    <ns0:col width="15" customWidth="1" style="2" min="5" max="5"/>
    <ns0:col width="15" customWidth="1" style="2" min="6" max="6"/>
    <ns0:col width="15" customWidth="1" style="2" min="7" max="7"/>
    <ns0:col width="34" customWidth="1" style="2" min="8" max="8"/>
  </ns0:cols>
  <ns0:sheetData>
    <ns0:row r="1" ht="30" customHeight="1" s="2">
      <ns0:c r="A1" s="81" t="inlineStr">
        <ns0:is>
          <ns0:t>【旧版方法审计】三类错误 Oracle（保留追溯，不再作正式结论）</ns0:t>
        </ns0:is>
      </ns0:c>
    </ns0:row>
    <ns0:row r="2" ht="62" customHeight="1" s="2">
      <ns0:c r="A2" s="82" t="inlineStr">
        <ns0:is>
          <ns0:t>警告：本页旧 O1 的未匹配观测使用最终 B0 lineage，且只 gate purity 不 gate recall；旧 O3=1 为定义性上限，关系口径还混用了模型/候选集。本页精确 ρ 已作废；正式结论见“可修性对比总览/明细”。</ns0:t>
        </ns0:is>
      </ns0:c>
    </ns0:row>
    <ns0:row r="3">
      <ns0:c r="A3" s="68" t="n"/>
      <ns0:c r="B3" s="68" t="n"/>
      <ns0:c r="C3" s="68" t="n"/>
      <ns0:c r="D3" s="68" t="n"/>
      <ns0:c r="E3" s="68" t="n"/>
      <ns0:c r="F3" s="68" t="n"/>
      <ns0:c r="G3" s="68" t="n"/>
      <ns0:c r="H3" s="68" t="n"/>
    </ns0:row>
    <ns0:row r="4" ht="22" customHeight="1" s="2">
      <ns0:c r="A4" s="46" t="inlineStr">
        <ns0:is>
          <ns0:t>A. 最终结论与决策</ns0:t>
        </ns0:is>
      </ns0:c>
    </ns0:row>
    <ns0:row r="5" ht="42" customHeight="1" s="2">
      <ns0:c r="A5" s="51" t="inlineStr">
        <ns0:is>
          <ns0:t>最终判断</ns0:t>
        </ns0:is>
      </ns0:c>
      <ns0:c r="B5" s="261" t="inlineStr">
        <ns0:is>
          <ns0:t>【旧结论，不再引用精确值】定性上“最终关联+语义不足以修复主要差距”仍成立；但旧 ρ 与语义定量不可作正式证据。</ns0:t>
        </ns0:is>
      </ns0:c>
      <ns0:c r="C5" s="158" t="n"/>
      <ns0:c r="D5" s="158" t="n"/>
      <ns0:c r="E5" s="158" t="n"/>
      <ns0:c r="F5" s="158" t="n"/>
      <ns0:c r="G5" s="158" t="n"/>
      <ns0:c r="H5" s="159" t="n"/>
    </ns0:row>
    <ns0:row r="6" ht="34" customHeight="1" s="2">
      <ns0:c r="A6" s="56" t="inlineStr">
        <ns0:is>
          <ns0:t>核心证据</ns0:t>
        </ns0:is>
      </ns0:c>
      <ns0:c r="B6" s="261" t="inlineStr">
        <ns0:is>
          <ns0:t>【作废】旧宏平均 ρ、旧 Q 和旧 O3 数值只保留用于审计追溯。</ns0:t>
        </ns0:is>
      </ns0:c>
      <ns0:c r="C6" s="158" t="n"/>
      <ns0:c r="D6" s="158" t="n"/>
      <ns0:c r="E6" s="158" t="n"/>
      <ns0:c r="F6" s="158" t="n"/>
      <ns0:c r="G6" s="158" t="n"/>
      <ns0:c r="H6" s="159" t="n"/>
    </ns0:row>
    <ns0:row r="7" ht="34" customHeight="1" s="2">
      <ns0:c r="A7" s="51" t="inlineStr">
        <ns0:is>
          <ns0:t>工程优先级</ns0:t>
        </ns0:is>
      </ns0:c>
      <ns0:c r="B7" s="262" t="inlineStr">
        <ns0:is>
          <ns0:t>优先拆分漏检、mask 边界/覆盖、混合 mask；关系 top-1 校准单独处理；对象级重组与语义修正保留为次级模块。</ns0:t>
        </ns0:is>
      </ns0:c>
      <ns0:c r="C7" s="158" t="n"/>
      <ns0:c r="D7" s="158" t="n"/>
      <ns0:c r="E7" s="158" t="n"/>
      <ns0:c r="F7" s="158" t="n"/>
      <ns0:c r="G7" s="158" t="n"/>
      <ns0:c r="H7" s="159" t="n"/>
    </ns0:row>
    <ns0:row r="8" ht="34" customHeight="1" s="2">
      <ns0:c r="A8" s="56" t="inlineStr">
        <ns0:is>
          <ns0:t>结论强度</ns0:t>
        </ns0:is>
      </ns0:c>
      <ns0:c r="B8" s="263" t="inlineStr">
        <ns0:is>
          <ns0:t>这是 n=2 场景、固定当前检测/mask 的正式证据，足以否定“大幅提升”假设，但不是全数据集总体效应的最终估计。</ns0:t>
        </ns0:is>
      </ns0:c>
      <ns0:c r="C8" s="158" t="n"/>
      <ns0:c r="D8" s="158" t="n"/>
      <ns0:c r="E8" s="158" t="n"/>
      <ns0:c r="F8" s="158" t="n"/>
      <ns0:c r="G8" s="158" t="n"/>
      <ns0:c r="H8" s="159" t="n"/>
    </ns0:row>
    <ns0:row r="9">
      <ns0:c r="A9" s="68" t="n"/>
      <ns0:c r="B9" s="68" t="n"/>
      <ns0:c r="C9" s="68" t="n"/>
      <ns0:c r="D9" s="68" t="n"/>
      <ns0:c r="E9" s="68" t="n"/>
      <ns0:c r="F9" s="68" t="n"/>
      <ns0:c r="G9" s="68" t="n"/>
      <ns0:c r="H9" s="68" t="n"/>
    </ns0:row>
    <ns0:row r="10" ht="22" customHeight="1" s="2">
      <ns0:c r="A10" s="46" t="inlineStr">
        <ns0:is>
          <ns0:t>B. 主指标 Q 与差距覆盖率</ns0:t>
        </ns0:is>
      </ns0:c>
    </ns0:row>
    <ns0:row r="11" ht="28" customHeight="1" s="2">
      <ns0:c r="A11" s="61" t="inlineStr">
        <ns0:is>
          <ns0:t>场景</ns0:t>
        </ns0:is>
      </ns0:c>
      <ns0:c r="B11" s="61" t="inlineStr">
        <ns0:is>
          <ns0:t>B0 当前</ns0:t>
        </ns0:is>
      </ns0:c>
      <ns0:c r="C11" s="61" t="inlineStr">
        <ns0:is>
          <ns0:t>O1 重组</ns0:t>
        </ns0:is>
      </ns0:c>
      <ns0:c r="D11" s="61" t="inlineStr">
        <ns0:is>
          <ns0:t>O2 +真值语义</ns0:t>
        </ns0:is>
      </ns0:c>
      <ns0:c r="E11" s="61" t="inlineStr">
        <ns0:is>
          <ns0:t>O3 完美上限</ns0:t>
        </ns0:is>
      </ns0:c>
      <ns0:c r="F11" s="61" t="inlineStr">
        <ns0:is>
          <ns0:t>ρ</ns0:t>
        </ns0:is>
      </ns0:c>
      <ns0:c r="G11" s="61" t="inlineStr">
        <ns0:is>
          <ns0:t>判据</ns0:t>
        </ns0:is>
      </ns0:c>
      <ns0:c r="H11" s="61" t="inlineStr">
        <ns0:is>
          <ns0:t>解释</ns0:t>
        </ns0:is>
      </ns0:c>
    </ns0:row>
    <ns0:row r="12">
      <ns0:c r="A12" s="55" t="inlineStr">
        <ns0:is>
          <ns0:t>room0</ns0:t>
        </ns0:is>
      </ns0:c>
      <ns0:c r="B12" s="84" t="n">
        <ns0:v>0.2245416373811907</ns0:v>
      </ns0:c>
      <ns0:c r="C12" s="84" t="n">
        <ns0:v>0.1435832959643199</ns0:v>
      </ns0:c>
      <ns0:c r="D12" s="84" t="n">
        <ns0:v>0.2485832959643199</ns0:v>
      </ns0:c>
      <ns0:c r="E12" s="84" t="n">
        <ns0:v>0.95</ns0:v>
      </ns0:c>
      <ns0:c r="F12" s="84">
        <ns0:f>(D12-B12)/(E12-B12)</ns0:f>
        <ns0:v>0.03313995650466</ns0:v>
      </ns0:c>
      <ns0:c r="G12" s="55" t="str">
        <ns0:f>IF(F12&gt;=0.6,"支持三类错误主路线",IF(F12&gt;=0.4,"需并行修复检测/mask","检测/mask主导"))</ns0:f>
        <ns0:v>检测/mask主导</ns0:v>
      </ns0:c>
      <ns0:c r="H12" s="55" t="inlineStr">
        <ns0:is>
          <ns0:t>O1 退化，O2 仅略高于 B0</ns0:t>
        </ns0:is>
      </ns0:c>
    </ns0:row>
    <ns0:row r="13">
      <ns0:c r="A13" s="50" t="inlineStr">
        <ns0:is>
          <ns0:t>office0</ns0:t>
        </ns0:is>
      </ns0:c>
      <ns0:c r="B13" s="85" t="n">
        <ns0:v>0.1933221339375317</ns0:v>
      </ns0:c>
      <ns0:c r="C13" s="85" t="n">
        <ns0:v>0.07311236210830385</ns0:v>
      </ns0:c>
      <ns0:c r="D13" s="85" t="n">
        <ns0:v>0.1876956954416372</ns0:v>
      </ns0:c>
      <ns0:c r="E13" s="85" t="n">
        <ns0:v>0.90625</ns0:v>
      </ns0:c>
      <ns0:c r="F13" s="85">
        <ns0:f>(D13-B13)/(E13-B13)</ns0:f>
        <ns0:v>-0.00789201651910392</ns0:v>
      </ns0:c>
      <ns0:c r="G13" s="50" t="str">
        <ns0:f>IF(F13&gt;=0.6,"支持三类错误主路线",IF(F13&gt;=0.4,"需并行修复检测/mask","检测/mask主导"))</ns0:f>
        <ns0:v>检测/mask主导</ns0:v>
      </ns0:c>
      <ns0:c r="H13" s="50" t="inlineStr">
        <ns0:is>
          <ns0:t>O2 仍低于 B0</ns0:t>
        </ns0:is>
      </ns0:c>
    </ns0:row>
    <ns0:row r="14">
      <ns0:c r="A14" s="62" t="inlineStr">
        <ns0:is>
          <ns0:t>宏平均</ns0:t>
        </ns0:is>
      </ns0:c>
      <ns0:c r="B14" s="86">
        <ns0:f>F18</ns0:f>
        <ns0:v>0.208931885659361</ns0:v>
      </ns0:c>
      <ns0:c r="C14" s="86">
        <ns0:f>F19</ns0:f>
        <ns0:v>0.108347829036312</ns0:v>
      </ns0:c>
      <ns0:c r="D14" s="86">
        <ns0:f>F20</ns0:f>
        <ns0:v>0.218139495702979</ns0:v>
      </ns0:c>
      <ns0:c r="E14" s="86">
        <ns0:f>F21</ns0:f>
        <ns0:v>0.928125</ns0:v>
      </ns0:c>
      <ns0:c r="F14" s="86">
        <ns0:f>(D14-B14)/(E14-B14)</ns0:f>
        <ns0:v>0.0128026949368932</ns0:v>
      </ns0:c>
      <ns0:c r="G14" s="62" t="str">
        <ns0:f>IF(F14&gt;=0.6,"支持三类错误主路线",IF(F14&gt;=0.4,"需并行修复检测/mask","检测/mask主导"))</ns0:f>
        <ns0:v>检测/mask主导</ns0:v>
      </ns0:c>
      <ns0:c r="H14" s="62" t="inlineStr">
        <ns0:is>
          <ns0:t>总体仅覆盖 1.28% 的可改善空间</ns0:t>
        </ns0:is>
      </ns0:c>
    </ns0:row>
    <ns0:row r="15">
      <ns0:c r="A15" s="68" t="n"/>
      <ns0:c r="B15" s="68" t="n"/>
      <ns0:c r="C15" s="68" t="n"/>
      <ns0:c r="D15" s="68" t="n"/>
      <ns0:c r="E15" s="68" t="n"/>
      <ns0:c r="F15" s="68" t="n"/>
      <ns0:c r="G15" s="68" t="n"/>
      <ns0:c r="H15" s="68" t="n"/>
    </ns0:row>
    <ns0:row r="16" ht="22" customHeight="1" s="2">
      <ns0:c r="A16" s="46" t="inlineStr">
        <ns0:is>
          <ns0:t>C. 宏平均分项：几何、语义与关系</ns0:t>
        </ns0:is>
      </ns0:c>
    </ns0:row>
    <ns0:row r="17" ht="28" customHeight="1" s="2">
      <ns0:c r="A17" s="61" t="inlineStr">
        <ns0:is>
          <ns0:t>条件</ns0:t>
        </ns0:is>
      </ns0:c>
      <ns0:c r="B17" s="61" t="inlineStr">
        <ns0:is>
          <ns0:t>Instance AP</ns0:t>
        </ns0:is>
      </ns0:c>
      <ns0:c r="C17" s="61" t="inlineStr">
        <ns0:is>
          <ns0:t>节点 F1</ns0:t>
        </ns0:is>
      </ns0:c>
      <ns0:c r="D17" s="61" t="inlineStr">
        <ns0:is>
          <ns0:t>语义准确率</ns0:t>
        </ns0:is>
      </ns0:c>
      <ns0:c r="E17" s="61" t="inlineStr">
        <ns0:is>
          <ns0:t>关系 R@1</ns0:t>
        </ns0:is>
      </ns0:c>
      <ns0:c r="F17" s="61" t="inlineStr">
        <ns0:is>
          <ns0:t>Q</ns0:t>
        </ns0:is>
      </ns0:c>
      <ns0:c r="G17" s="61" t="inlineStr">
        <ns0:is>
          <ns0:t>几何均值</ns0:t>
        </ns0:is>
      </ns0:c>
      <ns0:c r="H17" s="61" t="inlineStr">
        <ns0:is>
          <ns0:t>说明</ns0:t>
        </ns0:is>
      </ns0:c>
    </ns0:row>
    <ns0:row r="18">
      <ns0:c r="A18" s="55" t="inlineStr">
        <ns0:is>
          <ns0:t>B0</ns0:t>
        </ns0:is>
      </ns0:c>
      <ns0:c r="B18" s="84" t="n">
        <ns0:v>0.008724963734083066</ns0:v>
      </ns0:c>
      <ns0:c r="C18" s="84" t="n">
        <ns0:v>0.06057400747479021</ns0:v>
      </ns0:c>
      <ns0:c r="D18" s="84" t="n">
        <ns0:v>0.07142857142857142</ns0:v>
      </ns0:c>
      <ns0:c r="E18" s="84" t="n">
        <ns0:v>0.695</ns0:v>
      </ns0:c>
      <ns0:c r="F18" s="84">
        <ns0:f>AVERAGE(B18:E18)</ns0:f>
        <ns0:v>0.208931885659361</ns0:v>
      </ns0:c>
      <ns0:c r="G18" s="84">
        <ns0:f>AVERAGE(B18:C18)</ns0:f>
        <ns0:v>0.0346494856044366</ns0:v>
      </ns0:c>
      <ns0:c r="H18" s="55" t="inlineStr">
        <ns0:is>
          <ns0:t>当前系统</ns0:t>
        </ns0:is>
      </ns0:c>
    </ns0:row>
    <ns0:row r="19">
      <ns0:c r="A19" s="50" t="inlineStr">
        <ns0:is>
          <ns0:t>O1</ns0:t>
        </ns0:is>
      </ns0:c>
      <ns0:c r="B19" s="85" t="n">
        <ns0:v>0.02529185040043291</ns0:v>
      </ns0:c>
      <ns0:c r="C19" s="85" t="n">
        <ns0:v>0.1343494657448146</ns0:v>
      </ns0:c>
      <ns0:c r="D19" s="85" t="n">
        <ns0:v>0.1</ns0:v>
      </ns0:c>
      <ns0:c r="E19" s="85" t="n">
        <ns0:v>0.17375</ns0:v>
      </ns0:c>
      <ns0:c r="F19" s="85">
        <ns0:f>AVERAGE(B19:E19)</ns0:f>
        <ns0:v>0.108347829036312</ns0:v>
      </ns0:c>
      <ns0:c r="G19" s="85">
        <ns0:f>AVERAGE(B19:C19)</ns0:f>
        <ns0:v>0.0798206580726238</ns0:v>
      </ns0:c>
      <ns0:c r="H19" s="50" t="inlineStr">
        <ns0:is>
          <ns0:t>重组后关系显著下降</ns0:t>
        </ns0:is>
      </ns0:c>
    </ns0:row>
    <ns0:row r="20">
      <ns0:c r="A20" s="55" t="inlineStr">
        <ns0:is>
          <ns0:t>O2</ns0:t>
        </ns0:is>
      </ns0:c>
      <ns0:c r="B20" s="84" t="n">
        <ns0:v>0.02529185040043291</ns0:v>
      </ns0:c>
      <ns0:c r="C20" s="84" t="n">
        <ns0:v>0.1343494657448146</ns0:v>
      </ns0:c>
      <ns0:c r="D20" s="84" t="n">
        <ns0:v>0.4166666666666666</ns0:v>
      </ns0:c>
      <ns0:c r="E20" s="84" t="n">
        <ns0:v>0.29625</ns0:v>
      </ns0:c>
      <ns0:c r="F20" s="84">
        <ns0:f>AVERAGE(B20:E20)</ns0:f>
        <ns0:v>0.218139495702979</ns0:v>
      </ns0:c>
      <ns0:c r="G20" s="84">
        <ns0:f>AVERAGE(B20:C20)</ns0:f>
        <ns0:v>0.0798206580726238</ns0:v>
      </ns0:c>
      <ns0:c r="H20" s="55" t="inlineStr">
        <ns0:is>
          <ns0:t>真值语义不能补回几何与关系损失</ns0:t>
        </ns0:is>
      </ns0:c>
    </ns0:row>
    <ns0:row r="21">
      <ns0:c r="A21" s="50" t="inlineStr">
        <ns0:is>
          <ns0:t>O3</ns0:t>
        </ns0:is>
      </ns0:c>
      <ns0:c r="B21" s="85" t="n">
        <ns0:v>1</ns0:v>
      </ns0:c>
      <ns0:c r="C21" s="85" t="n">
        <ns0:v>1</ns0:v>
      </ns0:c>
      <ns0:c r="D21" s="85" t="n">
        <ns0:v>1</ns0:v>
      </ns0:c>
      <ns0:c r="E21" s="85" t="n">
        <ns0:v>0.7125</ns0:v>
      </ns0:c>
      <ns0:c r="F21" s="85">
        <ns0:f>AVERAGE(B21:E21)</ns0:f>
        <ns0:v>0.928125</ns0:v>
      </ns0:c>
      <ns0:c r="G21" s="85">
        <ns0:f>AVERAGE(B21:C21)</ns0:f>
        <ns0:v>1</ns0:v>
      </ns0:c>
      <ns0:c r="H21" s="50" t="inlineStr">
        <ns0:is>
          <ns0:t>GT mask 上限仍受关系 R@1 限制</ns0:t>
        </ns0:is>
      </ns0:c>
    </ns0:row>
    <ns0:row r="22">
      <ns0:c r="A22" s="56" t="inlineStr">
        <ns0:is>
          <ns0:t>几何差距覆盖率</ns0:t>
        </ns0:is>
      </ns0:c>
      <ns0:c r="B22" s="84">
        <ns0:f>(G20-G18)/(G21-G18)</ns0:f>
        <ns0:v>0.0467925088292621</ns0:v>
      </ns0:c>
      <ns0:c r="C22" s="264" t="inlineStr">
        <ns0:is>
          <ns0:t>O2 相对 B0 只覆盖约 4.68% 的 AP/F1 剩余差距，进一步支持检测/mask 是主要局限。</ns0:t>
        </ns0:is>
      </ns0:c>
      <ns0:c r="D22" s="158" t="n"/>
      <ns0:c r="E22" s="158" t="n"/>
      <ns0:c r="F22" s="158" t="n"/>
      <ns0:c r="G22" s="158" t="n"/>
      <ns0:c r="H22" s="159" t="n"/>
    </ns0:row>
    <ns0:row r="23">
      <ns0:c r="A23" s="68" t="n"/>
      <ns0:c r="B23" s="68" t="n"/>
      <ns0:c r="C23" s="68" t="n"/>
      <ns0:c r="D23" s="68" t="n"/>
      <ns0:c r="E23" s="68" t="n"/>
      <ns0:c r="F23" s="68" t="n"/>
      <ns0:c r="G23" s="68" t="n"/>
      <ns0:c r="H23" s="68" t="n"/>
    </ns0:row>
    <ns0:row r="24" ht="22" customHeight="1" s="2">
      <ns0:c r="A24" s="46" t="inlineStr">
        <ns0:is>
          <ns0:t>D. 两场景分项原始结果</ns0:t>
        </ns0:is>
      </ns0:c>
    </ns0:row>
    <ns0:row r="25" ht="28" customHeight="1" s="2">
      <ns0:c r="A25" s="61" t="inlineStr">
        <ns0:is>
          <ns0:t>场景</ns0:t>
        </ns0:is>
      </ns0:c>
      <ns0:c r="B25" s="61" t="inlineStr">
        <ns0:is>
          <ns0:t>条件</ns0:t>
        </ns0:is>
      </ns0:c>
      <ns0:c r="C25" s="61" t="inlineStr">
        <ns0:is>
          <ns0:t>Instance AP</ns0:t>
        </ns0:is>
      </ns0:c>
      <ns0:c r="D25" s="61" t="inlineStr">
        <ns0:is>
          <ns0:t>节点 F1</ns0:t>
        </ns0:is>
      </ns0:c>
      <ns0:c r="E25" s="61" t="inlineStr">
        <ns0:is>
          <ns0:t>语义准确率</ns0:t>
        </ns0:is>
      </ns0:c>
      <ns0:c r="F25" s="61" t="inlineStr">
        <ns0:is>
          <ns0:t>关系 R@1</ns0:t>
        </ns0:is>
      </ns0:c>
      <ns0:c r="G25" s="61" t="inlineStr">
        <ns0:is>
          <ns0:t>Q</ns0:t>
        </ns0:is>
      </ns0:c>
      <ns0:c r="H25" s="61" t="inlineStr">
        <ns0:is>
          <ns0:t>备注</ns0:t>
        </ns0:is>
      </ns0:c>
    </ns0:row>
    <ns0:row r="26">
      <ns0:c r="A26" s="55" t="inlineStr">
        <ns0:is>
          <ns0:t>room0</ns0:t>
        </ns0:is>
      </ns0:c>
      <ns0:c r="B26" s="55" t="inlineStr">
        <ns0:is>
          <ns0:t>B0</ns0:t>
        </ns0:is>
      </ns0:c>
      <ns0:c r="C26" s="84" t="n">
        <ns0:v>0.01714989746516583</ns0:v>
      </ns0:c>
      <ns0:c r="D26" s="84" t="n">
        <ns0:v>0.09815950920245399</ns0:v>
      </ns0:c>
      <ns0:c r="E26" s="84" t="n">
        <ns0:v>0.1428571428571428</ns0:v>
      </ns0:c>
      <ns0:c r="F26" s="84" t="n">
        <ns0:v>0.64</ns0:v>
      </ns0:c>
      <ns0:c r="G26" s="84">
        <ns0:f>AVERAGE(C26:F26)</ns0:f>
        <ns0:v>0.224541637381191</ns0:v>
      </ns0:c>
      <ns0:c r="H26" s="55" t="str"/>
    </ns0:row>
    <ns0:row r="27">
      <ns0:c r="A27" s="50" t="inlineStr">
        <ns0:is>
          <ns0:t>room0</ns0:t>
        </ns0:is>
      </ns0:c>
      <ns0:c r="B27" s="50" t="inlineStr">
        <ns0:is>
          <ns0:t>O1</ns0:t>
        </ns0:is>
      </ns0:c>
      <ns0:c r="C27" s="85" t="n">
        <ns0:v>0.03865750818160389</ns0:v>
      </ns0:c>
      <ns0:c r="D27" s="85" t="n">
        <ns0:v>0.1756756756756757</ns0:v>
      </ns0:c>
      <ns0:c r="E27" s="85" t="n">
        <ns0:v>0.2</ns0:v>
      </ns0:c>
      <ns0:c r="F27" s="85" t="n">
        <ns0:v>0.16</ns0:v>
      </ns0:c>
      <ns0:c r="G27" s="85">
        <ns0:f>AVERAGE(C27:F27)</ns0:f>
        <ns0:v>0.14358329596432</ns0:v>
      </ns0:c>
      <ns0:c r="H27" s="50" t="str"/>
    </ns0:row>
    <ns0:row r="28">
      <ns0:c r="A28" s="55" t="inlineStr">
        <ns0:is>
          <ns0:t>room0</ns0:t>
        </ns0:is>
      </ns0:c>
      <ns0:c r="B28" s="55" t="inlineStr">
        <ns0:is>
          <ns0:t>O2</ns0:t>
        </ns0:is>
      </ns0:c>
      <ns0:c r="C28" s="84" t="n">
        <ns0:v>0.03865750818160389</ns0:v>
      </ns0:c>
      <ns0:c r="D28" s="84" t="n">
        <ns0:v>0.1756756756756757</ns0:v>
      </ns0:c>
      <ns0:c r="E28" s="84" t="n">
        <ns0:v>0.5</ns0:v>
      </ns0:c>
      <ns0:c r="F28" s="84" t="n">
        <ns0:v>0.28</ns0:v>
      </ns0:c>
      <ns0:c r="G28" s="84">
        <ns0:f>AVERAGE(C28:F28)</ns0:f>
        <ns0:v>0.24858329596432</ns0:v>
      </ns0:c>
      <ns0:c r="H28" s="55" t="str"/>
    </ns0:row>
    <ns0:row r="29">
      <ns0:c r="A29" s="50" t="inlineStr">
        <ns0:is>
          <ns0:t>room0</ns0:t>
        </ns0:is>
      </ns0:c>
      <ns0:c r="B29" s="50" t="inlineStr">
        <ns0:is>
          <ns0:t>O3</ns0:t>
        </ns0:is>
      </ns0:c>
      <ns0:c r="C29" s="85" t="n">
        <ns0:v>1</ns0:v>
      </ns0:c>
      <ns0:c r="D29" s="85" t="n">
        <ns0:v>1</ns0:v>
      </ns0:c>
      <ns0:c r="E29" s="85" t="n">
        <ns0:v>1</ns0:v>
      </ns0:c>
      <ns0:c r="F29" s="85" t="n">
        <ns0:v>0.8</ns0:v>
      </ns0:c>
      <ns0:c r="G29" s="85">
        <ns0:f>AVERAGE(C29:F29)</ns0:f>
        <ns0:v>0.95</ns0:v>
      </ns0:c>
      <ns0:c r="H29" s="50" t="str"/>
    </ns0:row>
    <ns0:row r="30">
      <ns0:c r="A30" s="55" t="inlineStr">
        <ns0:is>
          <ns0:t>office0</ns0:t>
        </ns0:is>
      </ns0:c>
      <ns0:c r="B30" s="55" t="inlineStr">
        <ns0:is>
          <ns0:t>B0</ns0:t>
        </ns0:is>
      </ns0:c>
      <ns0:c r="C30" s="84" t="n">
        <ns0:v>0.0003000300030003001</ns0:v>
      </ns0:c>
      <ns0:c r="D30" s="84" t="n">
        <ns0:v>0.02298850574712644</ns0:v>
      </ns0:c>
      <ns0:c r="E30" s="84" t="n">
        <ns0:v>0</ns0:v>
      </ns0:c>
      <ns0:c r="F30" s="84" t="n">
        <ns0:v>0.75</ns0:v>
      </ns0:c>
      <ns0:c r="G30" s="84">
        <ns0:f>AVERAGE(C30:F30)</ns0:f>
        <ns0:v>0.193322133937532</ns0:v>
      </ns0:c>
      <ns0:c r="H30" s="55" t="inlineStr">
        <ns0:is>
          <ns0:t>语义分母为 0；按 0 进入 Q</ns0:t>
        </ns0:is>
      </ns0:c>
    </ns0:row>
    <ns0:row r="31">
      <ns0:c r="A31" s="50" t="inlineStr">
        <ns0:is>
          <ns0:t>office0</ns0:t>
        </ns0:is>
      </ns0:c>
      <ns0:c r="B31" s="50" t="inlineStr">
        <ns0:is>
          <ns0:t>O1</ns0:t>
        </ns0:is>
      </ns0:c>
      <ns0:c r="C31" s="85" t="n">
        <ns0:v>0.01192619261926193</ns0:v>
      </ns0:c>
      <ns0:c r="D31" s="85" t="n">
        <ns0:v>0.09302325581395349</ns0:v>
      </ns0:c>
      <ns0:c r="E31" s="85" t="n">
        <ns0:v>0</ns0:v>
      </ns0:c>
      <ns0:c r="F31" s="85" t="n">
        <ns0:v>0.1875</ns0:v>
      </ns0:c>
      <ns0:c r="G31" s="85">
        <ns0:f>AVERAGE(C31:F31)</ns0:f>
        <ns0:v>0.0731123621083039</ns0:v>
      </ns0:c>
      <ns0:c r="H31" s="50" t="str"/>
    </ns0:row>
    <ns0:row r="32">
      <ns0:c r="A32" s="55" t="inlineStr">
        <ns0:is>
          <ns0:t>office0</ns0:t>
        </ns0:is>
      </ns0:c>
      <ns0:c r="B32" s="55" t="inlineStr">
        <ns0:is>
          <ns0:t>O2</ns0:t>
        </ns0:is>
      </ns0:c>
      <ns0:c r="C32" s="84" t="n">
        <ns0:v>0.01192619261926193</ns0:v>
      </ns0:c>
      <ns0:c r="D32" s="84" t="n">
        <ns0:v>0.09302325581395349</ns0:v>
      </ns0:c>
      <ns0:c r="E32" s="84" t="n">
        <ns0:v>0.3333333333333333</ns0:v>
      </ns0:c>
      <ns0:c r="F32" s="84" t="n">
        <ns0:v>0.3125</ns0:v>
      </ns0:c>
      <ns0:c r="G32" s="84">
        <ns0:f>AVERAGE(C32:F32)</ns0:f>
        <ns0:v>0.187695695441637</ns0:v>
      </ns0:c>
      <ns0:c r="H32" s="55" t="str"/>
    </ns0:row>
    <ns0:row r="33">
      <ns0:c r="A33" s="50" t="inlineStr">
        <ns0:is>
          <ns0:t>office0</ns0:t>
        </ns0:is>
      </ns0:c>
      <ns0:c r="B33" s="50" t="inlineStr">
        <ns0:is>
          <ns0:t>O3</ns0:t>
        </ns0:is>
      </ns0:c>
      <ns0:c r="C33" s="85" t="n">
        <ns0:v>1</ns0:v>
      </ns0:c>
      <ns0:c r="D33" s="85" t="n">
        <ns0:v>1</ns0:v>
      </ns0:c>
      <ns0:c r="E33" s="85" t="n">
        <ns0:v>1</ns0:v>
      </ns0:c>
      <ns0:c r="F33" s="85" t="n">
        <ns0:v>0.625</ns0:v>
      </ns0:c>
      <ns0:c r="G33" s="85">
        <ns0:f>AVERAGE(C33:F33)</ns0:f>
        <ns0:v>0.90625</ns0:v>
      </ns0:c>
      <ns0:c r="H33" s="50" t="str"/>
    </ns0:row>
    <ns0:row r="34">
      <ns0:c r="A34" s="68" t="n"/>
      <ns0:c r="B34" s="68" t="n"/>
      <ns0:c r="C34" s="68" t="n"/>
      <ns0:c r="D34" s="68" t="n"/>
      <ns0:c r="E34" s="68" t="n"/>
      <ns0:c r="F34" s="68" t="n"/>
      <ns0:c r="G34" s="68" t="n"/>
      <ns0:c r="H34" s="68" t="n"/>
    </ns0:row>
    <ns0:row r="35" ht="22" customHeight="1" s="2">
      <ns0:c r="A35" s="46" t="inlineStr">
        <ns0:is>
          <ns0:t>E. 体素大小敏感性（O1/O2）</ns0:t>
        </ns0:is>
      </ns0:c>
    </ns0:row>
    <ns0:row r="36" ht="28" customHeight="1" s="2">
      <ns0:c r="A36" s="61" t="inlineStr">
        <ns0:is>
          <ns0:t>场景</ns0:t>
        </ns0:is>
      </ns0:c>
      <ns0:c r="B36" s="61" t="inlineStr">
        <ns0:is>
          <ns0:t>体素(cm)</ns0:t>
        </ns0:is>
      </ns0:c>
      <ns0:c r="C36" s="61" t="inlineStr">
        <ns0:is>
          <ns0:t>O1 AP</ns0:t>
        </ns0:is>
      </ns0:c>
      <ns0:c r="D36" s="61" t="inlineStr">
        <ns0:is>
          <ns0:t>O1 F1</ns0:t>
        </ns0:is>
      </ns0:c>
      <ns0:c r="E36" s="61" t="inlineStr">
        <ns0:is>
          <ns0:t>O1 语义</ns0:t>
        </ns0:is>
      </ns0:c>
      <ns0:c r="F36" s="61" t="inlineStr">
        <ns0:is>
          <ns0:t>O2 语义</ns0:t>
        </ns0:is>
      </ns0:c>
      <ns0:c r="G36" s="61" t="inlineStr">
        <ns0:is>
          <ns0:t>语义增益</ns0:t>
        </ns0:is>
      </ns0:c>
      <ns0:c r="H36" s="61" t="inlineStr">
        <ns0:is>
          <ns0:t>解释</ns0:t>
        </ns0:is>
      </ns0:c>
    </ns0:row>
    <ns0:row r="37">
      <ns0:c r="A37" s="50" t="inlineStr">
        <ns0:is>
          <ns0:t>room0</ns0:t>
        </ns0:is>
      </ns0:c>
      <ns0:c r="B37" s="50" t="n">
        <ns0:v>1</ns0:v>
      </ns0:c>
      <ns0:c r="C37" s="85" t="n">
        <ns0:v>0.007917</ns0:v>
      </ns0:c>
      <ns0:c r="D37" s="85" t="n">
        <ns0:v>0.094595</ns0:v>
      </ns0:c>
      <ns0:c r="E37" s="85" t="n">
        <ns0:v>0.166667</ns0:v>
      </ns0:c>
      <ns0:c r="F37" s="85" t="n">
        <ns0:v>0.666667</ns0:v>
      </ns0:c>
      <ns0:c r="G37" s="85">
        <ns0:f>IF(COUNT(E37:F37)&lt;2,"",F37-E37)</ns0:f>
        <ns0:v>0.5</ns0:v>
      </ns0:c>
      <ns0:c r="H37" s="50" t="inlineStr">
        <ns0:is>
          <ns0:t>更细体素语义更好，但几何更差</ns0:t>
        </ns0:is>
      </ns0:c>
    </ns0:row>
    <ns0:row r="38">
      <ns0:c r="A38" s="55" t="inlineStr">
        <ns0:is>
          <ns0:t>room0</ns0:t>
        </ns0:is>
      </ns0:c>
      <ns0:c r="B38" s="55" t="n">
        <ns0:v>2</ns0:v>
      </ns0:c>
      <ns0:c r="C38" s="84" t="n">
        <ns0:v>0.038658</ns0:v>
      </ns0:c>
      <ns0:c r="D38" s="84" t="n">
        <ns0:v>0.175676</ns0:v>
      </ns0:c>
      <ns0:c r="E38" s="84" t="n">
        <ns0:v>0.2</ns0:v>
      </ns0:c>
      <ns0:c r="F38" s="84" t="n">
        <ns0:v>0.5</ns0:v>
      </ns0:c>
      <ns0:c r="G38" s="84">
        <ns0:f>IF(COUNT(E38:F38)&lt;2,"",F38-E38)</ns0:f>
        <ns0:v>0.3</ns0:v>
      </ns0:c>
      <ns0:c r="H38" s="55" t="inlineStr">
        <ns0:is>
          <ns0:t>主设置</ns0:t>
        </ns0:is>
      </ns0:c>
    </ns0:row>
    <ns0:row r="39">
      <ns0:c r="A39" s="50" t="inlineStr">
        <ns0:is>
          <ns0:t>room0</ns0:t>
        </ns0:is>
      </ns0:c>
      <ns0:c r="B39" s="50" t="n">
        <ns0:v>5</ns0:v>
      </ns0:c>
      <ns0:c r="C39" s="85" t="n">
        <ns0:v>0.050507</ns0:v>
      </ns0:c>
      <ns0:c r="D39" s="85" t="n">
        <ns0:v>0.22973</ns0:v>
      </ns0:c>
      <ns0:c r="E39" s="85" t="n">
        <ns0:v>0.230769</ns0:v>
      </ns0:c>
      <ns0:c r="F39" s="85" t="n">
        <ns0:v>0.461538</ns0:v>
      </ns0:c>
      <ns0:c r="G39" s="85">
        <ns0:f>IF(COUNT(E39:F39)&lt;2,"",F39-E39)</ns0:f>
        <ns0:v>0.230769</ns0:v>
      </ns0:c>
      <ns0:c r="H39" s="50" t="inlineStr">
        <ns0:is>
          <ns0:t>几何提升，语义增益下降</ns0:t>
        </ns0:is>
      </ns0:c>
    </ns0:row>
    <ns0:row r="40">
      <ns0:c r="A40" s="55" t="inlineStr">
        <ns0:is>
          <ns0:t>office0</ns0:t>
        </ns0:is>
      </ns0:c>
      <ns0:c r="B40" s="55" t="n">
        <ns0:v>1</ns0:v>
      </ns0:c>
      <ns0:c r="C40" s="84" t="n">
        <ns0:v>0</ns0:v>
      </ns0:c>
      <ns0:c r="D40" s="84" t="n">
        <ns0:v>0</ns0:v>
      </ns0:c>
      <ns0:c r="E40" s="84" t="n"/>
      <ns0:c r="F40" s="84" t="n"/>
      <ns0:c r="G40" s="84" t="str">
        <ns0:f>IF(COUNT(E40:F40)&lt;2,"",F40-E40)</ns0:f>
        <ns0:v/>
      </ns0:c>
      <ns0:c r="H40" s="55" t="inlineStr">
        <ns0:is>
          <ns0:t>无有效语义分母</ns0:t>
        </ns0:is>
      </ns0:c>
    </ns0:row>
    <ns0:row r="41">
      <ns0:c r="A41" s="50" t="inlineStr">
        <ns0:is>
          <ns0:t>office0</ns0:t>
        </ns0:is>
      </ns0:c>
      <ns0:c r="B41" s="50" t="n">
        <ns0:v>2</ns0:v>
      </ns0:c>
      <ns0:c r="C41" s="85" t="n">
        <ns0:v>0.011926</ns0:v>
      </ns0:c>
      <ns0:c r="D41" s="85" t="n">
        <ns0:v>0.09302299999999999</ns0:v>
      </ns0:c>
      <ns0:c r="E41" s="85" t="n">
        <ns0:v>0</ns0:v>
      </ns0:c>
      <ns0:c r="F41" s="85" t="n">
        <ns0:v>0.333333</ns0:v>
      </ns0:c>
      <ns0:c r="G41" s="85">
        <ns0:f>IF(COUNT(E41:F41)&lt;2,"",F41-E41)</ns0:f>
        <ns0:v>0.333333</ns0:v>
      </ns0:c>
      <ns0:c r="H41" s="50" t="inlineStr">
        <ns0:is>
          <ns0:t>主设置</ns0:t>
        </ns0:is>
      </ns0:c>
    </ns0:row>
    <ns0:row r="42">
      <ns0:c r="A42" s="55" t="inlineStr">
        <ns0:is>
          <ns0:t>office0</ns0:t>
        </ns0:is>
      </ns0:c>
      <ns0:c r="B42" s="55" t="n">
        <ns0:v>5</ns0:v>
      </ns0:c>
      <ns0:c r="C42" s="84" t="n">
        <ns0:v>0.013576</ns0:v>
      </ns0:c>
      <ns0:c r="D42" s="84" t="n">
        <ns0:v>0.09302299999999999</ns0:v>
      </ns0:c>
      <ns0:c r="E42" s="84" t="n">
        <ns0:v>0.25</ns0:v>
      </ns0:c>
      <ns0:c r="F42" s="84" t="n">
        <ns0:v>0.5</ns0:v>
      </ns0:c>
      <ns0:c r="G42" s="84">
        <ns0:f>IF(COUNT(E42:F42)&lt;2,"",F42-E42)</ns0:f>
        <ns0:v>0.25</ns0:v>
      </ns0:c>
      <ns0:c r="H42" s="55" t="inlineStr">
        <ns0:is>
          <ns0:t>改善有限</ns0:t>
        </ns0:is>
      </ns0:c>
    </ns0:row>
    <ns0:row r="43">
      <ns0:c r="A43" s="68" t="n"/>
      <ns0:c r="B43" s="68" t="n"/>
      <ns0:c r="C43" s="68" t="n"/>
      <ns0:c r="D43" s="68" t="n"/>
      <ns0:c r="E43" s="68" t="n"/>
      <ns0:c r="F43" s="68" t="n"/>
      <ns0:c r="G43" s="68" t="n"/>
      <ns0:c r="H43" s="68" t="n"/>
    </ns0:row>
    <ns0:row r="44" ht="22" customHeight="1" s="2">
      <ns0:c r="A44" s="46" t="inlineStr">
        <ns0:is>
          <ns0:t>F. 纯度阈值敏感性（O1/O2）</ns0:t>
        </ns0:is>
      </ns0:c>
    </ns0:row>
    <ns0:row r="45" ht="28" customHeight="1" s="2">
      <ns0:c r="A45" s="61" t="inlineStr">
        <ns0:is>
          <ns0:t>场景</ns0:t>
        </ns0:is>
      </ns0:c>
      <ns0:c r="B45" s="61" t="inlineStr">
        <ns0:is>
          <ns0:t>纯度阈值</ns0:t>
        </ns0:is>
      </ns0:c>
      <ns0:c r="C45" s="61" t="inlineStr">
        <ns0:is>
          <ns0:t>O1 AP</ns0:t>
        </ns0:is>
      </ns0:c>
      <ns0:c r="D45" s="61" t="inlineStr">
        <ns0:is>
          <ns0:t>O1 F1</ns0:t>
        </ns0:is>
      </ns0:c>
      <ns0:c r="E45" s="61" t="inlineStr">
        <ns0:is>
          <ns0:t>O1 语义</ns0:t>
        </ns0:is>
      </ns0:c>
      <ns0:c r="F45" s="61" t="inlineStr">
        <ns0:is>
          <ns0:t>O2 语义</ns0:t>
        </ns0:is>
      </ns0:c>
      <ns0:c r="G45" s="61" t="inlineStr">
        <ns0:is>
          <ns0:t>语义增益</ns0:t>
        </ns0:is>
      </ns0:c>
      <ns0:c r="H45" s="61" t="inlineStr">
        <ns0:is>
          <ns0:t>解释</ns0:t>
        </ns0:is>
      </ns0:c>
    </ns0:row>
    <ns0:row r="46">
      <ns0:c r="A46" s="55" t="inlineStr">
        <ns0:is>
          <ns0:t>room0</ns0:t>
        </ns0:is>
      </ns0:c>
      <ns0:c r="B46" s="84" t="n">
        <ns0:v>0.25</ns0:v>
      </ns0:c>
      <ns0:c r="C46" s="84" t="n">
        <ns0:v>0.041559</ns0:v>
      </ns0:c>
      <ns0:c r="D46" s="84" t="n">
        <ns0:v>0.19403</ns0:v>
      </ns0:c>
      <ns0:c r="E46" s="84" t="n">
        <ns0:v>0.3</ns0:v>
      </ns0:c>
      <ns0:c r="F46" s="84" t="n">
        <ns0:v>0.9</ns0:v>
      </ns0:c>
      <ns0:c r="G46" s="84">
        <ns0:f>F46-E46</ns0:f>
        <ns0:v>0.6</ns0:v>
      </ns0:c>
      <ns0:c r="H46" s="55" t="inlineStr">
        <ns0:is>
          <ns0:t>语义提升最大，但仍不解决 mask 上限</ns0:t>
        </ns0:is>
      </ns0:c>
    </ns0:row>
    <ns0:row r="47">
      <ns0:c r="A47" s="50" t="inlineStr">
        <ns0:is>
          <ns0:t>room0</ns0:t>
        </ns0:is>
      </ns0:c>
      <ns0:c r="B47" s="85" t="n">
        <ns0:v>0.5</ns0:v>
      </ns0:c>
      <ns0:c r="C47" s="85" t="n">
        <ns0:v>0.038658</ns0:v>
      </ns0:c>
      <ns0:c r="D47" s="85" t="n">
        <ns0:v>0.175676</ns0:v>
      </ns0:c>
      <ns0:c r="E47" s="85" t="n">
        <ns0:v>0.2</ns0:v>
      </ns0:c>
      <ns0:c r="F47" s="85" t="n">
        <ns0:v>0.5</ns0:v>
      </ns0:c>
      <ns0:c r="G47" s="85">
        <ns0:f>F47-E47</ns0:f>
        <ns0:v>0.3</ns0:v>
      </ns0:c>
      <ns0:c r="H47" s="50" t="inlineStr">
        <ns0:is>
          <ns0:t>主设置</ns0:t>
        </ns0:is>
      </ns0:c>
    </ns0:row>
    <ns0:row r="48">
      <ns0:c r="A48" s="55" t="inlineStr">
        <ns0:is>
          <ns0:t>room0</ns0:t>
        </ns0:is>
      </ns0:c>
      <ns0:c r="B48" s="84" t="n">
        <ns0:v>0.75</ns0:v>
      </ns0:c>
      <ns0:c r="C48" s="84" t="n">
        <ns0:v>0.016105</ns0:v>
      </ns0:c>
      <ns0:c r="D48" s="84" t="n">
        <ns0:v>0.127389</ns0:v>
      </ns0:c>
      <ns0:c r="E48" s="84" t="n">
        <ns0:v>0.375</ns0:v>
      </ns0:c>
      <ns0:c r="F48" s="84" t="n">
        <ns0:v>0.375</ns0:v>
      </ns0:c>
      <ns0:c r="G48" s="84">
        <ns0:f>F48-E48</ns0:f>
        <ns0:v>0</ns0:v>
      </ns0:c>
      <ns0:c r="H48" s="55" t="inlineStr">
        <ns0:is>
          <ns0:t>过严后无增益</ns0:t>
        </ns0:is>
      </ns0:c>
    </ns0:row>
    <ns0:row r="49">
      <ns0:c r="A49" s="50" t="inlineStr">
        <ns0:is>
          <ns0:t>office0</ns0:t>
        </ns0:is>
      </ns0:c>
      <ns0:c r="B49" s="85" t="n">
        <ns0:v>0.25</ns0:v>
      </ns0:c>
      <ns0:c r="C49" s="85" t="n">
        <ns0:v>0.011406</ns0:v>
      </ns0:c>
      <ns0:c r="D49" s="85" t="n">
        <ns0:v>0.085714</ns0:v>
      </ns0:c>
      <ns0:c r="E49" s="85" t="n">
        <ns0:v>0.333333</ns0:v>
      </ns0:c>
      <ns0:c r="F49" s="85" t="n">
        <ns0:v>1</ns0:v>
      </ns0:c>
      <ns0:c r="G49" s="85">
        <ns0:f>F49-E49</ns0:f>
        <ns0:v>0.666667</ns0:v>
      </ns0:c>
      <ns0:c r="H49" s="50" t="inlineStr">
        <ns0:is>
          <ns0:t>语义提升但几何低</ns0:t>
        </ns0:is>
      </ns0:c>
    </ns0:row>
    <ns0:row r="50">
      <ns0:c r="A50" s="55" t="inlineStr">
        <ns0:is>
          <ns0:t>office0</ns0:t>
        </ns0:is>
      </ns0:c>
      <ns0:c r="B50" s="84" t="n">
        <ns0:v>0.5</ns0:v>
      </ns0:c>
      <ns0:c r="C50" s="84" t="n">
        <ns0:v>0.011926</ns0:v>
      </ns0:c>
      <ns0:c r="D50" s="84" t="n">
        <ns0:v>0.09302299999999999</ns0:v>
      </ns0:c>
      <ns0:c r="E50" s="84" t="n">
        <ns0:v>0</ns0:v>
      </ns0:c>
      <ns0:c r="F50" s="84" t="n">
        <ns0:v>0.333333</ns0:v>
      </ns0:c>
      <ns0:c r="G50" s="84">
        <ns0:f>F50-E50</ns0:f>
        <ns0:v>0.333333</ns0:v>
      </ns0:c>
      <ns0:c r="H50" s="55" t="inlineStr">
        <ns0:is>
          <ns0:t>主设置</ns0:t>
        </ns0:is>
      </ns0:c>
    </ns0:row>
    <ns0:row r="51">
      <ns0:c r="A51" s="50" t="inlineStr">
        <ns0:is>
          <ns0:t>office0</ns0:t>
        </ns0:is>
      </ns0:c>
      <ns0:c r="B51" s="85" t="n">
        <ns0:v>0.75</ns0:v>
      </ns0:c>
      <ns0:c r="C51" s="85" t="n">
        <ns0:v>0.006601</ns0:v>
      </ns0:c>
      <ns0:c r="D51" s="85" t="n">
        <ns0:v>0.043478</ns0:v>
      </ns0:c>
      <ns0:c r="E51" s="85" t="n">
        <ns0:v>0</ns0:v>
      </ns0:c>
      <ns0:c r="F51" s="85" t="n">
        <ns0:v>0</ns0:v>
      </ns0:c>
      <ns0:c r="G51" s="85">
        <ns0:f>F51-E51</ns0:f>
        <ns0:v>0</ns0:v>
      </ns0:c>
      <ns0:c r="H51" s="50" t="inlineStr">
        <ns0:is>
          <ns0:t>过严导致退化</ns0:t>
        </ns0:is>
      </ns0:c>
    </ns0:row>
    <ns0:row r="52">
      <ns0:c r="A52" s="68" t="n"/>
      <ns0:c r="B52" s="68" t="n"/>
      <ns0:c r="C52" s="68" t="n"/>
      <ns0:c r="D52" s="68" t="n"/>
      <ns0:c r="E52" s="68" t="n"/>
      <ns0:c r="F52" s="68" t="n"/>
      <ns0:c r="G52" s="68" t="n"/>
      <ns0:c r="H52" s="68" t="n"/>
    </ns0:row>
    <ns0:row r="53" ht="22" customHeight="1" s="2">
      <ns0:c r="A53" s="46" t="inlineStr">
        <ns0:is>
          <ns0:t>G. 关系指标：另一项独立限制</ns0:t>
        </ns0:is>
      </ns0:c>
    </ns0:row>
    <ns0:row r="54" ht="28" customHeight="1" s="2">
      <ns0:c r="A54" s="61" t="inlineStr">
        <ns0:is>
          <ns0:t>场景</ns0:t>
        </ns0:is>
      </ns0:c>
      <ns0:c r="B54" s="61" t="inlineStr">
        <ns0:is>
          <ns0:t>B0 R@1</ns0:t>
        </ns0:is>
      </ns0:c>
      <ns0:c r="C54" s="61" t="inlineStr">
        <ns0:is>
          <ns0:t>O1 R@1</ns0:t>
        </ns0:is>
      </ns0:c>
      <ns0:c r="D54" s="61" t="inlineStr">
        <ns0:is>
          <ns0:t>O2 R@1</ns0:t>
        </ns0:is>
      </ns0:c>
      <ns0:c r="E54" s="61" t="inlineStr">
        <ns0:is>
          <ns0:t>O3 R@1</ns0:t>
        </ns0:is>
      </ns0:c>
      <ns0:c r="F54" s="61" t="inlineStr">
        <ns0:is>
          <ns0:t>端点审计</ns0:t>
        </ns0:is>
      </ns0:c>
      <ns0:c r="G54" s="61" t="inlineStr">
        <ns0:is>
          <ns0:t>额外结果</ns0:t>
        </ns0:is>
      </ns0:c>
      <ns0:c r="H54" s="61" t="inlineStr">
        <ns0:is>
          <ns0:t>结论</ns0:t>
        </ns0:is>
      </ns0:c>
    </ns0:row>
    <ns0:row r="55">
      <ns0:c r="A55" s="50" t="inlineStr">
        <ns0:is>
          <ns0:t>room0</ns0:t>
        </ns0:is>
      </ns0:c>
      <ns0:c r="B55" s="85" t="n">
        <ns0:v>0.64</ns0:v>
      </ns0:c>
      <ns0:c r="C55" s="85" t="n">
        <ns0:v>0.16</ns0:v>
      </ns0:c>
      <ns0:c r="D55" s="85" t="n">
        <ns0:v>0.28</ns0:v>
      </ns0:c>
      <ns0:c r="E55" s="85" t="n">
        <ns0:v>0.8</ns0:v>
      </ns0:c>
      <ns0:c r="F55" s="50" t="inlineStr">
        <ns0:is>
          <ns0:t>25/25</ns0:t>
        </ns0:is>
      </ns0:c>
      <ns0:c r="G55" s="50" t="inlineStr">
        <ns0:is>
          <ns0:t>O3 closed-world export：Recall 4%，F1 2%</ns0:t>
        </ns0:is>
      </ns0:c>
      <ns0:c r="H55" s="50" t="inlineStr">
        <ns0:is>
          <ns0:t>重组后 top-1 关系退化；需要独立校准</ns0:t>
        </ns0:is>
      </ns0:c>
    </ns0:row>
    <ns0:row r="56">
      <ns0:c r="A56" s="55" t="inlineStr">
        <ns0:is>
          <ns0:t>office0</ns0:t>
        </ns0:is>
      </ns0:c>
      <ns0:c r="B56" s="84" t="n">
        <ns0:v>0.75</ns0:v>
      </ns0:c>
      <ns0:c r="C56" s="84" t="n">
        <ns0:v>0.1875</ns0:v>
      </ns0:c>
      <ns0:c r="D56" s="84" t="n">
        <ns0:v>0.3125</ns0:v>
      </ns0:c>
      <ns0:c r="E56" s="84" t="n">
        <ns0:v>0.625</ns0:v>
      </ns0:c>
      <ns0:c r="F56" s="55" t="inlineStr">
        <ns0:is>
          <ns0:t>16/16</ns0:t>
        </ns0:is>
      </ns0:c>
      <ns0:c r="G56" s="55" t="inlineStr">
        <ns0:is>
          <ns0:t>O3 仍只有 62.5% R@1</ns0:t>
        </ns0:is>
      </ns0:c>
      <ns0:c r="H56" s="55" t="inlineStr">
        <ns0:is>
          <ns0:t>即使 GT mask，关系也未到完美</ns0:t>
        </ns0:is>
      </ns0:c>
    </ns0:row>
    <ns0:row r="57">
      <ns0:c r="A57" s="68" t="n"/>
      <ns0:c r="B57" s="68" t="n"/>
      <ns0:c r="C57" s="68" t="n"/>
      <ns0:c r="D57" s="68" t="n"/>
      <ns0:c r="E57" s="68" t="n"/>
      <ns0:c r="F57" s="68" t="n"/>
      <ns0:c r="G57" s="68" t="n"/>
      <ns0:c r="H57" s="68" t="n"/>
    </ns0:row>
    <ns0:row r="58" ht="22" customHeight="1" s="2">
      <ns0:c r="A58" s="46" t="inlineStr">
        <ns0:is>
          <ns0:t>H. LLaVA→GPT 语义消融</ns0:t>
        </ns0:is>
      </ns0:c>
    </ns0:row>
    <ns0:row r="59" ht="28" customHeight="1" s="2">
      <ns0:c r="A59" s="61" t="inlineStr">
        <ns0:is>
          <ns0:t>场景</ns0:t>
        </ns0:is>
      </ns0:c>
      <ns0:c r="B59" s="61" t="inlineStr">
        <ns0:is>
          <ns0:t>分支</ns0:t>
        </ns0:is>
      </ns0:c>
      <ns0:c r="C59" s="61" t="inlineStr">
        <ns0:is>
          <ns0:t>已应用</ns0:t>
        </ns0:is>
      </ns0:c>
      <ns0:c r="D59" s="61" t="inlineStr">
        <ns0:is>
          <ns0:t>可评样本</ns0:t>
        </ns0:is>
      </ns0:c>
      <ns0:c r="E59" s="61" t="inlineStr">
        <ns0:is>
          <ns0:t>应用率</ns0:t>
        </ns0:is>
      </ns0:c>
      <ns0:c r="F59" s="61" t="inlineStr">
        <ns0:is>
          <ns0:t>模型覆盖</ns0:t>
        </ns0:is>
      </ns0:c>
      <ns0:c r="G59" s="61" t="inlineStr">
        <ns0:is>
          <ns0:t>模型可评</ns0:t>
        </ns0:is>
      </ns0:c>
      <ns0:c r="H59" s="61" t="inlineStr">
        <ns0:is>
          <ns0:t>解释</ns0:t>
        </ns0:is>
      </ns0:c>
    </ns0:row>
    <ns0:row r="60">
      <ns0:c r="A60" s="55" t="inlineStr">
        <ns0:is>
          <ns0:t>room0</ns0:t>
        </ns0:is>
      </ns0:c>
      <ns0:c r="B60" s="55" t="inlineStr">
        <ns0:is>
          <ns0:t>GPT-only</ns0:t>
        </ns0:is>
      </ns0:c>
      <ns0:c r="C60" s="55" t="n">
        <ns0:v>1</ns0:v>
      </ns0:c>
      <ns0:c r="D60" s="55" t="n">
        <ns0:v>18</ns0:v>
      </ns0:c>
      <ns0:c r="E60" s="84">
        <ns0:f>C60/D60</ns0:f>
        <ns0:v>0.0555555555555556</ns0:v>
      </ns0:c>
      <ns0:c r="F60" s="55" t="n">
        <ns0:v>0</ns0:v>
      </ns0:c>
      <ns0:c r="G60" s="55" t="n">
        <ns0:v>16</ns0:v>
      </ns0:c>
      <ns0:c r="H60" s="55" t="inlineStr">
        <ns0:is>
          <ns0:t>仅 1 个修正被采用；模型可覆盖项为 0</ns0:t>
        </ns0:is>
      </ns0:c>
    </ns0:row>
    <ns0:row r="61">
      <ns0:c r="A61" s="50" t="inlineStr">
        <ns0:is>
          <ns0:t>room0</ns0:t>
        </ns0:is>
      </ns0:c>
      <ns0:c r="B61" s="50" t="inlineStr">
        <ns0:is>
          <ns0:t>LLaVA+GPT</ns0:t>
        </ns0:is>
      </ns0:c>
      <ns0:c r="C61" s="50" t="n">
        <ns0:v>1</ns0:v>
      </ns0:c>
      <ns0:c r="D61" s="50" t="n">
        <ns0:v>18</ns0:v>
      </ns0:c>
      <ns0:c r="E61" s="85">
        <ns0:f>C61/D61</ns0:f>
        <ns0:v>0.0555555555555556</ns0:v>
      </ns0:c>
      <ns0:c r="F61" s="50" t="n">
        <ns0:v>0</ns0:v>
      </ns0:c>
      <ns0:c r="G61" s="50" t="n">
        <ns0:v>15</ns0:v>
      </ns0:c>
      <ns0:c r="H61" s="50" t="inlineStr">
        <ns0:is>
          <ns0:t>与 GPT-only 相同</ns0:t>
        </ns0:is>
      </ns0:c>
    </ns0:row>
    <ns0:row r="62">
      <ns0:c r="A62" s="55" t="inlineStr">
        <ns0:is>
          <ns0:t>office0</ns0:t>
        </ns0:is>
      </ns0:c>
      <ns0:c r="B62" s="55" t="inlineStr">
        <ns0:is>
          <ns0:t>GPT-only</ns0:t>
        </ns0:is>
      </ns0:c>
      <ns0:c r="C62" s="55" t="n">
        <ns0:v>0</ns0:v>
      </ns0:c>
      <ns0:c r="D62" s="55" t="n">
        <ns0:v>8</ns0:v>
      </ns0:c>
      <ns0:c r="E62" s="84">
        <ns0:f>C62/D62</ns0:f>
        <ns0:v>0</ns0:v>
      </ns0:c>
      <ns0:c r="F62" s="55" t="n">
        <ns0:v>0</ns0:v>
      </ns0:c>
      <ns0:c r="G62" s="55" t="n">
        <ns0:v>7</ns0:v>
      </ns0:c>
      <ns0:c r="H62" s="55" t="inlineStr">
        <ns0:is>
          <ns0:t>没有修正被采用</ns0:t>
        </ns0:is>
      </ns0:c>
    </ns0:row>
    <ns0:row r="63">
      <ns0:c r="A63" s="50" t="inlineStr">
        <ns0:is>
          <ns0:t>office0</ns0:t>
        </ns0:is>
      </ns0:c>
      <ns0:c r="B63" s="50" t="inlineStr">
        <ns0:is>
          <ns0:t>LLaVA+GPT</ns0:t>
        </ns0:is>
      </ns0:c>
      <ns0:c r="C63" s="50" t="n">
        <ns0:v>0</ns0:v>
      </ns0:c>
      <ns0:c r="D63" s="50" t="n">
        <ns0:v>8</ns0:v>
      </ns0:c>
      <ns0:c r="E63" s="85">
        <ns0:f>C63/D63</ns0:f>
        <ns0:v>0</ns0:v>
      </ns0:c>
      <ns0:c r="F63" s="50" t="n">
        <ns0:v>0</ns0:v>
      </ns0:c>
      <ns0:c r="G63" s="50" t="n">
        <ns0:v>6</ns0:v>
      </ns0:c>
      <ns0:c r="H63" s="50" t="inlineStr">
        <ns0:is>
          <ns0:t>没有修正被采用</ns0:t>
        </ns0:is>
      </ns0:c>
    </ns0:row>
    <ns0:row r="64">
      <ns0:c r="A64" s="68" t="n"/>
      <ns0:c r="B64" s="68" t="n"/>
      <ns0:c r="C64" s="68" t="n"/>
      <ns0:c r="D64" s="68" t="n"/>
      <ns0:c r="E64" s="68" t="n"/>
      <ns0:c r="F64" s="68" t="n"/>
      <ns0:c r="G64" s="68" t="n"/>
      <ns0:c r="H64" s="68" t="n"/>
    </ns0:row>
    <ns0:row r="65" ht="22" customHeight="1" s="2">
      <ns0:c r="A65" s="46" t="inlineStr">
        <ns0:is>
          <ns0:t>I. 运行规模与审计</ns0:t>
        </ns0:is>
      </ns0:c>
    </ns0:row>
    <ns0:row r="66" ht="28" customHeight="1" s="2">
      <ns0:c r="A66" s="61" t="inlineStr">
        <ns0:is>
          <ns0:t>项目</ns0:t>
        </ns0:is>
      </ns0:c>
      <ns0:c r="B66" s="61" t="inlineStr">
        <ns0:is>
          <ns0:t>数值</ns0:t>
        </ns0:is>
      </ns0:c>
      <ns0:c r="C66" s="61" t="inlineStr">
        <ns0:is>
          <ns0:t>单位</ns0:t>
        </ns0:is>
      </ns0:c>
      <ns0:c r="D66" s="61" t="inlineStr">
        <ns0:is>
          <ns0:t>范围</ns0:t>
        </ns0:is>
      </ns0:c>
      <ns0:c r="E66" s="61" t="inlineStr">
        <ns0:is>
          <ns0:t>来源/审计</ns0:t>
        </ns0:is>
      </ns0:c>
      <ns0:c r="F66" s="61" t="inlineStr">
        <ns0:is>
          <ns0:t>模型</ns0:t>
        </ns0:is>
      </ns0:c>
      <ns0:c r="G66" s="61" t="inlineStr">
        <ns0:is>
          <ns0:t>状态</ns0:t>
        </ns0:is>
      </ns0:c>
      <ns0:c r="H66" s="61" t="inlineStr">
        <ns0:is>
          <ns0:t>说明</ns0:t>
        </ns0:is>
      </ns0:c>
    </ns0:row>
    <ns0:row r="67">
      <ns0:c r="A67" s="50" t="inlineStr">
        <ns0:is>
          <ns0:t>关系预测</ns0:t>
        </ns0:is>
      </ns0:c>
      <ns0:c r="B67" s="87" t="n">
        <ns0:v>6507</ns0:v>
      </ns0:c>
      <ns0:c r="C67" s="50" t="inlineStr">
        <ns0:is>
          <ns0:t>次</ns0:t>
        </ns0:is>
      </ns0:c>
      <ns0:c r="D67" s="50" t="inlineStr">
        <ns0:is>
          <ns0:t>两场景</ns0:t>
        </ns0:is>
      </ns0:c>
      <ns0:c r="E67" s="50" t="inlineStr">
        <ns0:is>
          <ns0:t>正式运行记录</ns0:t>
        </ns0:is>
      </ns0:c>
      <ns0:c r="F67" s="50" t="inlineStr">
        <ns0:is>
          <ns0:t>5.6 sol/terra 混合</ns0:t>
        </ns0:is>
      </ns0:c>
      <ns0:c r="G67" s="50" t="inlineStr">
        <ns0:is>
          <ns0:t>完成</ns0:t>
        </ns0:is>
      </ns0:c>
      <ns0:c r="H67" s="50" t="inlineStr">
        <ns0:is>
          <ns0:t>总 token 27,384,967</ns0:t>
        </ns0:is>
      </ns0:c>
    </ns0:row>
    <ns0:row r="68">
      <ns0:c r="A68" s="55" t="inlineStr">
        <ns0:is>
          <ns0:t>关系 token</ns0:t>
        </ns0:is>
      </ns0:c>
      <ns0:c r="B68" s="88" t="n">
        <ns0:v>27384967</ns0:v>
      </ns0:c>
      <ns0:c r="C68" s="55" t="inlineStr">
        <ns0:is>
          <ns0:t>tokens</ns0:t>
        </ns0:is>
      </ns0:c>
      <ns0:c r="D68" s="55" t="inlineStr">
        <ns0:is>
          <ns0:t>两场景</ns0:t>
        </ns0:is>
      </ns0:c>
      <ns0:c r="E68" s="55" t="inlineStr">
        <ns0:is>
          <ns0:t>prompt 22,854,999</ns0:t>
        </ns0:is>
      </ns0:c>
      <ns0:c r="F68" s="55" t="inlineStr">
        <ns0:is>
          <ns0:t>completion 4,529,968</ns0:t>
        </ns0:is>
      </ns0:c>
      <ns0:c r="G68" s="55" t="inlineStr">
        <ns0:is>
          <ns0:t>完成</ns0:t>
        </ns0:is>
      </ns0:c>
      <ns0:c r="H68" s="55" t="inlineStr">
        <ns0:is>
          <ns0:t>五个 API 并行</ns0:t>
        </ns0:is>
      </ns0:c>
    </ns0:row>
    <ns0:row r="69">
      <ns0:c r="A69" s="50" t="inlineStr">
        <ns0:is>
          <ns0:t>语义记录</ns0:t>
        </ns0:is>
      </ns0:c>
      <ns0:c r="B69" s="87" t="n">
        <ns0:v>156</ns0:v>
      </ns0:c>
      <ns0:c r="C69" s="50" t="inlineStr">
        <ns0:is>
          <ns0:t>条</ns0:t>
        </ns0:is>
      </ns0:c>
      <ns0:c r="D69" s="50" t="inlineStr">
        <ns0:is>
          <ns0:t>两场景</ns0:t>
        </ns0:is>
      </ns0:c>
      <ns0:c r="E69" s="50" t="inlineStr">
        <ns0:is>
          <ns0:t>总 token 223,924</ns0:t>
        </ns0:is>
      </ns0:c>
      <ns0:c r="F69" s="50" t="inlineStr">
        <ns0:is>
          <ns0:t>GPT/LLaVA 消融</ns0:t>
        </ns0:is>
      </ns0:c>
      <ns0:c r="G69" s="50" t="inlineStr">
        <ns0:is>
          <ns0:t>完成</ns0:t>
        </ns0:is>
      </ns0:c>
      <ns0:c r="H69" s="50" t="str"/>
    </ns0:row>
    <ns0:row r="70">
      <ns0:c r="A70" s="55" t="inlineStr">
        <ns0:is>
          <ns0:t>room0 O3 重跑</ns0:t>
        </ns0:is>
      </ns0:c>
      <ns0:c r="B70" s="88" t="n">
        <ns0:v>2330</ns0:v>
      </ns0:c>
      <ns0:c r="C70" s="55" t="inlineStr">
        <ns0:is>
          <ns0:t>条</ns0:t>
        </ns0:is>
      </ns0:c>
      <ns0:c r="D70" s="55" t="inlineStr">
        <ns0:is>
          <ns0:t>room0</ns0:t>
        </ns0:is>
      </ns0:c>
      <ns0:c r="E70" s="55" t="inlineStr">
        <ns0:is>
          <ns0:t>2330/2330 完整审计</ns0:t>
        </ns0:is>
      </ns0:c>
      <ns0:c r="F70" s="55" t="inlineStr">
        <ns0:is>
          <ns0:t>2137 sol + 193 terra</ns0:t>
        </ns0:is>
      </ns0:c>
      <ns0:c r="G70" s="55" t="inlineStr">
        <ns0:is>
          <ns0:t>稳健</ns0:t>
        </ns0:is>
      </ns0:c>
      <ns0:c r="H70" s="55" t="inlineStr">
        <ns0:is>
          <ns0:t>混用不改变主结论</ns0:t>
        </ns0:is>
      </ns0:c>
    </ns0:row>
    <ns0:row r="71">
      <ns0:c r="A71" s="68" t="n"/>
      <ns0:c r="B71" s="68" t="n"/>
      <ns0:c r="C71" s="68" t="n"/>
      <ns0:c r="D71" s="68" t="n"/>
      <ns0:c r="E71" s="68" t="n"/>
      <ns0:c r="F71" s="68" t="n"/>
      <ns0:c r="G71" s="68" t="n"/>
      <ns0:c r="H71" s="68" t="n"/>
    </ns0:row>
    <ns0:row r="72" ht="22" customHeight="1" s="2">
      <ns0:c r="A72" s="46" t="inlineStr">
        <ns0:is>
          <ns0:t>J. 局限、口径与来源</ns0:t>
        </ns0:is>
      </ns0:c>
    </ns0:row>
    <ns0:row r="73" ht="32" customHeight="1" s="2">
      <ns0:c r="A73" s="51" t="inlineStr">
        <ns0:is>
          <ns0:t>局限1</ns0:t>
        </ns0:is>
      </ns0:c>
      <ns0:c r="B73" s="262" t="inlineStr">
        <ns0:is>
          <ns0:t>仅 room0、office0 两个正式场景；可判断机制与大幅提升假设，不代表全数据集均值。</ns0:t>
        </ns0:is>
      </ns0:c>
      <ns0:c r="C73" s="158" t="n"/>
      <ns0:c r="D73" s="158" t="n"/>
      <ns0:c r="E73" s="158" t="n"/>
      <ns0:c r="F73" s="158" t="n"/>
      <ns0:c r="G73" s="158" t="n"/>
      <ns0:c r="H73" s="159" t="n"/>
    </ns0:row>
    <ns0:row r="74" ht="32" customHeight="1" s="2">
      <ns0:c r="A74" s="56" t="inlineStr">
        <ns0:is>
          <ns0:t>局限2</ns0:t>
        </ns0:is>
      </ns0:c>
      <ns0:c r="B74" s="263" t="inlineStr">
        <ns0:is>
          <ns0:t>O1 是保持当前 mask 的实例重组，不是 false split/merge 的绝对理论上限。</ns0:t>
        </ns0:is>
      </ns0:c>
      <ns0:c r="C74" s="158" t="n"/>
      <ns0:c r="D74" s="158" t="n"/>
      <ns0:c r="E74" s="158" t="n"/>
      <ns0:c r="F74" s="158" t="n"/>
      <ns0:c r="G74" s="158" t="n"/>
      <ns0:c r="H74" s="159" t="n"/>
    </ns0:row>
    <ns0:row r="75" ht="32" customHeight="1" s="2">
      <ns0:c r="A75" s="51" t="inlineStr">
        <ns0:is>
          <ns0:t>局限3</ns0:t>
        </ns0:is>
      </ns0:c>
      <ns0:c r="B75" s="262" t="inlineStr">
        <ns0:is>
          <ns0:t>office0 的 B0 语义分母为 0，语义项按 0 纳入 Q；需结合分项指标解读。</ns0:t>
        </ns0:is>
      </ns0:c>
      <ns0:c r="C75" s="158" t="n"/>
      <ns0:c r="D75" s="158" t="n"/>
      <ns0:c r="E75" s="158" t="n"/>
      <ns0:c r="F75" s="158" t="n"/>
      <ns0:c r="G75" s="158" t="n"/>
      <ns0:c r="H75" s="159" t="n"/>
    </ns0:row>
    <ns0:row r="76" ht="32" customHeight="1" s="2">
      <ns0:c r="A76" s="56" t="inlineStr">
        <ns0:is>
          <ns0:t>局限4</ns0:t>
        </ns0:is>
      </ns0:c>
      <ns0:c r="B76" s="263" t="inlineStr">
        <ns0:is>
          <ns0:t>O3 关系阶段混合使用 5.6 sol/terra；room0 已完成 2330/2330 审计，主结论稳健。</ns0:t>
        </ns0:is>
      </ns0:c>
      <ns0:c r="C76" s="158" t="n"/>
      <ns0:c r="D76" s="158" t="n"/>
      <ns0:c r="E76" s="158" t="n"/>
      <ns0:c r="F76" s="158" t="n"/>
      <ns0:c r="G76" s="158" t="n"/>
      <ns0:c r="H76" s="159" t="n"/>
    </ns0:row>
    <ns0:row r="77" ht="32" customHeight="1" s="2">
      <ns0:c r="A77" s="51" t="inlineStr">
        <ns0:is>
          <ns0:t>来源</ns0:t>
        </ns0:is>
      </ns0:c>
      <ns0:c r="B77" s="262" t="inlineStr">
        <ns0:is>
          <ns0:t>本地总结：outputs/oracle_three_error_20260828/三类错误Oracle实验完整总结_中文版_20260829.md；正式产物保留在服务器 beauty/。</ns0:t>
        </ns0:is>
      </ns0:c>
      <ns0:c r="C77" s="158" t="n"/>
      <ns0:c r="D77" s="158" t="n"/>
      <ns0:c r="E77" s="158" t="n"/>
      <ns0:c r="F77" s="158" t="n"/>
      <ns0:c r="G77" s="158" t="n"/>
      <ns0:c r="H77" s="159" t="n"/>
    </ns0:row>
  </ns0:sheetData>
  <ns0:mergeCells count="22">
    <ns0:mergeCell ref="B74:H74"/>
    <ns0:mergeCell ref="C22:H22"/>
    <ns0:mergeCell ref="A24:H24"/>
    <ns0:mergeCell ref="B6:H6"/>
    <ns0:mergeCell ref="A1:H1"/>
    <ns0:mergeCell ref="B5:H5"/>
    <ns0:mergeCell ref="B76:H76"/>
    <ns0:mergeCell ref="A65:H65"/>
    <ns0:mergeCell ref="A16:H16"/>
    <ns0:mergeCell ref="B75:H75"/>
    <ns0:mergeCell ref="B7:H7"/>
    <ns0:mergeCell ref="A2:H2"/>
    <ns0:mergeCell ref="B77:H77"/>
    <ns0:mergeCell ref="A4:H4"/>
    <ns0:mergeCell ref="B8:H8"/>
    <ns0:mergeCell ref="A53:H53"/>
    <ns0:mergeCell ref="A35:H35"/>
    <ns0:mergeCell ref="A72:H72"/>
    <ns0:mergeCell ref="B73:H73"/>
    <ns0:mergeCell ref="A10:H10"/>
    <ns0:mergeCell ref="A44:H44"/>
    <ns0:mergeCell ref="A58:H58"/>
  </ns0:mergeCells>
  <ns0:conditionalFormatting sqref="F12:F14">
    <ns0:cfRule type="cellIs" priority="1" operator="lessThan" dxfId="0">
      <ns0:formula>0.4</ns0:formula>
    </ns0:cfRule>
    <ns0:cfRule type="cellIs" priority="2" operator="between" dxfId="1">
      <ns0:formula>0.4</ns0:formula>
      <ns0:formula>0.6</ns0:formula>
    </ns0:cfRule>
    <ns0:cfRule type="cellIs" priority="3" operator="greaterThanOrEqual" dxfId="2">
      <ns0:formula>0.6</ns0:formula>
    </ns0:cfRule>
  </ns0:conditionalFormatting>
  <ns0:pageMargins left="0.7" right="0.7" top="0.75" bottom="0.75" header="0.3" footer="0.3"/>
  <ns0:legacyDrawing ns1:id="anysvml"/>
</ns0:worksheet>
</file>

<file path=xl/worksheets/sheet13.xml><?xml version="1.0" encoding="utf-8"?>
<ns0:worksheet xmlns:ns0="http://schemas.openxmlformats.org/spreadsheetml/2006/main" xmlns:ns1="http://schemas.openxmlformats.org/officeDocument/2006/relationships">
  <ns0:sheetPr>
    <ns0:tabColor rgb="FF70AD47"/>
    <ns0:outlinePr summaryBelow="1" summaryRight="1"/>
    <ns0:pageSetUpPr/>
  </ns0:sheetPr>
  <ns0:dimension ref="A1:J53"/>
  <ns0:sheetViews>
    <ns0:sheetView showGridLines="0" workbookViewId="0">
      <ns0:pane ySplit="4" topLeftCell="A5" activePane="bottomLeft" state="frozen"/>
      <ns0:selection activeCell="A1" sqref="A1"/>
    </ns0:sheetView>
  </ns0:sheetViews>
  <ns0:sheetFormatPr baseColWidth="8" defaultRowHeight="15"/>
  <ns0:cols>
    <ns0:col width="18" customWidth="1" style="2" min="1" max="1"/>
    <ns0:col width="18" customWidth="1" style="2" min="2" max="2"/>
    <ns0:col width="16" customWidth="1" style="2" min="3" max="3"/>
    <ns0:col width="16" customWidth="1" style="2" min="4" max="4"/>
    <ns0:col width="16" customWidth="1" style="2" min="5" max="5"/>
    <ns0:col width="16" customWidth="1" style="2" min="6" max="6"/>
    <ns0:col width="16" customWidth="1" style="2" min="7" max="7"/>
    <ns0:col width="18" customWidth="1" style="2" min="8" max="8"/>
    <ns0:col width="24" customWidth="1" style="2" min="9" max="9"/>
    <ns0:col width="52" customWidth="1" style="2" min="10" max="10"/>
  </ns0:cols>
  <ns0:sheetData>
    <ns0:row r="1" ht="30" customHeight="1" s="2">
      <ns0:c r="A1" s="89" t="inlineStr">
        <ns0:is>
          <ns0:t>可修性对比实验总览：最终修复方向决策</ns0:t>
        </ns0:is>
      </ns0:c>
    </ns0:row>
    <ns0:row r="2" ht="36" customHeight="1" s="2">
      <ns0:c r="A2" s="90" t="inlineStr">
        <ns0:is>
          <ns0:t>2026-08-30；Replica room0 + office0，每场景 400 帧（stride=5）；完整场景均从空图在线构建。场景是统计单位，n=2 只报配对变化，不报置信区间。</ns0:t>
        </ns0:is>
      </ns0:c>
    </ns0:row>
    <ns0:row r="3"/>
    <ns0:row r="4" ht="24" customHeight="1" s="2">
      <ns0:c r="A4" s="91" t="inlineStr">
        <ns0:is>
          <ns0:t>A. 先看结论</ns0:t>
        </ns0:is>
      </ns0:c>
      <ns0:c r="B4" s="120" t="n"/>
      <ns0:c r="C4" s="120" t="n"/>
      <ns0:c r="D4" s="120" t="n"/>
      <ns0:c r="E4" s="120" t="n"/>
      <ns0:c r="F4" s="120" t="n"/>
      <ns0:c r="G4" s="120" t="n"/>
      <ns0:c r="H4" s="120" t="n"/>
      <ns0:c r="I4" s="120" t="n"/>
      <ns0:c r="J4" s="120" t="n"/>
    </ns0:row>
    <ns0:row r="5" ht="30" customHeight="1" s="2">
      <ns0:c r="A5" s="92" t="inlineStr">
        <ns0:is>
          <ns0:t>问题</ns0:t>
        </ns0:is>
      </ns0:c>
      <ns0:c r="B5" s="92" t="inlineStr">
        <ns0:is>
          <ns0:t>结论</ns0:t>
        </ns0:is>
      </ns0:c>
      <ns0:c r="C5" s="92" t="inlineStr">
        <ns0:is>
          <ns0:t>核心数据</ns0:t>
        </ns0:is>
      </ns0:c>
      <ns0:c r="D5" s="92" t="inlineStr">
        <ns0:is>
          <ns0:t>证据强度</ns0:t>
        </ns0:is>
      </ns0:c>
      <ns0:c r="E5" s="92" t="inlineStr">
        <ns0:is>
          <ns0:t>工程决策</ns0:t>
        </ns0:is>
      </ns0:c>
      <ns0:c r="F5" s="92" t="inlineStr"/>
      <ns0:c r="G5" s="92" t="inlineStr"/>
      <ns0:c r="H5" s="92" t="inlineStr"/>
      <ns0:c r="I5" s="92" t="inlineStr"/>
      <ns0:c r="J5" s="92" t="inlineStr">
        <ns0:is>
          <ns0:t>边界</ns0:t>
        </ns0:is>
      </ns0:c>
    </ns0:row>
    <ns0:row r="6" ht="48" customHeight="1" s="2">
      <ns0:c r="A6" s="93" t="inlineStr">
        <ns0:is>
          <ns0:t>仅修 false split / false merge 是否足够？</ns0:t>
        </ns0:is>
      </ns0:c>
      <ns0:c r="B6" s="93" t="inlineStr">
        <ns0:is>
          <ns0:t>不足够，只能恢复小部分几何差距</ns0:t>
        </ns0:is>
      </ns0:c>
      <ns0:c r="C6" s="93" t="inlineStr">
        <ns0:is>
          <ns0:t>OA 差距恢复：room 12.1%；office 2.6%</ns0:t>
        </ns0:is>
      </ns0:c>
      <ns0:c r="D6" s="93" t="inlineStr">
        <ns0:is>
          <ns0:t>中高；两场景同方向</ns0:t>
        </ns0:is>
      </ns0:c>
      <ns0:c r="E6" s="93" t="inlineStr">
        <ns0:is>
          <ns0:t>不把最终节点重组作为主线</ns0:t>
        </ns0:is>
      </ns0:c>
      <ns0:c r="F6" s="93" t="inlineStr"/>
      <ns0:c r="G6" s="93" t="inlineStr"/>
      <ns0:c r="H6" s="93" t="inlineStr"/>
      <ns0:c r="I6" s="93" t="inlineStr"/>
      <ns0:c r="J6" s="93" t="inlineStr">
        <ns0:is>
          <ns0:t>OA 是修正后的在线关联 Oracle，不使用最终 B0 lineage。</ns0:t>
        </ns0:is>
      </ns0:c>
    </ns0:row>
    <ns0:row r="7" ht="48" customHeight="1" s="2">
      <ns0:c r="A7" s="94" t="inlineStr">
        <ns0:is>
          <ns0:t>错误语义单独修复值不值得？</ns0:t>
        </ns0:is>
      </ns0:c>
      <ns0:c r="B7" s="94" t="inlineStr">
        <ns0:is>
          <ns0:t>目前无法定量</ns0:t>
        </ns0:is>
      </ns0:c>
      <ns0:c r="C7" s="94" t="inlineStr">
        <ns0:is>
          <ns0:t>严格一对一结构可比队列：room 0，office 0</ns0:t>
        </ns0:is>
      </ns0:c>
      <ns0:c r="D7" s="94" t="inlineStr">
        <ns0:is>
          <ns0:t>未识别</ns0:t>
        </ns0:is>
      </ns0:c>
      <ns0:c r="E7" s="94" t="inlineStr">
        <ns0:is>
          <ns0:t>先通过结构可靠性门控，再做语义验证/改标</ns0:t>
        </ns0:is>
      </ns0:c>
      <ns0:c r="F7" s="94" t="inlineStr"/>
      <ns0:c r="G7" s="94" t="inlineStr"/>
      <ns0:c r="H7" s="94" t="inlineStr"/>
      <ns0:c r="I7" s="94" t="inlineStr"/>
      <ns0:c r="J7" s="94" t="inlineStr">
        <ns0:is>
          <ns0:t>不得把弱 Hungarian 匹配当作纯语义结论。</ns0:t>
        </ns0:is>
      </ns0:c>
    </ns0:row>
    <ns0:row r="8" ht="54" customHeight="1" s="2">
      <ns0:c r="A8" s="95" t="inlineStr">
        <ns0:is>
          <ns0:t>最大可改善空间在哪？</ns0:t>
        </ns0:is>
      </ns0:c>
      <ns0:c r="B8" s="95" t="inlineStr">
        <ns0:is>
          <ns0:t>观测级 mask 分区/清理是主导项</ns0:t>
        </ns0:is>
      </ns0:c>
      <ns0:c r="C8" s="95" t="inlineStr">
        <ns0:is>
          <ns0:t>OM_all 差距恢复：room 81.5%；office 85.3%</ns0:t>
        </ns0:is>
      </ns0:c>
      <ns0:c r="D8" s="95" t="inlineStr">
        <ns0:is>
          <ns0:t>高；3个体素尺度 + FROSS 敏感性方向一致</ns0:t>
        </ns0:is>
      </ns0:c>
      <ns0:c r="E8" s="95" t="inlineStr">
        <ns0:is>
          <ns0:t>provenance mask partition/cleanup → 局部 replay → verify/rollback</ns0:t>
        </ns0:is>
      </ns0:c>
      <ns0:c r="F8" s="95" t="inlineStr"/>
      <ns0:c r="G8" s="95" t="inlineStr"/>
      <ns0:c r="H8" s="95" t="inlineStr"/>
      <ns0:c r="I8" s="95" t="inlineStr"/>
      <ns0:c r="J8" s="95" t="inlineStr">
        <ns0:is>
          <ns0:t>OM_all 使用 GT 做能力 Oracle，是上限证据，不是已实现方法。</ns0:t>
        </ns0:is>
      </ns0:c>
    </ns0:row>
    <ns0:row r="9"/>
    <ns0:row r="10"/>
    <ns0:row r="11" ht="24" customHeight="1" s="2">
      <ns0:c r="A11" s="91" t="inlineStr">
        <ns0:is>
          <ns0:t>B. 对比条件是什么</ns0:t>
        </ns0:is>
      </ns0:c>
      <ns0:c r="B11" s="120" t="n"/>
      <ns0:c r="C11" s="120" t="n"/>
      <ns0:c r="D11" s="120" t="n"/>
      <ns0:c r="E11" s="120" t="n"/>
      <ns0:c r="F11" s="120" t="n"/>
      <ns0:c r="G11" s="120" t="n"/>
      <ns0:c r="H11" s="120" t="n"/>
      <ns0:c r="I11" s="120" t="n"/>
      <ns0:c r="J11" s="120" t="n"/>
    </ns0:row>
    <ns0:row r="12" ht="30" customHeight="1" s="2">
      <ns0:c r="A12" s="92" t="inlineStr">
        <ns0:is>
          <ns0:t>缩写</ns0:t>
        </ns0:is>
      </ns0:c>
      <ns0:c r="B12" s="92" t="inlineStr">
        <ns0:is>
          <ns0:t>条件</ns0:t>
        </ns0:is>
      </ns0:c>
      <ns0:c r="C12" s="92" t="inlineStr">
        <ns0:is>
          <ns0:t>怎么实现</ns0:t>
        </ns0:is>
      </ns0:c>
      <ns0:c r="D12" s="92" t="inlineStr">
        <ns0:is>
          <ns0:t>目的</ns0:t>
        </ns0:is>
      </ns0:c>
      <ns0:c r="E12" s="92" t="inlineStr">
        <ns0:is>
          <ns0:t>是否在线从空图</ns0:t>
        </ns0:is>
      </ns0:c>
      <ns0:c r="F12" s="92" t="inlineStr">
        <ns0:is>
          <ns0:t>是否可直接部署</ns0:t>
        </ns0:is>
      </ns0:c>
      <ns0:c r="G12" s="92" t="inlineStr"/>
      <ns0:c r="H12" s="92" t="inlineStr"/>
      <ns0:c r="I12" s="92" t="inlineStr"/>
      <ns0:c r="J12" s="92" t="inlineStr">
        <ns0:is>
          <ns0:t>解释</ns0:t>
        </ns0:is>
      </ns0:c>
    </ns0:row>
    <ns0:row r="13" ht="45" customHeight="1" s="2">
      <ns0:c r="A13" s="96" t="inlineStr">
        <ns0:is>
          <ns0:t>B0</ns0:t>
        </ns0:is>
      </ns0:c>
      <ns0:c r="B13" s="96" t="inlineStr">
        <ns0:is>
          <ns0:t>当前系统</ns0:t>
        </ns0:is>
      </ns0:c>
      <ns0:c r="C13" s="96" t="inlineStr">
        <ns0:is>
          <ns0:t>原始检测/mask/关联/语义</ns0:t>
        </ns0:is>
      </ns0:c>
      <ns0:c r="D13" s="96" t="inlineStr">
        <ns0:is>
          <ns0:t>基线</ns0:t>
        </ns0:is>
      </ns0:c>
      <ns0:c r="E13" s="96" t="inlineStr">
        <ns0:is>
          <ns0:t>是</ns0:t>
        </ns0:is>
      </ns0:c>
      <ns0:c r="F13" s="96" t="inlineStr">
        <ns0:is>
          <ns0:t>是</ns0:t>
        </ns0:is>
      </ns0:c>
      <ns0:c r="G13" s="96" t="inlineStr"/>
      <ns0:c r="H13" s="96" t="inlineStr"/>
      <ns0:c r="I13" s="96" t="inlineStr"/>
      <ns0:c r="J13" s="96" t="inlineStr">
        <ns0:is>
          <ns0:t>与当前 ali-dev 等价的参照。</ns0:t>
        </ns0:is>
      </ns0:c>
    </ns0:row>
    <ns0:row r="14" ht="45" customHeight="1" s="2">
      <ns0:c r="A14" s="97" t="inlineStr">
        <ns0:is>
          <ns0:t>OA</ns0:t>
        </ns0:is>
      </ns0:c>
      <ns0:c r="B14" s="97" t="inlineStr">
        <ns0:is>
          <ns0:t>理想在线关联</ns0:t>
        </ns0:is>
      </ns0:c>
      <ns0:c r="C14" s="97" t="inlineStr">
        <ns0:is>
          <ns0:t>保留有效处理后 mask；用 GT ID 强制正确关联；未分配观测在独立原生图在线处理</ns0:t>
        </ns0:is>
      </ns0:c>
      <ns0:c r="D14" s="97" t="inlineStr">
        <ns0:is>
          <ns0:t>测 split/merge 上限</ns0:t>
        </ns0:is>
      </ns0:c>
      <ns0:c r="E14" s="97" t="inlineStr">
        <ns0:is>
          <ns0:t>是</ns0:t>
        </ns0:is>
      </ns0:c>
      <ns0:c r="F14" s="97" t="inlineStr">
        <ns0:is>
          <ns0:t>否</ns0:t>
        </ns0:is>
      </ns0:c>
      <ns0:c r="G14" s="97" t="inlineStr"/>
      <ns0:c r="H14" s="97" t="inlineStr"/>
      <ns0:c r="I14" s="97" t="inlineStr"/>
      <ns0:c r="J14" s="97" t="inlineStr">
        <ns0:is>
          <ns0:t>不用未来帧和最终 B0 lineage。</ns0:t>
        </ns0:is>
      </ns0:c>
    </ns0:row>
    <ns0:row r="15" ht="45" customHeight="1" s="2">
      <ns0:c r="A15" s="96" t="inlineStr">
        <ns0:is>
          <ns0:t>OP</ns0:t>
        </ns0:is>
      </ns0:c>
      <ns0:c r="B15" s="96" t="inlineStr">
        <ns0:is>
          <ns0:t>OA + 恢复被拒的 raw 观测</ns0:t>
        </ns0:is>
      </ns0:c>
      <ns0:c r="C15" s="96" t="inlineStr">
        <ns0:is>
          <ns0:t>补回未生成有效 3D 观测但 owner 足够清晰的 raw mask</ns0:t>
        </ns0:is>
      </ns0:c>
      <ns0:c r="D15" s="96" t="inlineStr">
        <ns0:is>
          <ns0:t>测过滤/初始化损失</ns0:t>
        </ns0:is>
      </ns0:c>
      <ns0:c r="E15" s="96" t="inlineStr">
        <ns0:is>
          <ns0:t>是</ns0:t>
        </ns0:is>
      </ns0:c>
      <ns0:c r="F15" s="96" t="inlineStr">
        <ns0:is>
          <ns0:t>否</ns0:t>
        </ns0:is>
      </ns0:c>
      <ns0:c r="G15" s="96" t="inlineStr"/>
      <ns0:c r="H15" s="96" t="inlineStr"/>
      <ns0:c r="I15" s="96" t="inlineStr"/>
      <ns0:c r="J15" s="96" t="inlineStr">
        <ns0:is>
          <ns0:t>只恢复可识别 owner 的丢失观测。</ns0:t>
        </ns0:is>
      </ns0:c>
    </ns0:row>
    <ns0:row r="16" ht="45" customHeight="1" s="2">
      <ns0:c r="A16" s="97" t="inlineStr">
        <ns0:is>
          <ns0:t>OM_pure</ns0:t>
        </ns0:is>
      </ns0:c>
      <ns0:c r="B16" s="97" t="inlineStr">
        <ns0:is>
          <ns0:t>owner 可识别的 mask 清理</ns0:t>
        </ns0:is>
      </ns0:c>
      <ns0:c r="C16" s="97" t="inlineStr">
        <ns0:is>
          <ns0:t>仅用 raw proposal 中已存在的像素，按 GT owner 裁剪污染</ns0:t>
        </ns0:is>
      </ns0:c>
      <ns0:c r="D16" s="97" t="inlineStr">
        <ns0:is>
          <ns0:t>测可靠 mask 清理上限</ns0:t>
        </ns0:is>
      </ns0:c>
      <ns0:c r="E16" s="97" t="inlineStr">
        <ns0:is>
          <ns0:t>是</ns0:t>
        </ns0:is>
      </ns0:c>
      <ns0:c r="F16" s="97" t="inlineStr">
        <ns0:is>
          <ns0:t>否</ns0:t>
        </ns0:is>
      </ns0:c>
      <ns0:c r="G16" s="97" t="inlineStr"/>
      <ns0:c r="H16" s="97" t="inlineStr"/>
      <ns0:c r="I16" s="97" t="inlineStr"/>
      <ns0:c r="J16" s="97" t="inlineStr">
        <ns0:is>
          <ns0:t>不增加 raw mask 外的像素。</ns0:t>
        </ns0:is>
      </ns0:c>
    </ns0:row>
    <ns0:row r="17" ht="45" customHeight="1" s="2">
      <ns0:c r="A17" s="96" t="inlineStr">
        <ns0:is>
          <ns0:t>OM_all</ns0:t>
        </ns0:is>
      </ns0:c>
      <ns0:c r="B17" s="96" t="inlineStr">
        <ns0:is>
          <ns0:t>全 raw 支持的 partition + cleanup</ns0:t>
        </ns0:is>
      </ns0:c>
      <ns0:c r="C17" s="96" t="inlineStr">
        <ns0:is>
          <ns0:t>所有重叠 raw proposals 按 GT 分区，同时压制 FP</ns0:t>
        </ns0:is>
      </ns0:c>
      <ns0:c r="D17" s="96" t="inlineStr">
        <ns0:is>
          <ns0:t>测观测级分区/清理上限</ns0:t>
        </ns0:is>
      </ns0:c>
      <ns0:c r="E17" s="96" t="inlineStr">
        <ns0:is>
          <ns0:t>是</ns0:t>
        </ns0:is>
      </ns0:c>
      <ns0:c r="F17" s="96" t="inlineStr">
        <ns0:is>
          <ns0:t>否</ns0:t>
        </ns0:is>
      </ns0:c>
      <ns0:c r="G17" s="96" t="inlineStr"/>
      <ns0:c r="H17" s="96" t="inlineStr"/>
      <ns0:c r="I17" s="96" t="inlineStr"/>
      <ns0:c r="J17" s="96" t="inlineStr">
        <ns0:is>
          <ns0:t>当前最高影响能力，但尚未集成到 pre-association sparse replay。</ns0:t>
        </ns0:is>
      </ns0:c>
    </ns0:row>
    <ns0:row r="18" ht="45" customHeight="1" s="2">
      <ns0:c r="A18" s="97" t="inlineStr">
        <ns0:is>
          <ns0:t>OG</ns0:t>
        </ns0:is>
      </ns0:c>
      <ns0:c r="B18" s="97" t="inlineStr">
        <ns0:is>
          <ns0:t>GT mask + GT 关联 + GT 语义</ns0:t>
        </ns0:is>
      </ns0:c>
      <ns0:c r="C18" s="97" t="inlineStr">
        <ns0:is>
          <ns0:t>每帧完整 GT 观测</ns0:t>
        </ns0:is>
      </ns0:c>
      <ns0:c r="D18" s="97" t="inlineStr">
        <ns0:is>
          <ns0:t>接近总上限</ns0:t>
        </ns0:is>
      </ns0:c>
      <ns0:c r="E18" s="97" t="inlineStr">
        <ns0:is>
          <ns0:t>是</ns0:t>
        </ns0:is>
      </ns0:c>
      <ns0:c r="F18" s="97" t="inlineStr">
        <ns0:is>
          <ns0:t>否</ns0:t>
        </ns0:is>
      </ns0:c>
      <ns0:c r="G18" s="97" t="inlineStr"/>
      <ns0:c r="H18" s="97" t="inlineStr"/>
      <ns0:c r="I18" s="97" t="inlineStr"/>
      <ns0:c r="J18" s="97" t="inlineStr">
        <ns0:is>
          <ns0:t>与自身比较为 1 只是标尺，不是方法得分。</ns0:t>
        </ns0:is>
      </ns0:c>
    </ns0:row>
    <ns0:row r="19"/>
    <ns0:row r="20" ht="24" customHeight="1" s="2">
      <ns0:c r="A20" s="91" t="inlineStr">
        <ns0:is>
          <ns0:t>C. 主结果（5 cm 体素）</ns0:t>
        </ns0:is>
      </ns0:c>
      <ns0:c r="B20" s="120" t="n"/>
      <ns0:c r="C20" s="120" t="n"/>
      <ns0:c r="D20" s="120" t="n"/>
      <ns0:c r="E20" s="120" t="n"/>
      <ns0:c r="F20" s="120" t="n"/>
      <ns0:c r="G20" s="120" t="n"/>
      <ns0:c r="H20" s="120" t="n"/>
      <ns0:c r="I20" s="120" t="n"/>
      <ns0:c r="J20" s="120" t="n"/>
    </ns0:row>
    <ns0:row r="21" ht="30" customHeight="1" s="2">
      <ns0:c r="A21" s="92" t="inlineStr">
        <ns0:is>
          <ns0:t>场景</ns0:t>
        </ns0:is>
      </ns0:c>
      <ns0:c r="B21" s="92" t="inlineStr">
        <ns0:is>
          <ns0:t>指标</ns0:t>
        </ns0:is>
      </ns0:c>
      <ns0:c r="C21" s="92" t="inlineStr">
        <ns0:is>
          <ns0:t>B0</ns0:t>
        </ns0:is>
      </ns0:c>
      <ns0:c r="D21" s="92" t="inlineStr">
        <ns0:is>
          <ns0:t>OA</ns0:t>
        </ns0:is>
      </ns0:c>
      <ns0:c r="E21" s="92" t="inlineStr">
        <ns0:is>
          <ns0:t>OP</ns0:t>
        </ns0:is>
      </ns0:c>
      <ns0:c r="F21" s="92" t="inlineStr">
        <ns0:is>
          <ns0:t>OM_pure</ns0:t>
        </ns0:is>
      </ns0:c>
      <ns0:c r="G21" s="92" t="inlineStr">
        <ns0:is>
          <ns0:t>OM_all</ns0:t>
        </ns0:is>
      </ns0:c>
      <ns0:c r="H21" s="92" t="inlineStr">
        <ns0:is>
          <ns0:t>OG</ns0:t>
        </ns0:is>
      </ns0:c>
      <ns0:c r="I21" s="92" t="inlineStr">
        <ns0:is>
          <ns0:t>最大跳变</ns0:t>
        </ns0:is>
      </ns0:c>
      <ns0:c r="J21" s="92" t="inlineStr">
        <ns0:is>
          <ns0:t>说明</ns0:t>
        </ns0:is>
      </ns0:c>
    </ns0:row>
    <ns0:row r="22" ht="36" customHeight="1" s="2">
      <ns0:c r="A22" s="97" t="inlineStr">
        <ns0:is>
          <ns0:t>room0</ns0:t>
        </ns0:is>
      </ns0:c>
      <ns0:c r="B22" s="97" t="inlineStr">
        <ns0:is>
          <ns0:t>Node F1</ns0:t>
        </ns0:is>
      </ns0:c>
      <ns0:c r="C22" s="98" t="n">
        <ns0:v>0.1104294478527607</ns0:v>
      </ns0:c>
      <ns0:c r="D22" s="98" t="n">
        <ns0:v>0.217948717948718</ns0:v>
      </ns0:c>
      <ns0:c r="E22" s="98" t="n">
        <ns0:v>0.2208588957055215</ns0:v>
      </ns0:c>
      <ns0:c r="F22" s="98" t="n">
        <ns0:v>0.2222222222222222</ns0:v>
      </ns0:c>
      <ns0:c r="G22" s="98" t="n">
        <ns0:v>0.8351648351648352</ns0:v>
      </ns0:c>
      <ns0:c r="H22" s="98" t="n">
        <ns0:v>1</ns0:v>
      </ns0:c>
      <ns0:c r="I22" s="97" t="inlineStr">
        <ns0:is>
          <ns0:t>OM_all - OM_pure</ns0:t>
        </ns0:is>
      </ns0:c>
      <ns0:c r="J22" s="97" t="inlineStr">
        <ns0:is>
          <ns0:t>关联增益小，mask 分区/清理增益最大</ns0:t>
        </ns0:is>
      </ns0:c>
    </ns0:row>
    <ns0:row r="23" ht="36" customHeight="1" s="2">
      <ns0:c r="A23" s="96" t="inlineStr">
        <ns0:is>
          <ns0:t>room0</ns0:t>
        </ns0:is>
      </ns0:c>
      <ns0:c r="B23" s="96" t="inlineStr">
        <ns0:is>
          <ns0:t>Instance AP mean@25/50</ns0:t>
        </ns0:is>
      </ns0:c>
      <ns0:c r="C23" s="99" t="n">
        <ns0:v>0.02232953862187838</ns0:v>
      </ns0:c>
      <ns0:c r="D23" s="99" t="n">
        <ns0:v>0.05004770883588639</ns0:v>
      </ns0:c>
      <ns0:c r="E23" s="99" t="n">
        <ns0:v>0.05705968452415167</ns0:v>
      </ns0:c>
      <ns0:c r="F23" s="99" t="n">
        <ns0:v>0.06005576151842688</ns0:v>
      </ns0:c>
      <ns0:c r="G23" s="99" t="n">
        <ns0:v>0.6769744267843866</ns0:v>
      </ns0:c>
      <ns0:c r="H23" s="99" t="n">
        <ns0:v>1</ns0:v>
      </ns0:c>
      <ns0:c r="I23" s="96" t="inlineStr">
        <ns0:is>
          <ns0:t>OM_all - OM_pure</ns0:t>
        </ns0:is>
      </ns0:c>
      <ns0:c r="J23" s="96" t="inlineStr">
        <ns0:is>
          <ns0:t>AP 与 F1 的方向一致</ns0:t>
        </ns0:is>
      </ns0:c>
    </ns0:row>
    <ns0:row r="24" ht="36" customHeight="1" s="2">
      <ns0:c r="A24" s="97" t="inlineStr">
        <ns0:is>
          <ns0:t>office0</ns0:t>
        </ns0:is>
      </ns0:c>
      <ns0:c r="B24" s="97" t="inlineStr">
        <ns0:is>
          <ns0:t>Node F1</ns0:t>
        </ns0:is>
      </ns0:c>
      <ns0:c r="C24" s="98" t="n">
        <ns0:v>0.06896551724137931</ns0:v>
      </ns0:c>
      <ns0:c r="D24" s="98" t="n">
        <ns0:v>0.09302325581395349</ns0:v>
      </ns0:c>
      <ns0:c r="E24" s="98" t="n">
        <ns0:v>0.1573033707865168</ns0:v>
      </ns0:c>
      <ns0:c r="F24" s="98" t="n">
        <ns0:v>0.2535211267605634</ns0:v>
      </ns0:c>
      <ns0:c r="G24" s="98" t="n">
        <ns0:v>0.8627450980392157</ns0:v>
      </ns0:c>
      <ns0:c r="H24" s="98" t="n">
        <ns0:v>1</ns0:v>
      </ns0:c>
      <ns0:c r="I24" s="97" t="inlineStr">
        <ns0:is>
          <ns0:t>OM_all - OM_pure</ns0:t>
        </ns0:is>
      </ns0:c>
      <ns0:c r="J24" s="97" t="inlineStr">
        <ns0:is>
          <ns0:t>关联增益小，mask 分区/清理增益最大</ns0:t>
        </ns0:is>
      </ns0:c>
    </ns0:row>
    <ns0:row r="25" ht="36" customHeight="1" s="2">
      <ns0:c r="A25" s="96" t="inlineStr">
        <ns0:is>
          <ns0:t>office0</ns0:t>
        </ns0:is>
      </ns0:c>
      <ns0:c r="B25" s="96" t="inlineStr">
        <ns0:is>
          <ns0:t>Instance AP mean@25/50</ns0:t>
        </ns0:is>
      </ns0:c>
      <ns0:c r="C25" s="99" t="n">
        <ns0:v>0.004530453045304531</ns0:v>
      </ns0:c>
      <ns0:c r="D25" s="99" t="n">
        <ns0:v>0.01357635763576357</ns0:v>
      </ns0:c>
      <ns0:c r="E25" s="99" t="n">
        <ns0:v>0.02028952895289529</ns0:v>
      </ns0:c>
      <ns0:c r="F25" s="99" t="n">
        <ns0:v>0.04550981413930866</ns0:v>
      </ns0:c>
      <ns0:c r="G25" s="99" t="n">
        <ns0:v>0.6358061076922576</ns0:v>
      </ns0:c>
      <ns0:c r="H25" s="99" t="n">
        <ns0:v>1</ns0:v>
      </ns0:c>
      <ns0:c r="I25" s="96" t="inlineStr">
        <ns0:is>
          <ns0:t>OM_all - OM_pure</ns0:t>
        </ns0:is>
      </ns0:c>
      <ns0:c r="J25" s="96" t="inlineStr">
        <ns0:is>
          <ns0:t>AP 与 F1 的方向一致</ns0:t>
        </ns0:is>
      </ns0:c>
    </ns0:row>
    <ns0:row r="26"/>
    <ns0:row r="27" ht="24" customHeight="1" s="2">
      <ns0:c r="A27" s="91" t="inlineStr">
        <ns0:is>
          <ns0:t>D. 差距分解：哪一步真正起作用</ns0:t>
        </ns0:is>
      </ns0:c>
      <ns0:c r="B27" s="120" t="n"/>
      <ns0:c r="C27" s="120" t="n"/>
      <ns0:c r="D27" s="120" t="n"/>
      <ns0:c r="E27" s="120" t="n"/>
      <ns0:c r="F27" s="120" t="n"/>
      <ns0:c r="G27" s="120" t="n"/>
      <ns0:c r="H27" s="120" t="n"/>
      <ns0:c r="I27" s="120" t="n"/>
      <ns0:c r="J27" s="120" t="n"/>
    </ns0:row>
    <ns0:row r="28" ht="30" customHeight="1" s="2">
      <ns0:c r="A28" s="92" t="inlineStr">
        <ns0:is>
          <ns0:t>场景</ns0:t>
        </ns0:is>
      </ns0:c>
      <ns0:c r="B28" s="92" t="inlineStr">
        <ns0:is>
          <ns0:t>关联 OA-B0</ns0:t>
        </ns0:is>
      </ns0:c>
      <ns0:c r="C28" s="92" t="inlineStr">
        <ns0:is>
          <ns0:t>拒绝观测 OP-OA</ns0:t>
        </ns0:is>
      </ns0:c>
      <ns0:c r="D28" s="92" t="inlineStr">
        <ns0:is>
          <ns0:t>owner清理 OM_pure-OP</ns0:t>
        </ns0:is>
      </ns0:c>
      <ns0:c r="E28" s="92" t="inlineStr">
        <ns0:is>
          <ns0:t>全分区 OM_all-OM_pure</ns0:t>
        </ns0:is>
      </ns0:c>
      <ns0:c r="F28" s="92" t="inlineStr">
        <ns0:is>
          <ns0:t>仍需新感知 OG-OM_all</ns0:t>
        </ns0:is>
      </ns0:c>
      <ns0:c r="G28" s="92" t="inlineStr">
        <ns0:is>
          <ns0:t>OA差距恢复</ns0:t>
        </ns0:is>
      </ns0:c>
      <ns0:c r="H28" s="92" t="inlineStr">
        <ns0:is>
          <ns0:t>OM_all差距恢复</ns0:t>
        </ns0:is>
      </ns0:c>
      <ns0:c r="I28" s="92" t="inlineStr">
        <ns0:is>
          <ns0:t>主导项</ns0:t>
        </ns0:is>
      </ns0:c>
      <ns0:c r="J28" s="92" t="inlineStr">
        <ns0:is>
          <ns0:t>含义</ns0:t>
        </ns0:is>
      </ns0:c>
    </ns0:row>
    <ns0:row r="29" ht="42" customHeight="1" s="2">
      <ns0:c r="A29" s="96" t="inlineStr">
        <ns0:is>
          <ns0:t>room0</ns0:t>
        </ns0:is>
      </ns0:c>
      <ns0:c r="B29" s="99" t="n">
        <ns0:v>0.1075192700959572</ns0:v>
      </ns0:c>
      <ns0:c r="C29" s="99" t="n">
        <ns0:v>0.002910177756803523</ns0:v>
      </ns0:c>
      <ns0:c r="D29" s="99" t="n">
        <ns0:v>0.001363326516700736</ns0:v>
      </ns0:c>
      <ns0:c r="E29" s="99" t="n">
        <ns0:v>0.612942612942613</ns0:v>
      </ns0:c>
      <ns0:c r="F29" s="99" t="n">
        <ns0:v>0.1648351648351648</ns0:v>
      </ns0:c>
      <ns0:c r="G29" s="99" t="n">
        <ns0:v>0.1208664898320071</ns0:v>
      </ns0:c>
      <ns0:c r="H29" s="99" t="n">
        <ns0:v>0.8147025388404699</ns0:v>
      </ns0:c>
      <ns0:c r="I29" s="96" t="inlineStr">
        <ns0:is>
          <ns0:t>全 raw 支持的 mask partition/cleanup</ns0:t>
        </ns0:is>
      </ns0:c>
      <ns0:c r="J29" s="96" t="inlineStr">
        <ns0:is>
          <ns0:t>这是 Node F1 绝对增量和相对 B0→OG 的差距恢复率。</ns0:t>
        </ns0:is>
      </ns0:c>
    </ns0:row>
    <ns0:row r="30" ht="42" customHeight="1" s="2">
      <ns0:c r="A30" s="97" t="inlineStr">
        <ns0:is>
          <ns0:t>office0</ns0:t>
        </ns0:is>
      </ns0:c>
      <ns0:c r="B30" s="98" t="n">
        <ns0:v>0.02405773857257418</ns0:v>
      </ns0:c>
      <ns0:c r="C30" s="98" t="n">
        <ns0:v>0.06428011497256336</ns0:v>
      </ns0:c>
      <ns0:c r="D30" s="98" t="n">
        <ns0:v>0.09621775597404653</ns0:v>
      </ns0:c>
      <ns0:c r="E30" s="98" t="n">
        <ns0:v>0.6092239712786524</ns0:v>
      </ns0:c>
      <ns0:c r="F30" s="98" t="n">
        <ns0:v>0.1372549019607843</ns0:v>
      </ns0:c>
      <ns0:c r="G30" s="98" t="n">
        <ns0:v>0.02583979328165375</ns0:v>
      </ns0:c>
      <ns0:c r="H30" s="98" t="n">
        <ns0:v>0.8525780682643428</ns0:v>
      </ns0:c>
      <ns0:c r="I30" s="97" t="inlineStr">
        <ns0:is>
          <ns0:t>全 raw 支持的 mask partition/cleanup</ns0:t>
        </ns0:is>
      </ns0:c>
      <ns0:c r="J30" s="97" t="inlineStr">
        <ns0:is>
          <ns0:t>这是 Node F1 绝对增量和相对 B0→OG 的差距恢复率。</ns0:t>
        </ns0:is>
      </ns0:c>
    </ns0:row>
    <ns0:row r="31"/>
    <ns0:row r="32" ht="24" customHeight="1" s="2">
      <ns0:c r="A32" s="91" t="inlineStr">
        <ns0:is>
          <ns0:t>E. 稳健性、语义、GPT 和真实 Replay</ns0:t>
        </ns0:is>
      </ns0:c>
      <ns0:c r="B32" s="120" t="n"/>
      <ns0:c r="C32" s="120" t="n"/>
      <ns0:c r="D32" s="120" t="n"/>
      <ns0:c r="E32" s="120" t="n"/>
      <ns0:c r="F32" s="120" t="n"/>
      <ns0:c r="G32" s="120" t="n"/>
      <ns0:c r="H32" s="120" t="n"/>
      <ns0:c r="I32" s="120" t="n"/>
      <ns0:c r="J32" s="120" t="n"/>
    </ns0:row>
    <ns0:row r="33" ht="30" customHeight="1" s="2">
      <ns0:c r="A33" s="92" t="inlineStr">
        <ns0:is>
          <ns0:t>实验</ns0:t>
        </ns0:is>
      </ns0:c>
      <ns0:c r="B33" s="92" t="inlineStr">
        <ns0:is>
          <ns0:t>做了什么</ns0:t>
        </ns0:is>
      </ns0:c>
      <ns0:c r="C33" s="92" t="inlineStr">
        <ns0:is>
          <ns0:t>room0</ns0:t>
        </ns0:is>
      </ns0:c>
      <ns0:c r="D33" s="92" t="inlineStr">
        <ns0:is>
          <ns0:t>office0</ns0:t>
        </ns0:is>
      </ns0:c>
      <ns0:c r="E33" s="92" t="inlineStr">
        <ns0:is>
          <ns0:t>结果</ns0:t>
        </ns0:is>
      </ns0:c>
      <ns0:c r="F33" s="92" t="inlineStr">
        <ns0:is>
          <ns0:t>效果/成本</ns0:t>
        </ns0:is>
      </ns0:c>
      <ns0:c r="G33" s="92" t="inlineStr">
        <ns0:is>
          <ns0:t>说明什么</ns0:t>
        </ns0:is>
      </ns0:c>
      <ns0:c r="H33" s="92" t="inlineStr">
        <ns0:is>
          <ns0:t>可否作正式结论</ns0:t>
        </ns0:is>
      </ns0:c>
      <ns0:c r="I33" s="92" t="inlineStr"/>
      <ns0:c r="J33" s="92" t="inlineStr">
        <ns0:is>
          <ns0:t>关键限制</ns0:t>
        </ns0:is>
      </ns0:c>
    </ns0:row>
    <ns0:row r="34" ht="44" customHeight="1" s="2">
      <ns0:c r="A34" s="97" t="inlineStr">
        <ns0:is>
          <ns0:t>FROSS 敏感性</ns0:t>
        </ns0:is>
      </ns0:c>
      <ns0:c r="B34" s="97" t="inlineStr">
        <ns0:is>
          <ns0:t>5 mm 去重 + 0.1 m 对应</ns0:t>
        </ns0:is>
      </ns0:c>
      <ns0:c r="C34" s="97" t="inlineStr">
        <ns0:is>
          <ns0:t>B0 18.4% → OM_all 60.4%</ns0:t>
        </ns0:is>
      </ns0:c>
      <ns0:c r="D34" s="97" t="inlineStr">
        <ns0:is>
          <ns0:t>B0 13.8% → OM_all 58.8%</ns0:t>
        </ns0:is>
      </ns0:c>
      <ns0:c r="E34" s="97" t="inlineStr">
        <ns0:is>
          <ns0:t>两场景同方向</ns0:t>
        </ns0:is>
      </ns0:c>
      <ns0:c r="F34" s="97" t="inlineStr">
        <ns0:is>
          <ns0:t>无额外 API</ns0:t>
        </ns0:is>
      </ns0:c>
      <ns0:c r="G34" s="97" t="inlineStr">
        <ns0:is>
          <ns0:t>主结论不依赖单一体素口径</ns0:t>
        </ns0:is>
      </ns0:c>
      <ns0:c r="H34" s="97" t="inlineStr">
        <ns0:is>
          <ns0:t>是（作稳健性支持）</ns0:t>
        </ns0:is>
      </ns0:c>
      <ns0:c r="I34" s="97" t="inlineStr"/>
      <ns0:c r="J34" s="97" t="inlineStr">
        <ns0:is>
          <ns0:t>是对稠密点云的适配敏感性，非官方 FROSS benchmark。</ns0:t>
        </ns0:is>
      </ns0:c>
    </ns0:row>
    <ns0:row r="35" ht="44" customHeight="1" s="2">
      <ns0:c r="A35" s="100" t="inlineStr">
        <ns0:is>
          <ns0:t>严格语义 Oracle</ns0:t>
        </ns0:is>
      </ns0:c>
      <ns0:c r="B35" s="100" t="inlineStr">
        <ns0:is>
          <ns0:t>只在结构严格一对一且标签错误时改标</ns0:t>
        </ns0:is>
      </ns0:c>
      <ns0:c r="C35" s="100" t="inlineStr">
        <ns0:is>
          <ns0:t>严格匹配 0</ns0:t>
        </ns0:is>
      </ns0:c>
      <ns0:c r="D35" s="100" t="inlineStr">
        <ns0:is>
          <ns0:t>严格匹配 0</ns0:t>
        </ns0:is>
      </ns0:c>
      <ns0:c r="E35" s="100" t="inlineStr">
        <ns0:is>
          <ns0:t>队列为空，收益未识别</ns0:t>
        </ns0:is>
      </ns0:c>
      <ns0:c r="F35" s="100" t="inlineStr">
        <ns0:is>
          <ns0:t>无 API</ns0:t>
        </ns0:is>
      </ns0:c>
      <ns0:c r="G35" s="100" t="inlineStr">
        <ns0:is>
          <ns0:t>不能说语义修复无价值，只能说当前无可比样本</ns0:t>
        </ns0:is>
      </ns0:c>
      <ns0:c r="H35" s="100" t="inlineStr">
        <ns0:is>
          <ns0:t>否</ns0:t>
        </ns0:is>
      </ns0:c>
      <ns0:c r="I35" s="100" t="inlineStr"/>
      <ns0:c r="J35" s="100" t="inlineStr">
        <ns0:is>
          <ns0:t>弱 Hungarian 有匹配，但混入结构问题。</ns0:t>
        </ns0:is>
      </ns0:c>
    </ns0:row>
    <ns0:row r="36" ht="54" customHeight="1" s="2">
      <ns0:c r="A36" s="77" t="inlineStr">
        <ns0:is>
          <ns0:t>GPT vs LLaVA</ns0:t>
        </ns0:is>
      </ns0:c>
      <ns0:c r="B36" s="77" t="inlineStr">
        <ns0:is>
          <ns0:t>同一节点：GPT 直看图 vs LLaVA caption 再交给 Terra</ns0:t>
        </ns0:is>
      </ns0:c>
      <ns0:c r="C36" s="77" t="inlineStr">
        <ns0:is>
          <ns0:t>94/96 完成；两支 model-covered 0</ns0:t>
        </ns0:is>
      </ns0:c>
      <ns0:c r="D36" s="77" t="inlineStr">
        <ns0:is>
          <ns0:t>62/62 完成；两支 model-covered 0</ns0:t>
        </ns0:is>
      </ns0:c>
      <ns0:c r="E36" s="77" t="inlineStr">
        <ns0:is>
          <ns0:t>换 GPT 未产生可验证提升</ns0:t>
        </ns0:is>
      </ns0:c>
      <ns0:c r="F36" s="77" t="inlineStr">
        <ns0:is>
          <ns0:t>formal 898,576 tokens；含 smoke 910,045</ns0:t>
        </ns0:is>
      </ns0:c>
      <ns0:c r="G36" s="77" t="inlineStr">
        <ns0:is>
          <ns0:t>当前瓶颈是结构混合/词表和证据，不是单纯视觉模型</ns0:t>
        </ns0:is>
      </ns0:c>
      <ns0:c r="H36" s="77" t="inlineStr">
        <ns0:is>
          <ns0:t>可否定直接替换路线</ns0:t>
        </ns0:is>
      </ns0:c>
      <ns0:c r="I36" s="77" t="inlineStr"/>
      <ns0:c r="J36" s="77" t="inlineStr">
        <ns0:is>
          <ns0:t>不证明 GPT 本身无能力；room 有 2 个冻结词表外标签 fail-closed。</ns0:t>
        </ns0:is>
      </ns0:c>
    </ns0:row>
    <ns0:row r="37" ht="58" customHeight="1" s="2">
      <ns0:c r="A37" s="101" t="inlineStr">
        <ns0:is>
          <ns0:t>真实局部 replay</ns0:t>
        </ns0:is>
      </ns0:c>
      <ns0:c r="B37" s="101" t="inlineStr">
        <ns0:is>
          <ns0:t>原始 mask overlay → 稀疏回放 → 全局 parity/回滚检查</ns0:t>
        </ns0:is>
      </ns0:c>
      <ns0:c r="C37" s="101" t="inlineStr">
        <ns0:is>
          <ns0:t>严格案例：点 17 → 2716（159.8×）</ns0:t>
        </ns0:is>
      </ns0:c>
      <ns0:c r="D37" s="101" t="inlineStr">
        <ns0:is>
          <ns0:t>宽松探索：点 168 → 26223（156.1×）</ns0:t>
        </ns0:is>
      </ns0:c>
      <ns0:c r="E37" s="101" t="inlineStr">
        <ns0:is>
          <ns0:t>build/local/global 均 pass；association 未改变</ns0:t>
        </ns0:is>
      </ns0:c>
      <ns0:c r="F37" s="101" t="inlineStr">
        <ns0:is>
          <ns0:t>两个案例的 closure 覆盖整个场景</ns0:t>
        </ns0:is>
      </ns0:c>
      <ns0:c r="G37" s="101" t="inlineStr">
        <ns0:is>
          <ns0:t>证明机制、不可变性和 parity；还没证明修复效果</ns0:t>
        </ns0:is>
      </ns0:c>
      <ns0:c r="H37" s="101" t="inlineStr">
        <ns0:is>
          <ns0:t>否（机制证据）</ns0:t>
        </ns0:is>
      </ns0:c>
      <ns0:c r="I37" s="101" t="inlineStr"/>
      <ns0:c r="J37" s="101" t="inlineStr">
        <ns0:is>
          <ns0:t>office 不是 strict；没有局部性和成功率估计。</ns0:t>
        </ns0:is>
      </ns0:c>
    </ns0:row>
    <ns0:row r="38"/>
    <ns0:row r="39"/>
    <ns0:row r="40" ht="24" customHeight="1" s="2">
      <ns0:c r="A40" s="91" t="inlineStr">
        <ns0:is>
          <ns0:t>F. 数据集、标签和可信度边界</ns0:t>
        </ns0:is>
      </ns0:c>
      <ns0:c r="B40" s="120" t="n"/>
      <ns0:c r="C40" s="120" t="n"/>
      <ns0:c r="D40" s="120" t="n"/>
      <ns0:c r="E40" s="120" t="n"/>
      <ns0:c r="F40" s="120" t="n"/>
      <ns0:c r="G40" s="120" t="n"/>
      <ns0:c r="H40" s="120" t="n"/>
      <ns0:c r="I40" s="120" t="n"/>
      <ns0:c r="J40" s="120" t="n"/>
    </ns0:row>
    <ns0:row r="41" ht="30" customHeight="1" s="2">
      <ns0:c r="A41" s="92" t="inlineStr">
        <ns0:is>
          <ns0:t>检查项</ns0:t>
        </ns0:is>
      </ns0:c>
      <ns0:c r="B41" s="92" t="inlineStr">
        <ns0:is>
          <ns0:t>结果</ns0:t>
        </ns0:is>
      </ns0:c>
      <ns0:c r="C41" s="92" t="inlineStr">
        <ns0:is>
          <ns0:t>影响</ns0:t>
        </ns0:is>
      </ns0:c>
      <ns0:c r="D41" s="92" t="inlineStr">
        <ns0:is>
          <ns0:t>处理</ns0:t>
        </ns0:is>
      </ns0:c>
      <ns0:c r="E41" s="92" t="inlineStr"/>
      <ns0:c r="F41" s="92" t="inlineStr"/>
      <ns0:c r="G41" s="92" t="inlineStr"/>
      <ns0:c r="H41" s="92" t="inlineStr"/>
      <ns0:c r="I41" s="92" t="inlineStr"/>
      <ns0:c r="J41" s="92" t="inlineStr">
        <ns0:is>
          <ns0:t>说明</ns0:t>
        </ns0:is>
      </ns0:c>
    </ns0:row>
    <ns0:row r="42" ht="42" customHeight="1" s="2">
      <ns0:c r="A42" s="74" t="inlineStr">
        <ns0:is>
          <ns0:t>场景/帧配对</ns0:t>
        </ns0:is>
      </ns0:c>
      <ns0:c r="B42" s="74" t="inlineStr">
        <ns0:is>
          <ns0:t>通过</ns0:t>
        </ns0:is>
      </ns0:c>
      <ns0:c r="C42" s="74" t="inlineStr">
        <ns0:is>
          <ns0:t>RGB/depth/pose/GT 与场景对齐</ns0:t>
        </ns0:is>
      </ns0:c>
      <ns0:c r="D42" s="74" t="inlineStr">
        <ns0:is>
          <ns0:t>按 room0/office0 独立检查</ns0:t>
        </ns0:is>
      </ns0:c>
      <ns0:c r="E42" s="74" t="inlineStr"/>
      <ns0:c r="F42" s="74" t="inlineStr"/>
      <ns0:c r="G42" s="74" t="inlineStr"/>
      <ns0:c r="H42" s="74" t="inlineStr"/>
      <ns0:c r="I42" s="74" t="inlineStr"/>
      <ns0:c r="J42" s="74" t="inlineStr">
        <ns0:is>
          <ns0:t>room0 B0 有冻结参考 parity；office0 从空图重建但没有独立冻结 B0 参考。</ns0:t>
        </ns0:is>
      </ns0:c>
    </ns0:row>
    <ns0:row r="43" ht="54" customHeight="1" s="2">
      <ns0:c r="A43" s="77" t="inlineStr">
        <ns0:is>
          <ns0:t>标签不一致（desk lamp / lamp）</ns0:t>
        </ns0:is>
      </ns0:c>
      <ns0:c r="B43" s="77" t="inlineStr">
        <ns0:is>
          <ns0:t>desk lamp 实际出现 0 次；room 仅有 ceiling light 灵敏性映射</ns0:t>
        </ns0:is>
      </ns0:c>
      <ns0:c r="C43" s="77" t="inlineStr">
        <ns0:is>
          <ns0:t>别名可改变下游 class-F1 结论</ns0:t>
        </ns0:is>
      </ns0:c>
      <ns0:c r="D43" s="77" t="inlineStr">
        <ns0:is>
          <ns0:t>官方严格映射为主；当前别名/扩展 lamp 只报敏感性</ns0:t>
        </ns0:is>
      </ns0:c>
      <ns0:c r="E43" s="77" t="inlineStr"/>
      <ns0:c r="F43" s="77" t="inlineStr"/>
      <ns0:c r="G43" s="77" t="inlineStr"/>
      <ns0:c r="H43" s="77" t="inlineStr"/>
      <ns0:c r="I43" s="77" t="inlineStr"/>
      <ns0:c r="J43" s="77" t="inlineStr">
        <ns0:is>
          <ns0:t>OM_all-B0 在官方映射下 room 为负、office 为 0，所以不用它证明语义收益。</ns0:t>
        </ns0:is>
      </ns0:c>
    </ns0:row>
    <ns0:row r="44" ht="48" customHeight="1" s="2">
      <ns0:c r="A44" s="102" t="inlineStr">
        <ns0:is>
          <ns0:t>旧 Oracle 口径</ns0:t>
        </ns0:is>
      </ns0:c>
      <ns0:c r="B44" s="102" t="inlineStr">
        <ns0:is>
          <ns0:t>已作废精确 ρ</ns0:t>
        </ns0:is>
      </ns0:c>
      <ns0:c r="C44" s="102" t="inlineStr">
        <ns0:is>
          <ns0:t>不能作论文定量值</ns0:t>
        </ns0:is>
      </ns0:c>
      <ns0:c r="D44" s="102" t="inlineStr">
        <ns0:is>
          <ns0:t>旧页保留追溯并标红，首页改指向新页</ns0:t>
        </ns0:is>
      </ns0:c>
      <ns0:c r="E44" s="102" t="inlineStr"/>
      <ns0:c r="F44" s="102" t="inlineStr"/>
      <ns0:c r="G44" s="102" t="inlineStr"/>
      <ns0:c r="H44" s="102" t="inlineStr"/>
      <ns0:c r="I44" s="102" t="inlineStr"/>
      <ns0:c r="J44" s="102" t="inlineStr">
        <ns0:is>
          <ns0:t>关系指标因混用模型/候选集已从本次方向决策中排除。</ns0:t>
        </ns0:is>
      </ns0:c>
    </ns0:row>
    <ns0:row r="45" ht="48" customHeight="1" s="2">
      <ns0:c r="A45" s="100" t="inlineStr">
        <ns0:is>
          <ns0:t>总结论外推</ns0:t>
        </ns0:is>
      </ns0:c>
      <ns0:c r="B45" s="100" t="inlineStr">
        <ns0:is>
          <ns0:t>仅 2 场景</ns0:t>
        </ns0:is>
      </ns0:c>
      <ns0:c r="C45" s="100" t="inlineStr">
        <ns0:is>
          <ns0:t>无总体置信区间/场景 bootstrap</ns0:t>
        </ns0:is>
      </ns0:c>
      <ns0:c r="D45" s="100" t="inlineStr">
        <ns0:is>
          <ns0:t>只报两场景配对变化与方向一致性</ns0:t>
        </ns0:is>
      </ns0:c>
      <ns0:c r="E45" s="100" t="inlineStr"/>
      <ns0:c r="F45" s="100" t="inlineStr"/>
      <ns0:c r="G45" s="100" t="inlineStr"/>
      <ns0:c r="H45" s="100" t="inlineStr"/>
      <ns0:c r="I45" s="100" t="inlineStr"/>
      <ns0:c r="J45" s="100" t="inlineStr">
        <ns0:is>
          <ns0:t>足以冻结问题方向，不足以声称方法已成功或报全数据集效应量。</ns0:t>
        </ns0:is>
      </ns0:c>
    </ns0:row>
    <ns0:row r="46"/>
    <ns0:row r="47"/>
    <ns0:row r="48" ht="24" customHeight="1" s="2">
      <ns0:c r="A48" s="91" t="inlineStr">
        <ns0:is>
          <ns0:t>G. 产物与可复现性</ns0:t>
        </ns0:is>
      </ns0:c>
      <ns0:c r="B48" s="120" t="n"/>
      <ns0:c r="C48" s="120" t="n"/>
      <ns0:c r="D48" s="120" t="n"/>
      <ns0:c r="E48" s="120" t="n"/>
      <ns0:c r="F48" s="120" t="n"/>
      <ns0:c r="G48" s="120" t="n"/>
      <ns0:c r="H48" s="120" t="n"/>
      <ns0:c r="I48" s="120" t="n"/>
      <ns0:c r="J48" s="120" t="n"/>
    </ns0:row>
    <ns0:row r="49" ht="30" customHeight="1" s="2">
      <ns0:c r="A49" s="92" t="inlineStr">
        <ns0:is>
          <ns0:t>项目</ns0:t>
        </ns0:is>
      </ns0:c>
      <ns0:c r="B49" s="92" t="inlineStr">
        <ns0:is>
          <ns0:t>值</ns0:t>
        </ns0:is>
      </ns0:c>
      <ns0:c r="C49" s="92" t="inlineStr"/>
      <ns0:c r="D49" s="92" t="inlineStr"/>
      <ns0:c r="E49" s="92" t="inlineStr"/>
      <ns0:c r="F49" s="92" t="inlineStr"/>
      <ns0:c r="G49" s="92" t="inlineStr"/>
      <ns0:c r="H49" s="92" t="inlineStr"/>
      <ns0:c r="I49" s="92" t="inlineStr"/>
      <ns0:c r="J49" s="92" t="inlineStr">
        <ns0:is>
          <ns0:t>说明</ns0:t>
        </ns0:is>
      </ns0:c>
    </ns0:row>
    <ns0:row r="50" ht="34" customHeight="1" s="2">
      <ns0:c r="A50" s="97" t="inlineStr">
        <ns0:is>
          <ns0:t>GitHub 正式总结</ns0:t>
        </ns0:is>
      </ns0:c>
      <ns0:c r="B50" s="103" t="inlineStr">
        <ns0:is>
          <ns0:t>https://github.com/liuwenjing613-maker/concept-graphs/blob/contrary/artifacts/repairability_validation_20260830/REPAIRABILITY_DECISION.md</ns0:t>
        </ns0:is>
      </ns0:c>
      <ns0:c r="C50" s="97" t="inlineStr"/>
      <ns0:c r="D50" s="97" t="inlineStr"/>
      <ns0:c r="E50" s="97" t="inlineStr"/>
      <ns0:c r="F50" s="97" t="inlineStr"/>
      <ns0:c r="G50" s="97" t="inlineStr"/>
      <ns0:c r="H50" s="97" t="inlineStr"/>
      <ns0:c r="I50" s="97" t="inlineStr"/>
      <ns0:c r="J50" s="97" t="inlineStr">
        <ns0:is>
          <ns0:t>contrary 分支，完整方法/结果/限制</ns0:t>
        </ns0:is>
      </ns0:c>
    </ns0:row>
    <ns0:row r="51" ht="34" customHeight="1" s="2">
      <ns0:c r="A51" s="96" t="inlineStr">
        <ns0:is>
          <ns0:t>GitHub 机读 JSON</ns0:t>
        </ns0:is>
      </ns0:c>
      <ns0:c r="B51" s="104" t="inlineStr">
        <ns0:is>
          <ns0:t>https://github.com/liuwenjing613-maker/concept-graphs/blob/contrary/artifacts/repairability_validation_20260830/repairability_decision.json</ns0:t>
        </ns0:is>
      </ns0:c>
      <ns0:c r="C51" s="96" t="inlineStr"/>
      <ns0:c r="D51" s="96" t="inlineStr"/>
      <ns0:c r="E51" s="96" t="inlineStr"/>
      <ns0:c r="F51" s="96" t="inlineStr"/>
      <ns0:c r="G51" s="96" t="inlineStr"/>
      <ns0:c r="H51" s="96" t="inlineStr"/>
      <ns0:c r="I51" s="96" t="inlineStr"/>
      <ns0:c r="J51" s="96" t="inlineStr">
        <ns0:is>
          <ns0:t>Excel 数据源</ns0:t>
        </ns0:is>
      </ns0:c>
    </ns0:row>
    <ns0:row r="52" ht="34" customHeight="1" s="2">
      <ns0:c r="A52" s="97" t="inlineStr">
        <ns0:is>
          <ns0:t>Git commit</ns0:t>
        </ns0:is>
      </ns0:c>
      <ns0:c r="B52" s="97" t="inlineStr">
        <ns0:is>
          <ns0:t>71fab57ef4768a6539b1e7d40485056ac9a55d1e</ns0:t>
        </ns0:is>
      </ns0:c>
      <ns0:c r="C52" s="97" t="inlineStr"/>
      <ns0:c r="D52" s="97" t="inlineStr"/>
      <ns0:c r="E52" s="97" t="inlineStr"/>
      <ns0:c r="F52" s="97" t="inlineStr"/>
      <ns0:c r="G52" s="97" t="inlineStr"/>
      <ns0:c r="H52" s="97" t="inlineStr"/>
      <ns0:c r="I52" s="97" t="inlineStr"/>
      <ns0:c r="J52" s="97" t="inlineStr">
        <ns0:is>
          <ns0:t>contrary 最终提交</ns0:t>
        </ns0:is>
      </ns0:c>
    </ns0:row>
    <ns0:row r="53" ht="34" customHeight="1" s="2">
      <ns0:c r="A53" s="96" t="inlineStr">
        <ns0:is>
          <ns0:t>服务器原始产物</ns0:t>
        </ns0:is>
      </ns0:c>
      <ns0:c r="B53" s="96" t="inlineStr">
        <ns0:is>
          <ns0:t>/home/chenkejun/beauty/conceptgraphs/results/experiments/repairability_validation_20260830</ns0:t>
        </ns0:is>
      </ns0:c>
      <ns0:c r="C53" s="96" t="inlineStr"/>
      <ns0:c r="D53" s="96" t="inlineStr"/>
      <ns0:c r="E53" s="96" t="inlineStr"/>
      <ns0:c r="F53" s="96" t="inlineStr"/>
      <ns0:c r="G53" s="96" t="inlineStr"/>
      <ns0:c r="H53" s="96" t="inlineStr"/>
      <ns0:c r="I53" s="96" t="inlineStr"/>
      <ns0:c r="J53" s="96" t="inlineStr">
        <ns0:is>
          <ns0:t>保留 manifest、raw metrics、timing 和失败日志</ns0:t>
        </ns0:is>
      </ns0:c>
    </ns0:row>
  </ns0:sheetData>
  <ns0:mergeCells count="9">
    <ns0:mergeCell ref="A1:J1"/>
    <ns0:mergeCell ref="A32:J32"/>
    <ns0:mergeCell ref="A40:J40"/>
    <ns0:mergeCell ref="A27:J27"/>
    <ns0:mergeCell ref="A4:J4"/>
    <ns0:mergeCell ref="A48:J48"/>
    <ns0:mergeCell ref="A20:J20"/>
    <ns0:mergeCell ref="A2:J2"/>
    <ns0:mergeCell ref="A11:J11"/>
  </ns0:mergeCells>
  <ns0:conditionalFormatting sqref="C22:H25">
    <ns0:cfRule type="colorScale" priority="1">
      <ns0:colorScale>
        <ns0:cfvo type="min"/>
        <ns0:cfvo type="percentile" val="50"/>
        <ns0:cfvo type="max"/>
        <ns0:color rgb="00F8696B"/>
        <ns0:color rgb="00FFEB84"/>
        <ns0:color rgb="0063BE7B"/>
      </ns0:colorScale>
    </ns0:cfRule>
  </ns0:conditionalFormatting>
  <ns0:hyperlinks>
    <ns0:hyperlink ref="B50" ns1:id="rId1"/>
    <ns0:hyperlink ref="B51" ns1:id="rId2"/>
  </ns0:hyperlinks>
  <ns0:pageMargins left="0.7" right="0.7" top="0.75" bottom="0.75" header="0.3" footer="0.3"/>
</ns0:worksheet>
</file>

<file path=xl/worksheets/sheet14.xml><?xml version="1.0" encoding="utf-8"?>
<ns0:worksheet xmlns:ns0="http://schemas.openxmlformats.org/spreadsheetml/2006/main" xmlns:ns1="http://schemas.openxmlformats.org/officeDocument/2006/relationships">
  <ns0:sheetPr>
    <ns0:tabColor rgb="FF2F75B5"/>
    <ns0:outlinePr summaryBelow="1" summaryRight="1"/>
    <ns0:pageSetUpPr/>
  </ns0:sheetPr>
  <ns0:dimension ref="A1:L185"/>
  <ns0:sheetViews>
    <ns0:sheetView showGridLines="0" workbookViewId="0">
      <ns0:pane ySplit="4" topLeftCell="A5" activePane="bottomLeft" state="frozen"/>
      <ns0:selection activeCell="A1" sqref="A1"/>
    </ns0:sheetView>
  </ns0:sheetViews>
  <ns0:sheetFormatPr baseColWidth="8" defaultRowHeight="15"/>
  <ns0:cols>
    <ns0:col width="13" customWidth="1" style="2" min="1" max="1"/>
    <ns0:col width="14" customWidth="1" style="2" min="2" max="2"/>
    <ns0:col width="18" customWidth="1" style="2" min="3" max="3"/>
    <ns0:col width="16" customWidth="1" style="2" min="4" max="4"/>
    <ns0:col width="16" customWidth="1" style="2" min="5" max="5"/>
    <ns0:col width="16" customWidth="1" style="2" min="6" max="6"/>
    <ns0:col width="16" customWidth="1" style="2" min="7" max="7"/>
    <ns0:col width="16" customWidth="1" style="2" min="8" max="8"/>
    <ns0:col width="17" customWidth="1" style="2" min="9" max="9"/>
    <ns0:col width="17" customWidth="1" style="2" min="10" max="10"/>
    <ns0:col width="20" customWidth="1" style="2" min="11" max="11"/>
    <ns0:col width="42" customWidth="1" style="2" min="12" max="12"/>
  </ns0:cols>
  <ns0:sheetData>
    <ns0:row r="1" ht="30" customHeight="1" s="2">
      <ns0:c r="A1" s="89" t="inlineStr">
        <ns0:is>
          <ns0:t>可修性对比实验明细数据</ns0:t>
        </ns0:is>
      </ns0:c>
    </ns0:row>
    <ns0:row r="2" ht="36" customHeight="1" s="2">
      <ns0:c r="A2" s="90" t="inlineStr">
        <ns0:is>
          <ns0:t>数据来自服务器最终 repairability_decision.json；百分比均保留底层小数，显示时四舍五入。</ns0:t>
        </ns0:is>
      </ns0:c>
    </ns0:row>
    <ns0:row r="3"/>
    <ns0:row r="4" ht="24" customHeight="1" s="2">
      <ns0:c r="A4" s="91" t="inlineStr">
        <ns0:is>
          <ns0:t>A. 方法自检</ns0:t>
        </ns0:is>
      </ns0:c>
      <ns0:c r="B4" s="120" t="n"/>
      <ns0:c r="C4" s="120" t="n"/>
      <ns0:c r="D4" s="120" t="n"/>
      <ns0:c r="E4" s="120" t="n"/>
      <ns0:c r="F4" s="120" t="n"/>
      <ns0:c r="G4" s="120" t="n"/>
      <ns0:c r="H4" s="120" t="n"/>
      <ns0:c r="I4" s="120" t="n"/>
      <ns0:c r="J4" s="120" t="n"/>
      <ns0:c r="K4" s="120" t="n"/>
      <ns0:c r="L4" s="120" t="n"/>
    </ns0:row>
    <ns0:row r="5" ht="30" customHeight="1" s="2">
      <ns0:c r="A5" s="92" t="inlineStr">
        <ns0:is>
          <ns0:t>检查</ns0:t>
        </ns0:is>
      </ns0:c>
      <ns0:c r="B5" s="92" t="inlineStr">
        <ns0:is>
          <ns0:t>结果</ns0:t>
        </ns0:is>
      </ns0:c>
      <ns0:c r="C5" s="92" t="inlineStr">
        <ns0:is>
          <ns0:t>影响</ns0:t>
        </ns0:is>
      </ns0:c>
      <ns0:c r="D5" s="92" t="inlineStr">
        <ns0:is>
          <ns0:t>正式处理</ns0:t>
        </ns0:is>
      </ns0:c>
      <ns0:c r="E5" s="92" t="inlineStr"/>
      <ns0:c r="F5" s="92" t="inlineStr"/>
      <ns0:c r="G5" s="92" t="inlineStr"/>
      <ns0:c r="H5" s="92" t="inlineStr"/>
      <ns0:c r="I5" s="92" t="inlineStr"/>
      <ns0:c r="J5" s="92" t="inlineStr"/>
      <ns0:c r="K5" s="92" t="inlineStr"/>
      <ns0:c r="L5" s="92" t="inlineStr">
        <ns0:is>
          <ns0:t>证据</ns0:t>
        </ns0:is>
      </ns0:c>
    </ns0:row>
    <ns0:row r="6" ht="36" customHeight="1" s="2">
      <ns0:c r="A6" s="74" t="inlineStr">
        <ns0:is>
          <ns0:t>修正阶梯从空图在线构建</ns0:t>
        </ns0:is>
      </ns0:c>
      <ns0:c r="B6" s="74" t="inlineStr">
        <ns0:is>
          <ns0:t>是</ns0:t>
        </ns0:is>
      </ns0:c>
      <ns0:c r="C6" s="74" t="inlineStr">
        <ns0:is>
          <ns0:t>避免未来泄漏</ns0:t>
        </ns0:is>
      </ns0:c>
      <ns0:c r="D6" s="74" t="inlineStr">
        <ns0:is>
          <ns0:t>保留</ns0:t>
        </ns0:is>
      </ns0:c>
      <ns0:c r="E6" s="74" t="inlineStr"/>
      <ns0:c r="F6" s="74" t="inlineStr"/>
      <ns0:c r="G6" s="74" t="inlineStr"/>
      <ns0:c r="H6" s="74" t="inlineStr"/>
      <ns0:c r="I6" s="74" t="inlineStr"/>
      <ns0:c r="J6" s="74" t="inlineStr"/>
      <ns0:c r="K6" s="74" t="inlineStr"/>
      <ns0:c r="L6" s="74" t="inlineStr">
        <ns0:is>
          <ns0:t>online_from_empty=true</ns0:t>
        </ns0:is>
      </ns0:c>
    </ns0:row>
    <ns0:row r="7" ht="36" customHeight="1" s="2">
      <ns0:c r="A7" s="74" t="inlineStr">
        <ns0:is>
          <ns0:t>修正阶梯使用最终 lineage</ns0:t>
        </ns0:is>
      </ns0:c>
      <ns0:c r="B7" s="74" t="inlineStr">
        <ns0:is>
          <ns0:t>否</ns0:t>
        </ns0:is>
      </ns0:c>
      <ns0:c r="C7" s="74" t="inlineStr">
        <ns0:is>
          <ns0:t>应为“否”</ns0:t>
        </ns0:is>
      </ns0:c>
      <ns0:c r="D7" s="74" t="inlineStr">
        <ns0:is>
          <ns0:t>通过</ns0:t>
        </ns0:is>
      </ns0:c>
      <ns0:c r="E7" s="74" t="inlineStr"/>
      <ns0:c r="F7" s="74" t="inlineStr"/>
      <ns0:c r="G7" s="74" t="inlineStr"/>
      <ns0:c r="H7" s="74" t="inlineStr"/>
      <ns0:c r="I7" s="74" t="inlineStr"/>
      <ns0:c r="J7" s="74" t="inlineStr"/>
      <ns0:c r="K7" s="74" t="inlineStr"/>
      <ns0:c r="L7" s="74" t="inlineStr">
        <ns0:is>
          <ns0:t>future_final_lineage_used=false</ns0:t>
        </ns0:is>
      </ns0:c>
    </ns0:row>
    <ns0:row r="8" ht="36" customHeight="1" s="2">
      <ns0:c r="A8" s="97" t="inlineStr">
        <ns0:is>
          <ns0:t>旧 O1 未匹配观测使用最终 B0 lineage</ns0:t>
        </ns0:is>
      </ns0:c>
      <ns0:c r="B8" s="97" t="inlineStr">
        <ns0:is>
          <ns0:t>是</ns0:t>
        </ns0:is>
      </ns0:c>
      <ns0:c r="C8" s="97" t="inlineStr">
        <ns0:is>
          <ns0:t>导致旧结果不是纯在线 Oracle</ns0:t>
        </ns0:is>
      </ns0:c>
      <ns0:c r="D8" s="97" t="inlineStr">
        <ns0:is>
          <ns0:t>旧 ρ 作废</ns0:t>
        </ns0:is>
      </ns0:c>
      <ns0:c r="E8" s="97" t="inlineStr"/>
      <ns0:c r="F8" s="97" t="inlineStr"/>
      <ns0:c r="G8" s="97" t="inlineStr"/>
      <ns0:c r="H8" s="97" t="inlineStr"/>
      <ns0:c r="I8" s="97" t="inlineStr"/>
      <ns0:c r="J8" s="97" t="inlineStr"/>
      <ns0:c r="K8" s="97" t="inlineStr"/>
      <ns0:c r="L8" s="97" t="inlineStr">
        <ns0:is>
          <ns0:t>old unmatched policy</ns0:t>
        </ns0:is>
      </ns0:c>
    </ns0:row>
    <ns0:row r="9" ht="36" customHeight="1" s="2">
      <ns0:c r="A9" s="96" t="inlineStr">
        <ns0:is>
          <ns0:t>旧 O1 只 gate purity 不 gate recall</ns0:t>
        </ns0:is>
      </ns0:c>
      <ns0:c r="B9" s="96" t="inlineStr">
        <ns0:is>
          <ns0:t>是</ns0:t>
        </ns0:is>
      </ns0:c>
      <ns0:c r="C9" s="96" t="inlineStr">
        <ns0:is>
          <ns0:t>低覆盖 mask 仍可进入</ns0:t>
        </ns0:is>
      </ns0:c>
      <ns0:c r="D9" s="96" t="inlineStr">
        <ns0:is>
          <ns0:t>用阶段漏斗和多阈值敏感性弥补</ns0:t>
        </ns0:is>
      </ns0:c>
      <ns0:c r="E9" s="96" t="inlineStr"/>
      <ns0:c r="F9" s="96" t="inlineStr"/>
      <ns0:c r="G9" s="96" t="inlineStr"/>
      <ns0:c r="H9" s="96" t="inlineStr"/>
      <ns0:c r="I9" s="96" t="inlineStr"/>
      <ns0:c r="J9" s="96" t="inlineStr"/>
      <ns0:c r="K9" s="96" t="inlineStr"/>
      <ns0:c r="L9" s="96" t="inlineStr">
        <ns0:is>
          <ns0:t>purity-only gate</ns0:t>
        </ns0:is>
      </ns0:c>
    </ns0:row>
    <ns0:row r="10" ht="36" customHeight="1" s="2">
      <ns0:c r="A10" s="97" t="inlineStr">
        <ns0:is>
          <ns0:t>旧 O3 自评为 1</ns0:t>
        </ns0:is>
      </ns0:c>
      <ns0:c r="B10" s="97" t="inlineStr">
        <ns0:is>
          <ns0:t>是</ns0:t>
        </ns0:is>
      </ns0:c>
      <ns0:c r="C10" s="97" t="inlineStr">
        <ns0:is>
          <ns0:t>只能作上限标尺</ns0:t>
        </ns0:is>
      </ns0:c>
      <ns0:c r="D10" s="97" t="inlineStr">
        <ns0:is>
          <ns0:t>不当作方法性能</ns0:t>
        </ns0:is>
      </ns0:c>
      <ns0:c r="E10" s="97" t="inlineStr"/>
      <ns0:c r="F10" s="97" t="inlineStr"/>
      <ns0:c r="G10" s="97" t="inlineStr"/>
      <ns0:c r="H10" s="97" t="inlineStr"/>
      <ns0:c r="I10" s="97" t="inlineStr"/>
      <ns0:c r="J10" s="97" t="inlineStr"/>
      <ns0:c r="K10" s="97" t="inlineStr"/>
      <ns0:c r="L10" s="97" t="inlineStr">
        <ns0:is>
          <ns0:t>tautological ceiling</ns0:t>
        </ns0:is>
      </ns0:c>
    </ns0:row>
    <ns0:row r="11" ht="36" customHeight="1" s="2">
      <ns0:c r="A11" s="96" t="inlineStr">
        <ns0:is>
          <ns0:t>旧关系结果用于决策</ns0:t>
        </ns0:is>
      </ns0:c>
      <ns0:c r="B11" s="96" t="inlineStr">
        <ns0:is>
          <ns0:t>否</ns0:t>
        </ns0:is>
      </ns0:c>
      <ns0:c r="C11" s="96" t="inlineStr">
        <ns0:is>
          <ns0:t>应为“否”</ns0:t>
        </ns0:is>
      </ns0:c>
      <ns0:c r="D11" s="96" t="inlineStr">
        <ns0:is>
          <ns0:t>本轮排除</ns0:t>
        </ns0:is>
      </ns0:c>
      <ns0:c r="E11" s="96" t="inlineStr"/>
      <ns0:c r="F11" s="96" t="inlineStr"/>
      <ns0:c r="G11" s="96" t="inlineStr"/>
      <ns0:c r="H11" s="96" t="inlineStr"/>
      <ns0:c r="I11" s="96" t="inlineStr"/>
      <ns0:c r="J11" s="96" t="inlineStr"/>
      <ns0:c r="K11" s="96" t="inlineStr"/>
      <ns0:c r="L11" s="96" t="inlineStr">
        <ns0:is>
          <ns0:t>mixed models/candidates</ns0:t>
        </ns0:is>
      </ns0:c>
    </ns0:row>
    <ns0:row r="12" ht="36" customHeight="1" s="2">
      <ns0:c r="A12" s="74" t="inlineStr">
        <ns0:is>
          <ns0:t>room0 B0 冻结 parity</ns0:t>
        </ns0:is>
      </ns0:c>
      <ns0:c r="B12" s="74" t="inlineStr">
        <ns0:is>
          <ns0:t>是</ns0:t>
        </ns0:is>
      </ns0:c>
      <ns0:c r="C12" s="74" t="inlineStr">
        <ns0:is>
          <ns0:t>基线可对齐</ns0:t>
        </ns0:is>
      </ns0:c>
      <ns0:c r="D12" s="74" t="inlineStr">
        <ns0:is>
          <ns0:t>通过</ns0:t>
        </ns0:is>
      </ns0:c>
      <ns0:c r="E12" s="74" t="inlineStr"/>
      <ns0:c r="F12" s="74" t="inlineStr"/>
      <ns0:c r="G12" s="74" t="inlineStr"/>
      <ns0:c r="H12" s="74" t="inlineStr"/>
      <ns0:c r="I12" s="74" t="inlineStr"/>
      <ns0:c r="J12" s="74" t="inlineStr"/>
      <ns0:c r="K12" s="74" t="inlineStr"/>
      <ns0:c r="L12" s="74" t="inlineStr">
        <ns0:is>
          <ns0:t>frozen reference</ns0:t>
        </ns0:is>
      </ns0:c>
    </ns0:row>
    <ns0:row r="13" ht="36" customHeight="1" s="2">
      <ns0:c r="A13" s="74" t="inlineStr">
        <ns0:is>
          <ns0:t>office0 独立冻结 B0 parity 参考</ns0:t>
        </ns0:is>
      </ns0:c>
      <ns0:c r="B13" s="74" t="inlineStr">
        <ns0:is>
          <ns0:t>否</ns0:t>
        </ns0:is>
      </ns0:c>
      <ns0:c r="C13" s="74" t="inlineStr">
        <ns0:is>
          <ns0:t>无法声称独立 parity</ns0:t>
        </ns0:is>
      </ns0:c>
      <ns0:c r="D13" s="74" t="inlineStr">
        <ns0:is>
          <ns0:t>如实报告</ns0:t>
        </ns0:is>
      </ns0:c>
      <ns0:c r="E13" s="74" t="inlineStr"/>
      <ns0:c r="F13" s="74" t="inlineStr"/>
      <ns0:c r="G13" s="74" t="inlineStr"/>
      <ns0:c r="H13" s="74" t="inlineStr"/>
      <ns0:c r="I13" s="74" t="inlineStr"/>
      <ns0:c r="J13" s="74" t="inlineStr"/>
      <ns0:c r="K13" s="74" t="inlineStr"/>
      <ns0:c r="L13" s="74" t="inlineStr">
        <ns0:is>
          <ns0:t>fresh online build only</ns0:t>
        </ns0:is>
      </ns0:c>
    </ns0:row>
    <ns0:row r="14"/>
    <ns0:row r="15" ht="24" customHeight="1" s="2">
      <ns0:c r="A15" s="91" t="inlineStr">
        <ns0:is>
          <ns0:t>B. 几何主表：3 个体素尺度 × 2 场景 × 10 条件</ns0:t>
        </ns0:is>
      </ns0:c>
      <ns0:c r="B15" s="120" t="n"/>
      <ns0:c r="C15" s="120" t="n"/>
      <ns0:c r="D15" s="120" t="n"/>
      <ns0:c r="E15" s="120" t="n"/>
      <ns0:c r="F15" s="120" t="n"/>
      <ns0:c r="G15" s="120" t="n"/>
      <ns0:c r="H15" s="120" t="n"/>
      <ns0:c r="I15" s="120" t="n"/>
      <ns0:c r="J15" s="120" t="n"/>
      <ns0:c r="K15" s="120" t="n"/>
      <ns0:c r="L15" s="120" t="n"/>
    </ns0:row>
    <ns0:row r="16" ht="30" customHeight="1" s="2">
      <ns0:c r="A16" s="92" t="inlineStr">
        <ns0:is>
          <ns0:t>体素</ns0:t>
        </ns0:is>
      </ns0:c>
      <ns0:c r="B16" s="92" t="inlineStr">
        <ns0:is>
          <ns0:t>场景</ns0:t>
        </ns0:is>
      </ns0:c>
      <ns0:c r="C16" s="92" t="inlineStr">
        <ns0:is>
          <ns0:t>条件</ns0:t>
        </ns0:is>
      </ns0:c>
      <ns0:c r="D16" s="92" t="inlineStr">
        <ns0:is>
          <ns0:t>预测节点</ns0:t>
        </ns0:is>
      </ns0:c>
      <ns0:c r="E16" s="92" t="inlineStr">
        <ns0:is>
          <ns0:t>AP mean@25/50</ns0:t>
        </ns0:is>
      </ns0:c>
      <ns0:c r="F16" s="92" t="inlineStr">
        <ns0:is>
          <ns0:t>Node F1</ns0:t>
        </ns0:is>
      </ns0:c>
      <ns0:c r="G16" s="92" t="inlineStr">
        <ns0:is>
          <ns0:t>语义准确率</ns0:t>
        </ns0:is>
      </ns0:c>
      <ns0:c r="H16" s="92" t="inlineStr">
        <ns0:is>
          <ns0:t>语义正确</ns0:t>
        </ns0:is>
      </ns0:c>
      <ns0:c r="I16" s="92" t="inlineStr">
        <ns0:is>
          <ns0:t>语义分母</ns0:t>
        </ns0:is>
      </ns0:c>
      <ns0:c r="J16" s="92" t="inlineStr">
        <ns0:is>
          <ns0:t>条件类型</ns0:t>
        </ns0:is>
      </ns0:c>
      <ns0:c r="K16" s="92" t="inlineStr"/>
      <ns0:c r="L16" s="92" t="inlineStr">
        <ns0:is>
          <ns0:t>备注</ns0:t>
        </ns0:is>
      </ns0:c>
    </ns0:row>
    <ns0:row r="17">
      <ns0:c r="A17" s="96" t="inlineStr">
        <ns0:is>
          <ns0:t>2.5 cm</ns0:t>
        </ns0:is>
      </ns0:c>
      <ns0:c r="B17" s="96" t="inlineStr">
        <ns0:is>
          <ns0:t>room0</ns0:t>
        </ns0:is>
      </ns0:c>
      <ns0:c r="C17" s="96" t="inlineStr">
        <ns0:is>
          <ns0:t>B0</ns0:t>
        </ns0:is>
      </ns0:c>
      <ns0:c r="D17" s="105" t="n">
        <ns0:v>72</ns0:v>
      </ns0:c>
      <ns0:c r="E17" s="106" t="n">
        <ns0:v>0.01714989746516583</ns0:v>
      </ns0:c>
      <ns0:c r="F17" s="106" t="n">
        <ns0:v>0.09815950920245399</ns0:v>
      </ns0:c>
      <ns0:c r="G17" s="106" t="n">
        <ns0:v>0.1428571428571428</ns0:v>
      </ns0:c>
      <ns0:c r="H17" s="105" t="n">
        <ns0:v>1</ns0:v>
      </ns0:c>
      <ns0:c r="I17" s="105" t="n">
        <ns0:v>7</ns0:v>
      </ns0:c>
      <ns0:c r="J17" s="96" t="inlineStr">
        <ns0:is>
          <ns0:t>基线</ns0:t>
        </ns0:is>
      </ns0:c>
      <ns0:c r="K17" s="96" t="inlineStr"/>
      <ns0:c r="L17" s="96" t="inlineStr"/>
    </ns0:row>
    <ns0:row r="18">
      <ns0:c r="A18" s="97" t="inlineStr">
        <ns0:is>
          <ns0:t>2.5 cm</ns0:t>
        </ns0:is>
      </ns0:c>
      <ns0:c r="B18" s="97" t="inlineStr">
        <ns0:is>
          <ns0:t>room0</ns0:t>
        </ns0:is>
      </ns0:c>
      <ns0:c r="C18" s="97" t="inlineStr">
        <ns0:is>
          <ns0:t>legacy_O1</ns0:t>
        </ns0:is>
      </ns0:c>
      <ns0:c r="D18" s="107" t="n">
        <ns0:v>57</ns0:v>
      </ns0:c>
      <ns0:c r="E18" s="108" t="n">
        <ns0:v>0.03952098007941326</ns0:v>
      </ns0:c>
      <ns0:c r="F18" s="108" t="n">
        <ns0:v>0.1891891891891892</ns0:v>
      </ns0:c>
      <ns0:c r="G18" s="108" t="n">
        <ns0:v>0.2</ns0:v>
      </ns0:c>
      <ns0:c r="H18" s="107" t="n">
        <ns0:v>2</ns0:v>
      </ns0:c>
      <ns0:c r="I18" s="107" t="n">
        <ns0:v>10</ns0:v>
      </ns0:c>
      <ns0:c r="J18" s="97" t="inlineStr">
        <ns0:is>
          <ns0:t>旧方法（只追溯）</ns0:t>
        </ns0:is>
      </ns0:c>
      <ns0:c r="K18" s="97" t="inlineStr"/>
      <ns0:c r="L18" s="97" t="inlineStr"/>
    </ns0:row>
    <ns0:row r="19">
      <ns0:c r="A19" s="96" t="inlineStr">
        <ns0:is>
          <ns0:t>2.5 cm</ns0:t>
        </ns0:is>
      </ns0:c>
      <ns0:c r="B19" s="96" t="inlineStr">
        <ns0:is>
          <ns0:t>room0</ns0:t>
        </ns0:is>
      </ns0:c>
      <ns0:c r="C19" s="96" t="inlineStr">
        <ns0:is>
          <ns0:t>legacy_O2</ns0:t>
        </ns0:is>
      </ns0:c>
      <ns0:c r="D19" s="105" t="n">
        <ns0:v>57</ns0:v>
      </ns0:c>
      <ns0:c r="E19" s="106" t="n">
        <ns0:v>0.03952098007941326</ns0:v>
      </ns0:c>
      <ns0:c r="F19" s="106" t="n">
        <ns0:v>0.1891891891891892</ns0:v>
      </ns0:c>
      <ns0:c r="G19" s="106" t="n">
        <ns0:v>0.5</ns0:v>
      </ns0:c>
      <ns0:c r="H19" s="105" t="n">
        <ns0:v>5</ns0:v>
      </ns0:c>
      <ns0:c r="I19" s="105" t="n">
        <ns0:v>10</ns0:v>
      </ns0:c>
      <ns0:c r="J19" s="96" t="inlineStr">
        <ns0:is>
          <ns0:t>旧方法（只追溯）</ns0:t>
        </ns0:is>
      </ns0:c>
      <ns0:c r="K19" s="96" t="inlineStr"/>
      <ns0:c r="L19" s="96" t="inlineStr">
        <ns0:is>
          <ns0:t>语义分母不是严格 label-only cohort</ns0:t>
        </ns0:is>
      </ns0:c>
    </ns0:row>
    <ns0:row r="20">
      <ns0:c r="A20" s="97" t="inlineStr">
        <ns0:is>
          <ns0:t>2.5 cm</ns0:t>
        </ns0:is>
      </ns0:c>
      <ns0:c r="B20" s="97" t="inlineStr">
        <ns0:is>
          <ns0:t>room0</ns0:t>
        </ns0:is>
      </ns0:c>
      <ns0:c r="C20" s="97" t="inlineStr">
        <ns0:is>
          <ns0:t>OA_online</ns0:t>
        </ns0:is>
      </ns0:c>
      <ns0:c r="D20" s="107" t="n">
        <ns0:v>65</ns0:v>
      </ns0:c>
      <ns0:c r="E20" s="108" t="n">
        <ns0:v>0.03881207733364136</ns0:v>
      </ns0:c>
      <ns0:c r="F20" s="108" t="n">
        <ns0:v>0.1794871794871795</ns0:v>
      </ns0:c>
      <ns0:c r="G20" s="108" t="n">
        <ns0:v>0.2</ns0:v>
      </ns0:c>
      <ns0:c r="H20" s="107" t="n">
        <ns0:v>2</ns0:v>
      </ns0:c>
      <ns0:c r="I20" s="107" t="n">
        <ns0:v>10</ns0:v>
      </ns0:c>
      <ns0:c r="J20" s="97" t="inlineStr">
        <ns0:is>
          <ns0:t>修正在线 Oracle</ns0:t>
        </ns0:is>
      </ns0:c>
      <ns0:c r="K20" s="97" t="inlineStr"/>
      <ns0:c r="L20" s="97" t="inlineStr"/>
    </ns0:row>
    <ns0:row r="21">
      <ns0:c r="A21" s="96" t="inlineStr">
        <ns0:is>
          <ns0:t>2.5 cm</ns0:t>
        </ns0:is>
      </ns0:c>
      <ns0:c r="B21" s="96" t="inlineStr">
        <ns0:is>
          <ns0:t>room0</ns0:t>
        </ns0:is>
      </ns0:c>
      <ns0:c r="C21" s="96" t="inlineStr">
        <ns0:is>
          <ns0:t>OP_raw</ns0:t>
        </ns0:is>
      </ns0:c>
      <ns0:c r="D21" s="105" t="n">
        <ns0:v>72</ns0:v>
      </ns0:c>
      <ns0:c r="E21" s="106" t="n">
        <ns0:v>0.05001873076957805</ns0:v>
      </ns0:c>
      <ns0:c r="F21" s="106" t="n">
        <ns0:v>0.196319018404908</ns0:v>
      </ns0:c>
      <ns0:c r="G21" s="106" t="n">
        <ns0:v>0.2727272727272727</ns0:v>
      </ns0:c>
      <ns0:c r="H21" s="105" t="n">
        <ns0:v>3</ns0:v>
      </ns0:c>
      <ns0:c r="I21" s="105" t="n">
        <ns0:v>11</ns0:v>
      </ns0:c>
      <ns0:c r="J21" s="96" t="inlineStr">
        <ns0:is>
          <ns0:t>修正在线 Oracle</ns0:t>
        </ns0:is>
      </ns0:c>
      <ns0:c r="K21" s="96" t="inlineStr"/>
      <ns0:c r="L21" s="96" t="inlineStr"/>
    </ns0:row>
    <ns0:row r="22">
      <ns0:c r="A22" s="97" t="inlineStr">
        <ns0:is>
          <ns0:t>2.5 cm</ns0:t>
        </ns0:is>
      </ns0:c>
      <ns0:c r="B22" s="97" t="inlineStr">
        <ns0:is>
          <ns0:t>room0</ns0:t>
        </ns0:is>
      </ns0:c>
      <ns0:c r="C22" s="97" t="inlineStr">
        <ns0:is>
          <ns0:t>OM_pure</ns0:t>
        </ns0:is>
      </ns0:c>
      <ns0:c r="D22" s="107" t="n">
        <ns0:v>35</ns0:v>
      </ns0:c>
      <ns0:c r="E22" s="108" t="n">
        <ns0:v>0.04747201618051691</ns0:v>
      </ns0:c>
      <ns0:c r="F22" s="108" t="n">
        <ns0:v>0.2063492063492063</ns0:v>
      </ns0:c>
      <ns0:c r="G22" s="108" t="n">
        <ns0:v>0.25</ns0:v>
      </ns0:c>
      <ns0:c r="H22" s="107" t="n">
        <ns0:v>2</ns0:v>
      </ns0:c>
      <ns0:c r="I22" s="107" t="n">
        <ns0:v>8</ns0:v>
      </ns0:c>
      <ns0:c r="J22" s="97" t="inlineStr">
        <ns0:is>
          <ns0:t>修正在线 Oracle</ns0:t>
        </ns0:is>
      </ns0:c>
      <ns0:c r="K22" s="97" t="inlineStr"/>
      <ns0:c r="L22" s="97" t="inlineStr"/>
    </ns0:row>
    <ns0:row r="23">
      <ns0:c r="A23" s="96" t="inlineStr">
        <ns0:is>
          <ns0:t>2.5 cm</ns0:t>
        </ns0:is>
      </ns0:c>
      <ns0:c r="B23" s="96" t="inlineStr">
        <ns0:is>
          <ns0:t>room0</ns0:t>
        </ns0:is>
      </ns0:c>
      <ns0:c r="C23" s="96" t="inlineStr">
        <ns0:is>
          <ns0:t>OM_all</ns0:t>
        </ns0:is>
      </ns0:c>
      <ns0:c r="D23" s="105" t="n">
        <ns0:v>91</ns0:v>
      </ns0:c>
      <ns0:c r="E23" s="106" t="n">
        <ns0:v>0.6640146397708597</ns0:v>
      </ns0:c>
      <ns0:c r="F23" s="106" t="n">
        <ns0:v>0.8351648351648352</ns0:v>
      </ns0:c>
      <ns0:c r="G23" s="106" t="n">
        <ns0:v>0.0625</ns0:v>
      </ns0:c>
      <ns0:c r="H23" s="105" t="n">
        <ns0:v>3</ns0:v>
      </ns0:c>
      <ns0:c r="I23" s="105" t="n">
        <ns0:v>48</ns0:v>
      </ns0:c>
      <ns0:c r="J23" s="96" t="inlineStr">
        <ns0:is>
          <ns0:t>修正在线 Oracle</ns0:t>
        </ns0:is>
      </ns0:c>
      <ns0:c r="K23" s="96" t="inlineStr"/>
      <ns0:c r="L23" s="96" t="inlineStr"/>
    </ns0:row>
    <ns0:row r="24">
      <ns0:c r="A24" s="97" t="inlineStr">
        <ns0:is>
          <ns0:t>2.5 cm</ns0:t>
        </ns0:is>
      </ns0:c>
      <ns0:c r="B24" s="97" t="inlineStr">
        <ns0:is>
          <ns0:t>room0</ns0:t>
        </ns0:is>
      </ns0:c>
      <ns0:c r="C24" s="97" t="inlineStr">
        <ns0:is>
          <ns0:t>OS_strict</ns0:t>
        </ns0:is>
      </ns0:c>
      <ns0:c r="D24" s="107" t="n">
        <ns0:v>72</ns0:v>
      </ns0:c>
      <ns0:c r="E24" s="108" t="n">
        <ns0:v>0.01714989746516583</ns0:v>
      </ns0:c>
      <ns0:c r="F24" s="108" t="n">
        <ns0:v>0.09815950920245399</ns0:v>
      </ns0:c>
      <ns0:c r="G24" s="108" t="n">
        <ns0:v>0.1428571428571428</ns0:v>
      </ns0:c>
      <ns0:c r="H24" s="107" t="n">
        <ns0:v>1</ns0:v>
      </ns0:c>
      <ns0:c r="I24" s="107" t="n">
        <ns0:v>7</ns0:v>
      </ns0:c>
      <ns0:c r="J24" s="97" t="inlineStr">
        <ns0:is>
          <ns0:t>语义消融</ns0:t>
        </ns0:is>
      </ns0:c>
      <ns0:c r="K24" s="97" t="inlineStr"/>
      <ns0:c r="L24" s="97" t="inlineStr"/>
    </ns0:row>
    <ns0:row r="25">
      <ns0:c r="A25" s="96" t="inlineStr">
        <ns0:is>
          <ns0:t>2.5 cm</ns0:t>
        </ns0:is>
      </ns0:c>
      <ns0:c r="B25" s="96" t="inlineStr">
        <ns0:is>
          <ns0:t>room0</ns0:t>
        </ns0:is>
      </ns0:c>
      <ns0:c r="C25" s="96" t="inlineStr">
        <ns0:is>
          <ns0:t>OS_hungarian</ns0:t>
        </ns0:is>
      </ns0:c>
      <ns0:c r="D25" s="105" t="n">
        <ns0:v>72</ns0:v>
      </ns0:c>
      <ns0:c r="E25" s="106" t="n">
        <ns0:v>0.01714989746516583</ns0:v>
      </ns0:c>
      <ns0:c r="F25" s="106" t="n">
        <ns0:v>0.09815950920245399</ns0:v>
      </ns0:c>
      <ns0:c r="G25" s="106" t="n">
        <ns0:v>1</ns0:v>
      </ns0:c>
      <ns0:c r="H25" s="105" t="n">
        <ns0:v>7</ns0:v>
      </ns0:c>
      <ns0:c r="I25" s="105" t="n">
        <ns0:v>7</ns0:v>
      </ns0:c>
      <ns0:c r="J25" s="96" t="inlineStr">
        <ns0:is>
          <ns0:t>语义消融</ns0:t>
        </ns0:is>
      </ns0:c>
      <ns0:c r="K25" s="96" t="inlineStr"/>
      <ns0:c r="L25" s="96" t="inlineStr">
        <ns0:is>
          <ns0:t>弱结构匹配，不用于纯语义结论</ns0:t>
        </ns0:is>
      </ns0:c>
    </ns0:row>
    <ns0:row r="26">
      <ns0:c r="A26" s="97" t="inlineStr">
        <ns0:is>
          <ns0:t>2.5 cm</ns0:t>
        </ns0:is>
      </ns0:c>
      <ns0:c r="B26" s="97" t="inlineStr">
        <ns0:is>
          <ns0:t>room0</ns0:t>
        </ns0:is>
      </ns0:c>
      <ns0:c r="C26" s="97" t="inlineStr">
        <ns0:is>
          <ns0:t>OG</ns0:t>
        </ns0:is>
      </ns0:c>
      <ns0:c r="D26" s="107" t="n">
        <ns0:v>91</ns0:v>
      </ns0:c>
      <ns0:c r="E26" s="108" t="n">
        <ns0:v>1</ns0:v>
      </ns0:c>
      <ns0:c r="F26" s="108" t="n">
        <ns0:v>1</ns0:v>
      </ns0:c>
      <ns0:c r="G26" s="108" t="n">
        <ns0:v>1</ns0:v>
      </ns0:c>
      <ns0:c r="H26" s="107" t="n">
        <ns0:v>58</ns0:v>
      </ns0:c>
      <ns0:c r="I26" s="107" t="n">
        <ns0:v>58</ns0:v>
      </ns0:c>
      <ns0:c r="J26" s="97" t="inlineStr">
        <ns0:is>
          <ns0:t>总上限</ns0:t>
        </ns0:is>
      </ns0:c>
      <ns0:c r="K26" s="97" t="inlineStr"/>
      <ns0:c r="L26" s="97" t="inlineStr"/>
    </ns0:row>
    <ns0:row r="27">
      <ns0:c r="A27" s="96" t="inlineStr">
        <ns0:is>
          <ns0:t>2.5 cm</ns0:t>
        </ns0:is>
      </ns0:c>
      <ns0:c r="B27" s="96" t="inlineStr">
        <ns0:is>
          <ns0:t>office0</ns0:t>
        </ns0:is>
      </ns0:c>
      <ns0:c r="C27" s="96" t="inlineStr">
        <ns0:is>
          <ns0:t>B0</ns0:t>
        </ns0:is>
      </ns0:c>
      <ns0:c r="D27" s="105" t="n">
        <ns0:v>35</ns0:v>
      </ns0:c>
      <ns0:c r="E27" s="106" t="n">
        <ns0:v>0.004530453045304531</ns0:v>
      </ns0:c>
      <ns0:c r="F27" s="106" t="n">
        <ns0:v>0.04597701149425287</ns0:v>
      </ns0:c>
      <ns0:c r="G27" s="109" t="n"/>
      <ns0:c r="H27" s="105" t="n">
        <ns0:v>0</ns0:v>
      </ns0:c>
      <ns0:c r="I27" s="105" t="n">
        <ns0:v>0</ns0:v>
      </ns0:c>
      <ns0:c r="J27" s="96" t="inlineStr">
        <ns0:is>
          <ns0:t>基线</ns0:t>
        </ns0:is>
      </ns0:c>
      <ns0:c r="K27" s="96" t="inlineStr"/>
      <ns0:c r="L27" s="96" t="inlineStr"/>
    </ns0:row>
    <ns0:row r="28">
      <ns0:c r="A28" s="97" t="inlineStr">
        <ns0:is>
          <ns0:t>2.5 cm</ns0:t>
        </ns0:is>
      </ns0:c>
      <ns0:c r="B28" s="97" t="inlineStr">
        <ns0:is>
          <ns0:t>office0</ns0:t>
        </ns0:is>
      </ns0:c>
      <ns0:c r="C28" s="97" t="inlineStr">
        <ns0:is>
          <ns0:t>legacy_O1</ns0:t>
        </ns0:is>
      </ns0:c>
      <ns0:c r="D28" s="107" t="n">
        <ns0:v>34</ns0:v>
      </ns0:c>
      <ns0:c r="E28" s="108" t="n">
        <ns0:v>0.01717671767176717</ns0:v>
      </ns0:c>
      <ns0:c r="F28" s="108" t="n">
        <ns0:v>0.09302325581395349</ns0:v>
      </ns0:c>
      <ns0:c r="G28" s="108" t="n">
        <ns0:v>0</ns0:v>
      </ns0:c>
      <ns0:c r="H28" s="107" t="n">
        <ns0:v>0</ns0:v>
      </ns0:c>
      <ns0:c r="I28" s="107" t="n">
        <ns0:v>3</ns0:v>
      </ns0:c>
      <ns0:c r="J28" s="97" t="inlineStr">
        <ns0:is>
          <ns0:t>旧方法（只追溯）</ns0:t>
        </ns0:is>
      </ns0:c>
      <ns0:c r="K28" s="97" t="inlineStr"/>
      <ns0:c r="L28" s="97" t="inlineStr"/>
    </ns0:row>
    <ns0:row r="29">
      <ns0:c r="A29" s="96" t="inlineStr">
        <ns0:is>
          <ns0:t>2.5 cm</ns0:t>
        </ns0:is>
      </ns0:c>
      <ns0:c r="B29" s="96" t="inlineStr">
        <ns0:is>
          <ns0:t>office0</ns0:t>
        </ns0:is>
      </ns0:c>
      <ns0:c r="C29" s="96" t="inlineStr">
        <ns0:is>
          <ns0:t>legacy_O2</ns0:t>
        </ns0:is>
      </ns0:c>
      <ns0:c r="D29" s="105" t="n">
        <ns0:v>34</ns0:v>
      </ns0:c>
      <ns0:c r="E29" s="106" t="n">
        <ns0:v>0.01717671767176717</ns0:v>
      </ns0:c>
      <ns0:c r="F29" s="106" t="n">
        <ns0:v>0.09302325581395349</ns0:v>
      </ns0:c>
      <ns0:c r="G29" s="106" t="n">
        <ns0:v>0.3333333333333333</ns0:v>
      </ns0:c>
      <ns0:c r="H29" s="105" t="n">
        <ns0:v>1</ns0:v>
      </ns0:c>
      <ns0:c r="I29" s="105" t="n">
        <ns0:v>3</ns0:v>
      </ns0:c>
      <ns0:c r="J29" s="96" t="inlineStr">
        <ns0:is>
          <ns0:t>旧方法（只追溯）</ns0:t>
        </ns0:is>
      </ns0:c>
      <ns0:c r="K29" s="96" t="inlineStr"/>
      <ns0:c r="L29" s="96" t="inlineStr">
        <ns0:is>
          <ns0:t>语义分母不是严格 label-only cohort</ns0:t>
        </ns0:is>
      </ns0:c>
    </ns0:row>
    <ns0:row r="30">
      <ns0:c r="A30" s="97" t="inlineStr">
        <ns0:is>
          <ns0:t>2.5 cm</ns0:t>
        </ns0:is>
      </ns0:c>
      <ns0:c r="B30" s="97" t="inlineStr">
        <ns0:is>
          <ns0:t>office0</ns0:t>
        </ns0:is>
      </ns0:c>
      <ns0:c r="C30" s="97" t="inlineStr">
        <ns0:is>
          <ns0:t>OA_online</ns0:t>
        </ns0:is>
      </ns0:c>
      <ns0:c r="D30" s="107" t="n">
        <ns0:v>34</ns0:v>
      </ns0:c>
      <ns0:c r="E30" s="108" t="n">
        <ns0:v>0.01717671767176717</ns0:v>
      </ns0:c>
      <ns0:c r="F30" s="108" t="n">
        <ns0:v>0.09302325581395349</ns0:v>
      </ns0:c>
      <ns0:c r="G30" s="108" t="n">
        <ns0:v>0</ns0:v>
      </ns0:c>
      <ns0:c r="H30" s="107" t="n">
        <ns0:v>0</ns0:v>
      </ns0:c>
      <ns0:c r="I30" s="107" t="n">
        <ns0:v>3</ns0:v>
      </ns0:c>
      <ns0:c r="J30" s="97" t="inlineStr">
        <ns0:is>
          <ns0:t>修正在线 Oracle</ns0:t>
        </ns0:is>
      </ns0:c>
      <ns0:c r="K30" s="97" t="inlineStr"/>
      <ns0:c r="L30" s="97" t="inlineStr"/>
    </ns0:row>
    <ns0:row r="31">
      <ns0:c r="A31" s="96" t="inlineStr">
        <ns0:is>
          <ns0:t>2.5 cm</ns0:t>
        </ns0:is>
      </ns0:c>
      <ns0:c r="B31" s="96" t="inlineStr">
        <ns0:is>
          <ns0:t>office0</ns0:t>
        </ns0:is>
      </ns0:c>
      <ns0:c r="C31" s="96" t="inlineStr">
        <ns0:is>
          <ns0:t>OP_raw</ns0:t>
        </ns0:is>
      </ns0:c>
      <ns0:c r="D31" s="105" t="n">
        <ns0:v>37</ns0:v>
      </ns0:c>
      <ns0:c r="E31" s="106" t="n">
        <ns0:v>0.02518001800180018</ns0:v>
      </ns0:c>
      <ns0:c r="F31" s="106" t="n">
        <ns0:v>0.1573033707865168</ns0:v>
      </ns0:c>
      <ns0:c r="G31" s="106" t="n">
        <ns0:v>0.3333333333333333</ns0:v>
      </ns0:c>
      <ns0:c r="H31" s="105" t="n">
        <ns0:v>1</ns0:v>
      </ns0:c>
      <ns0:c r="I31" s="105" t="n">
        <ns0:v>3</ns0:v>
      </ns0:c>
      <ns0:c r="J31" s="96" t="inlineStr">
        <ns0:is>
          <ns0:t>修正在线 Oracle</ns0:t>
        </ns0:is>
      </ns0:c>
      <ns0:c r="K31" s="96" t="inlineStr"/>
      <ns0:c r="L31" s="96" t="inlineStr"/>
    </ns0:row>
    <ns0:row r="32">
      <ns0:c r="A32" s="97" t="inlineStr">
        <ns0:is>
          <ns0:t>2.5 cm</ns0:t>
        </ns0:is>
      </ns0:c>
      <ns0:c r="B32" s="97" t="inlineStr">
        <ns0:is>
          <ns0:t>office0</ns0:t>
        </ns0:is>
      </ns0:c>
      <ns0:c r="C32" s="97" t="inlineStr">
        <ns0:is>
          <ns0:t>OM_pure</ns0:t>
        </ns0:is>
      </ns0:c>
      <ns0:c r="D32" s="107" t="n">
        <ns0:v>19</ns0:v>
      </ns0:c>
      <ns0:c r="E32" s="108" t="n">
        <ns0:v>0.02819031903190319</ns0:v>
      </ns0:c>
      <ns0:c r="F32" s="108" t="n">
        <ns0:v>0.1971830985915493</ns0:v>
      </ns0:c>
      <ns0:c r="G32" s="108" t="n">
        <ns0:v>0.6666666666666666</ns0:v>
      </ns0:c>
      <ns0:c r="H32" s="107" t="n">
        <ns0:v>2</ns0:v>
      </ns0:c>
      <ns0:c r="I32" s="107" t="n">
        <ns0:v>3</ns0:v>
      </ns0:c>
      <ns0:c r="J32" s="97" t="inlineStr">
        <ns0:is>
          <ns0:t>修正在线 Oracle</ns0:t>
        </ns0:is>
      </ns0:c>
      <ns0:c r="K32" s="97" t="inlineStr"/>
      <ns0:c r="L32" s="97" t="inlineStr"/>
    </ns0:row>
    <ns0:row r="33">
      <ns0:c r="A33" s="96" t="inlineStr">
        <ns0:is>
          <ns0:t>2.5 cm</ns0:t>
        </ns0:is>
      </ns0:c>
      <ns0:c r="B33" s="96" t="inlineStr">
        <ns0:is>
          <ns0:t>office0</ns0:t>
        </ns0:is>
      </ns0:c>
      <ns0:c r="C33" s="96" t="inlineStr">
        <ns0:is>
          <ns0:t>OM_all</ns0:t>
        </ns0:is>
      </ns0:c>
      <ns0:c r="D33" s="105" t="n">
        <ns0:v>50</ns0:v>
      </ns0:c>
      <ns0:c r="E33" s="106" t="n">
        <ns0:v>0.6430803044996936</ns0:v>
      </ns0:c>
      <ns0:c r="F33" s="106" t="n">
        <ns0:v>0.8627450980392157</ns0:v>
      </ns0:c>
      <ns0:c r="G33" s="106" t="n">
        <ns0:v>0.2857142857142857</ns0:v>
      </ns0:c>
      <ns0:c r="H33" s="105" t="n">
        <ns0:v>4</ns0:v>
      </ns0:c>
      <ns0:c r="I33" s="105" t="n">
        <ns0:v>14</ns0:v>
      </ns0:c>
      <ns0:c r="J33" s="96" t="inlineStr">
        <ns0:is>
          <ns0:t>修正在线 Oracle</ns0:t>
        </ns0:is>
      </ns0:c>
      <ns0:c r="K33" s="96" t="inlineStr"/>
      <ns0:c r="L33" s="96" t="inlineStr"/>
    </ns0:row>
    <ns0:row r="34">
      <ns0:c r="A34" s="97" t="inlineStr">
        <ns0:is>
          <ns0:t>2.5 cm</ns0:t>
        </ns0:is>
      </ns0:c>
      <ns0:c r="B34" s="97" t="inlineStr">
        <ns0:is>
          <ns0:t>office0</ns0:t>
        </ns0:is>
      </ns0:c>
      <ns0:c r="C34" s="97" t="inlineStr">
        <ns0:is>
          <ns0:t>OS_strict</ns0:t>
        </ns0:is>
      </ns0:c>
      <ns0:c r="D34" s="107" t="n">
        <ns0:v>35</ns0:v>
      </ns0:c>
      <ns0:c r="E34" s="108" t="n">
        <ns0:v>0.004530453045304531</ns0:v>
      </ns0:c>
      <ns0:c r="F34" s="108" t="n">
        <ns0:v>0.04597701149425287</ns0:v>
      </ns0:c>
      <ns0:c r="G34" s="110" t="n"/>
      <ns0:c r="H34" s="107" t="n">
        <ns0:v>0</ns0:v>
      </ns0:c>
      <ns0:c r="I34" s="107" t="n">
        <ns0:v>0</ns0:v>
      </ns0:c>
      <ns0:c r="J34" s="97" t="inlineStr">
        <ns0:is>
          <ns0:t>语义消融</ns0:t>
        </ns0:is>
      </ns0:c>
      <ns0:c r="K34" s="97" t="inlineStr"/>
      <ns0:c r="L34" s="97" t="inlineStr"/>
    </ns0:row>
    <ns0:row r="35">
      <ns0:c r="A35" s="96" t="inlineStr">
        <ns0:is>
          <ns0:t>2.5 cm</ns0:t>
        </ns0:is>
      </ns0:c>
      <ns0:c r="B35" s="96" t="inlineStr">
        <ns0:is>
          <ns0:t>office0</ns0:t>
        </ns0:is>
      </ns0:c>
      <ns0:c r="C35" s="96" t="inlineStr">
        <ns0:is>
          <ns0:t>OS_hungarian</ns0:t>
        </ns0:is>
      </ns0:c>
      <ns0:c r="D35" s="105" t="n">
        <ns0:v>35</ns0:v>
      </ns0:c>
      <ns0:c r="E35" s="106" t="n">
        <ns0:v>0.004530453045304531</ns0:v>
      </ns0:c>
      <ns0:c r="F35" s="106" t="n">
        <ns0:v>0.04597701149425287</ns0:v>
      </ns0:c>
      <ns0:c r="G35" s="109" t="n"/>
      <ns0:c r="H35" s="105" t="n">
        <ns0:v>0</ns0:v>
      </ns0:c>
      <ns0:c r="I35" s="105" t="n">
        <ns0:v>0</ns0:v>
      </ns0:c>
      <ns0:c r="J35" s="96" t="inlineStr">
        <ns0:is>
          <ns0:t>语义消融</ns0:t>
        </ns0:is>
      </ns0:c>
      <ns0:c r="K35" s="96" t="inlineStr"/>
      <ns0:c r="L35" s="96" t="inlineStr">
        <ns0:is>
          <ns0:t>弱结构匹配，不用于纯语义结论</ns0:t>
        </ns0:is>
      </ns0:c>
    </ns0:row>
    <ns0:row r="36">
      <ns0:c r="A36" s="97" t="inlineStr">
        <ns0:is>
          <ns0:t>2.5 cm</ns0:t>
        </ns0:is>
      </ns0:c>
      <ns0:c r="B36" s="97" t="inlineStr">
        <ns0:is>
          <ns0:t>office0</ns0:t>
        </ns0:is>
      </ns0:c>
      <ns0:c r="C36" s="97" t="inlineStr">
        <ns0:is>
          <ns0:t>OG</ns0:t>
        </ns0:is>
      </ns0:c>
      <ns0:c r="D36" s="107" t="n">
        <ns0:v>52</ns0:v>
      </ns0:c>
      <ns0:c r="E36" s="108" t="n">
        <ns0:v>1</ns0:v>
      </ns0:c>
      <ns0:c r="F36" s="108" t="n">
        <ns0:v>1</ns0:v>
      </ns0:c>
      <ns0:c r="G36" s="108" t="n">
        <ns0:v>1</ns0:v>
      </ns0:c>
      <ns0:c r="H36" s="107" t="n">
        <ns0:v>15</ns0:v>
      </ns0:c>
      <ns0:c r="I36" s="107" t="n">
        <ns0:v>15</ns0:v>
      </ns0:c>
      <ns0:c r="J36" s="97" t="inlineStr">
        <ns0:is>
          <ns0:t>总上限</ns0:t>
        </ns0:is>
      </ns0:c>
      <ns0:c r="K36" s="97" t="inlineStr"/>
      <ns0:c r="L36" s="97" t="inlineStr"/>
    </ns0:row>
    <ns0:row r="37">
      <ns0:c r="A37" s="96" t="inlineStr">
        <ns0:is>
          <ns0:t>5.0 cm</ns0:t>
        </ns0:is>
      </ns0:c>
      <ns0:c r="B37" s="96" t="inlineStr">
        <ns0:is>
          <ns0:t>room0</ns0:t>
        </ns0:is>
      </ns0:c>
      <ns0:c r="C37" s="96" t="inlineStr">
        <ns0:is>
          <ns0:t>B0</ns0:t>
        </ns0:is>
      </ns0:c>
      <ns0:c r="D37" s="105" t="n">
        <ns0:v>72</ns0:v>
      </ns0:c>
      <ns0:c r="E37" s="106" t="n">
        <ns0:v>0.02232953862187838</ns0:v>
      </ns0:c>
      <ns0:c r="F37" s="106" t="n">
        <ns0:v>0.1104294478527607</ns0:v>
      </ns0:c>
      <ns0:c r="G37" s="106" t="n">
        <ns0:v>0.25</ns0:v>
      </ns0:c>
      <ns0:c r="H37" s="105" t="n">
        <ns0:v>2</ns0:v>
      </ns0:c>
      <ns0:c r="I37" s="105" t="n">
        <ns0:v>8</ns0:v>
      </ns0:c>
      <ns0:c r="J37" s="96" t="inlineStr">
        <ns0:is>
          <ns0:t>基线</ns0:t>
        </ns0:is>
      </ns0:c>
      <ns0:c r="K37" s="96" t="inlineStr"/>
      <ns0:c r="L37" s="96" t="inlineStr"/>
    </ns0:row>
    <ns0:row r="38">
      <ns0:c r="A38" s="97" t="inlineStr">
        <ns0:is>
          <ns0:t>5.0 cm</ns0:t>
        </ns0:is>
      </ns0:c>
      <ns0:c r="B38" s="97" t="inlineStr">
        <ns0:is>
          <ns0:t>room0</ns0:t>
        </ns0:is>
      </ns0:c>
      <ns0:c r="C38" s="97" t="inlineStr">
        <ns0:is>
          <ns0:t>legacy_O1</ns0:t>
        </ns0:is>
      </ns0:c>
      <ns0:c r="D38" s="107" t="n">
        <ns0:v>57</ns0:v>
      </ns0:c>
      <ns0:c r="E38" s="108" t="n">
        <ns0:v>0.0505070329974449</ns0:v>
      </ns0:c>
      <ns0:c r="F38" s="108" t="n">
        <ns0:v>0.2297297297297297</ns0:v>
      </ns0:c>
      <ns0:c r="G38" s="108" t="n">
        <ns0:v>0.2307692307692308</ns0:v>
      </ns0:c>
      <ns0:c r="H38" s="107" t="n">
        <ns0:v>3</ns0:v>
      </ns0:c>
      <ns0:c r="I38" s="107" t="n">
        <ns0:v>13</ns0:v>
      </ns0:c>
      <ns0:c r="J38" s="97" t="inlineStr">
        <ns0:is>
          <ns0:t>旧方法（只追溯）</ns0:t>
        </ns0:is>
      </ns0:c>
      <ns0:c r="K38" s="97" t="inlineStr"/>
      <ns0:c r="L38" s="97" t="inlineStr"/>
    </ns0:row>
    <ns0:row r="39">
      <ns0:c r="A39" s="96" t="inlineStr">
        <ns0:is>
          <ns0:t>5.0 cm</ns0:t>
        </ns0:is>
      </ns0:c>
      <ns0:c r="B39" s="96" t="inlineStr">
        <ns0:is>
          <ns0:t>room0</ns0:t>
        </ns0:is>
      </ns0:c>
      <ns0:c r="C39" s="96" t="inlineStr">
        <ns0:is>
          <ns0:t>legacy_O2</ns0:t>
        </ns0:is>
      </ns0:c>
      <ns0:c r="D39" s="105" t="n">
        <ns0:v>57</ns0:v>
      </ns0:c>
      <ns0:c r="E39" s="106" t="n">
        <ns0:v>0.0505070329974449</ns0:v>
      </ns0:c>
      <ns0:c r="F39" s="106" t="n">
        <ns0:v>0.2297297297297297</ns0:v>
      </ns0:c>
      <ns0:c r="G39" s="106" t="n">
        <ns0:v>0.4615384615384616</ns0:v>
      </ns0:c>
      <ns0:c r="H39" s="105" t="n">
        <ns0:v>6</ns0:v>
      </ns0:c>
      <ns0:c r="I39" s="105" t="n">
        <ns0:v>13</ns0:v>
      </ns0:c>
      <ns0:c r="J39" s="96" t="inlineStr">
        <ns0:is>
          <ns0:t>旧方法（只追溯）</ns0:t>
        </ns0:is>
      </ns0:c>
      <ns0:c r="K39" s="96" t="inlineStr"/>
      <ns0:c r="L39" s="96" t="inlineStr">
        <ns0:is>
          <ns0:t>语义分母不是严格 label-only cohort</ns0:t>
        </ns0:is>
      </ns0:c>
    </ns0:row>
    <ns0:row r="40">
      <ns0:c r="A40" s="97" t="inlineStr">
        <ns0:is>
          <ns0:t>5.0 cm</ns0:t>
        </ns0:is>
      </ns0:c>
      <ns0:c r="B40" s="97" t="inlineStr">
        <ns0:is>
          <ns0:t>room0</ns0:t>
        </ns0:is>
      </ns0:c>
      <ns0:c r="C40" s="97" t="inlineStr">
        <ns0:is>
          <ns0:t>OA_online</ns0:t>
        </ns0:is>
      </ns0:c>
      <ns0:c r="D40" s="107" t="n">
        <ns0:v>65</ns0:v>
      </ns0:c>
      <ns0:c r="E40" s="108" t="n">
        <ns0:v>0.05004770883588639</ns0:v>
      </ns0:c>
      <ns0:c r="F40" s="108" t="n">
        <ns0:v>0.217948717948718</ns0:v>
      </ns0:c>
      <ns0:c r="G40" s="108" t="n">
        <ns0:v>0.2307692307692308</ns0:v>
      </ns0:c>
      <ns0:c r="H40" s="107" t="n">
        <ns0:v>3</ns0:v>
      </ns0:c>
      <ns0:c r="I40" s="107" t="n">
        <ns0:v>13</ns0:v>
      </ns0:c>
      <ns0:c r="J40" s="97" t="inlineStr">
        <ns0:is>
          <ns0:t>修正在线 Oracle</ns0:t>
        </ns0:is>
      </ns0:c>
      <ns0:c r="K40" s="97" t="inlineStr"/>
      <ns0:c r="L40" s="97" t="inlineStr"/>
    </ns0:row>
    <ns0:row r="41">
      <ns0:c r="A41" s="96" t="inlineStr">
        <ns0:is>
          <ns0:t>5.0 cm</ns0:t>
        </ns0:is>
      </ns0:c>
      <ns0:c r="B41" s="96" t="inlineStr">
        <ns0:is>
          <ns0:t>room0</ns0:t>
        </ns0:is>
      </ns0:c>
      <ns0:c r="C41" s="96" t="inlineStr">
        <ns0:is>
          <ns0:t>OP_raw</ns0:t>
        </ns0:is>
      </ns0:c>
      <ns0:c r="D41" s="105" t="n">
        <ns0:v>72</ns0:v>
      </ns0:c>
      <ns0:c r="E41" s="106" t="n">
        <ns0:v>0.05705968452415167</ns0:v>
      </ns0:c>
      <ns0:c r="F41" s="106" t="n">
        <ns0:v>0.2208588957055215</ns0:v>
      </ns0:c>
      <ns0:c r="G41" s="106" t="n">
        <ns0:v>0.2307692307692308</ns0:v>
      </ns0:c>
      <ns0:c r="H41" s="105" t="n">
        <ns0:v>3</ns0:v>
      </ns0:c>
      <ns0:c r="I41" s="105" t="n">
        <ns0:v>13</ns0:v>
      </ns0:c>
      <ns0:c r="J41" s="96" t="inlineStr">
        <ns0:is>
          <ns0:t>修正在线 Oracle</ns0:t>
        </ns0:is>
      </ns0:c>
      <ns0:c r="K41" s="96" t="inlineStr"/>
      <ns0:c r="L41" s="96" t="inlineStr"/>
    </ns0:row>
    <ns0:row r="42">
      <ns0:c r="A42" s="97" t="inlineStr">
        <ns0:is>
          <ns0:t>5.0 cm</ns0:t>
        </ns0:is>
      </ns0:c>
      <ns0:c r="B42" s="97" t="inlineStr">
        <ns0:is>
          <ns0:t>room0</ns0:t>
        </ns0:is>
      </ns0:c>
      <ns0:c r="C42" s="97" t="inlineStr">
        <ns0:is>
          <ns0:t>OM_pure</ns0:t>
        </ns0:is>
      </ns0:c>
      <ns0:c r="D42" s="107" t="n">
        <ns0:v>35</ns0:v>
      </ns0:c>
      <ns0:c r="E42" s="108" t="n">
        <ns0:v>0.06005576151842688</ns0:v>
      </ns0:c>
      <ns0:c r="F42" s="108" t="n">
        <ns0:v>0.2222222222222222</ns0:v>
      </ns0:c>
      <ns0:c r="G42" s="108" t="n">
        <ns0:v>0.2222222222222222</ns0:v>
      </ns0:c>
      <ns0:c r="H42" s="107" t="n">
        <ns0:v>2</ns0:v>
      </ns0:c>
      <ns0:c r="I42" s="107" t="n">
        <ns0:v>9</ns0:v>
      </ns0:c>
      <ns0:c r="J42" s="97" t="inlineStr">
        <ns0:is>
          <ns0:t>修正在线 Oracle</ns0:t>
        </ns0:is>
      </ns0:c>
      <ns0:c r="K42" s="97" t="inlineStr"/>
      <ns0:c r="L42" s="97" t="inlineStr"/>
    </ns0:row>
    <ns0:row r="43">
      <ns0:c r="A43" s="96" t="inlineStr">
        <ns0:is>
          <ns0:t>5.0 cm</ns0:t>
        </ns0:is>
      </ns0:c>
      <ns0:c r="B43" s="96" t="inlineStr">
        <ns0:is>
          <ns0:t>room0</ns0:t>
        </ns0:is>
      </ns0:c>
      <ns0:c r="C43" s="96" t="inlineStr">
        <ns0:is>
          <ns0:t>OM_all</ns0:t>
        </ns0:is>
      </ns0:c>
      <ns0:c r="D43" s="105" t="n">
        <ns0:v>91</ns0:v>
      </ns0:c>
      <ns0:c r="E43" s="106" t="n">
        <ns0:v>0.6769744267843866</ns0:v>
      </ns0:c>
      <ns0:c r="F43" s="106" t="n">
        <ns0:v>0.8351648351648352</ns0:v>
      </ns0:c>
      <ns0:c r="G43" s="106" t="n">
        <ns0:v>0.06122448979591837</ns0:v>
      </ns0:c>
      <ns0:c r="H43" s="105" t="n">
        <ns0:v>3</ns0:v>
      </ns0:c>
      <ns0:c r="I43" s="105" t="n">
        <ns0:v>49</ns0:v>
      </ns0:c>
      <ns0:c r="J43" s="96" t="inlineStr">
        <ns0:is>
          <ns0:t>修正在线 Oracle</ns0:t>
        </ns0:is>
      </ns0:c>
      <ns0:c r="K43" s="96" t="inlineStr"/>
      <ns0:c r="L43" s="96" t="inlineStr"/>
    </ns0:row>
    <ns0:row r="44">
      <ns0:c r="A44" s="97" t="inlineStr">
        <ns0:is>
          <ns0:t>5.0 cm</ns0:t>
        </ns0:is>
      </ns0:c>
      <ns0:c r="B44" s="97" t="inlineStr">
        <ns0:is>
          <ns0:t>room0</ns0:t>
        </ns0:is>
      </ns0:c>
      <ns0:c r="C44" s="97" t="inlineStr">
        <ns0:is>
          <ns0:t>OS_strict</ns0:t>
        </ns0:is>
      </ns0:c>
      <ns0:c r="D44" s="107" t="n">
        <ns0:v>72</ns0:v>
      </ns0:c>
      <ns0:c r="E44" s="108" t="n">
        <ns0:v>0.02232953862187838</ns0:v>
      </ns0:c>
      <ns0:c r="F44" s="108" t="n">
        <ns0:v>0.1104294478527607</ns0:v>
      </ns0:c>
      <ns0:c r="G44" s="108" t="n">
        <ns0:v>0.25</ns0:v>
      </ns0:c>
      <ns0:c r="H44" s="107" t="n">
        <ns0:v>2</ns0:v>
      </ns0:c>
      <ns0:c r="I44" s="107" t="n">
        <ns0:v>8</ns0:v>
      </ns0:c>
      <ns0:c r="J44" s="97" t="inlineStr">
        <ns0:is>
          <ns0:t>语义消融</ns0:t>
        </ns0:is>
      </ns0:c>
      <ns0:c r="K44" s="97" t="inlineStr"/>
      <ns0:c r="L44" s="97" t="inlineStr"/>
    </ns0:row>
    <ns0:row r="45">
      <ns0:c r="A45" s="96" t="inlineStr">
        <ns0:is>
          <ns0:t>5.0 cm</ns0:t>
        </ns0:is>
      </ns0:c>
      <ns0:c r="B45" s="96" t="inlineStr">
        <ns0:is>
          <ns0:t>room0</ns0:t>
        </ns0:is>
      </ns0:c>
      <ns0:c r="C45" s="96" t="inlineStr">
        <ns0:is>
          <ns0:t>OS_hungarian</ns0:t>
        </ns0:is>
      </ns0:c>
      <ns0:c r="D45" s="105" t="n">
        <ns0:v>72</ns0:v>
      </ns0:c>
      <ns0:c r="E45" s="106" t="n">
        <ns0:v>0.02232953862187838</ns0:v>
      </ns0:c>
      <ns0:c r="F45" s="106" t="n">
        <ns0:v>0.1104294478527607</ns0:v>
      </ns0:c>
      <ns0:c r="G45" s="106" t="n">
        <ns0:v>0.875</ns0:v>
      </ns0:c>
      <ns0:c r="H45" s="105" t="n">
        <ns0:v>7</ns0:v>
      </ns0:c>
      <ns0:c r="I45" s="105" t="n">
        <ns0:v>8</ns0:v>
      </ns0:c>
      <ns0:c r="J45" s="96" t="inlineStr">
        <ns0:is>
          <ns0:t>语义消融</ns0:t>
        </ns0:is>
      </ns0:c>
      <ns0:c r="K45" s="96" t="inlineStr"/>
      <ns0:c r="L45" s="96" t="inlineStr">
        <ns0:is>
          <ns0:t>弱结构匹配，不用于纯语义结论</ns0:t>
        </ns0:is>
      </ns0:c>
    </ns0:row>
    <ns0:row r="46">
      <ns0:c r="A46" s="97" t="inlineStr">
        <ns0:is>
          <ns0:t>5.0 cm</ns0:t>
        </ns0:is>
      </ns0:c>
      <ns0:c r="B46" s="97" t="inlineStr">
        <ns0:is>
          <ns0:t>room0</ns0:t>
        </ns0:is>
      </ns0:c>
      <ns0:c r="C46" s="97" t="inlineStr">
        <ns0:is>
          <ns0:t>OG</ns0:t>
        </ns0:is>
      </ns0:c>
      <ns0:c r="D46" s="107" t="n">
        <ns0:v>91</ns0:v>
      </ns0:c>
      <ns0:c r="E46" s="108" t="n">
        <ns0:v>1</ns0:v>
      </ns0:c>
      <ns0:c r="F46" s="108" t="n">
        <ns0:v>1</ns0:v>
      </ns0:c>
      <ns0:c r="G46" s="108" t="n">
        <ns0:v>1</ns0:v>
      </ns0:c>
      <ns0:c r="H46" s="107" t="n">
        <ns0:v>58</ns0:v>
      </ns0:c>
      <ns0:c r="I46" s="107" t="n">
        <ns0:v>58</ns0:v>
      </ns0:c>
      <ns0:c r="J46" s="97" t="inlineStr">
        <ns0:is>
          <ns0:t>总上限</ns0:t>
        </ns0:is>
      </ns0:c>
      <ns0:c r="K46" s="97" t="inlineStr"/>
      <ns0:c r="L46" s="97" t="inlineStr"/>
    </ns0:row>
    <ns0:row r="47">
      <ns0:c r="A47" s="96" t="inlineStr">
        <ns0:is>
          <ns0:t>5.0 cm</ns0:t>
        </ns0:is>
      </ns0:c>
      <ns0:c r="B47" s="96" t="inlineStr">
        <ns0:is>
          <ns0:t>office0</ns0:t>
        </ns0:is>
      </ns0:c>
      <ns0:c r="C47" s="96" t="inlineStr">
        <ns0:is>
          <ns0:t>B0</ns0:t>
        </ns0:is>
      </ns0:c>
      <ns0:c r="D47" s="105" t="n">
        <ns0:v>35</ns0:v>
      </ns0:c>
      <ns0:c r="E47" s="106" t="n">
        <ns0:v>0.004530453045304531</ns0:v>
      </ns0:c>
      <ns0:c r="F47" s="106" t="n">
        <ns0:v>0.06896551724137931</ns0:v>
      </ns0:c>
      <ns0:c r="G47" s="106" t="n">
        <ns0:v>1</ns0:v>
      </ns0:c>
      <ns0:c r="H47" s="105" t="n">
        <ns0:v>1</ns0:v>
      </ns0:c>
      <ns0:c r="I47" s="105" t="n">
        <ns0:v>1</ns0:v>
      </ns0:c>
      <ns0:c r="J47" s="96" t="inlineStr">
        <ns0:is>
          <ns0:t>基线</ns0:t>
        </ns0:is>
      </ns0:c>
      <ns0:c r="K47" s="96" t="inlineStr"/>
      <ns0:c r="L47" s="96" t="inlineStr"/>
    </ns0:row>
    <ns0:row r="48">
      <ns0:c r="A48" s="97" t="inlineStr">
        <ns0:is>
          <ns0:t>5.0 cm</ns0:t>
        </ns0:is>
      </ns0:c>
      <ns0:c r="B48" s="97" t="inlineStr">
        <ns0:is>
          <ns0:t>office0</ns0:t>
        </ns0:is>
      </ns0:c>
      <ns0:c r="C48" s="97" t="inlineStr">
        <ns0:is>
          <ns0:t>legacy_O1</ns0:t>
        </ns0:is>
      </ns0:c>
      <ns0:c r="D48" s="107" t="n">
        <ns0:v>34</ns0:v>
      </ns0:c>
      <ns0:c r="E48" s="108" t="n">
        <ns0:v>0.01357635763576357</ns0:v>
      </ns0:c>
      <ns0:c r="F48" s="108" t="n">
        <ns0:v>0.09302325581395349</ns0:v>
      </ns0:c>
      <ns0:c r="G48" s="108" t="n">
        <ns0:v>0.25</ns0:v>
      </ns0:c>
      <ns0:c r="H48" s="107" t="n">
        <ns0:v>1</ns0:v>
      </ns0:c>
      <ns0:c r="I48" s="107" t="n">
        <ns0:v>4</ns0:v>
      </ns0:c>
      <ns0:c r="J48" s="97" t="inlineStr">
        <ns0:is>
          <ns0:t>旧方法（只追溯）</ns0:t>
        </ns0:is>
      </ns0:c>
      <ns0:c r="K48" s="97" t="inlineStr"/>
      <ns0:c r="L48" s="97" t="inlineStr"/>
    </ns0:row>
    <ns0:row r="49">
      <ns0:c r="A49" s="96" t="inlineStr">
        <ns0:is>
          <ns0:t>5.0 cm</ns0:t>
        </ns0:is>
      </ns0:c>
      <ns0:c r="B49" s="96" t="inlineStr">
        <ns0:is>
          <ns0:t>office0</ns0:t>
        </ns0:is>
      </ns0:c>
      <ns0:c r="C49" s="96" t="inlineStr">
        <ns0:is>
          <ns0:t>legacy_O2</ns0:t>
        </ns0:is>
      </ns0:c>
      <ns0:c r="D49" s="105" t="n">
        <ns0:v>34</ns0:v>
      </ns0:c>
      <ns0:c r="E49" s="106" t="n">
        <ns0:v>0.01357635763576357</ns0:v>
      </ns0:c>
      <ns0:c r="F49" s="106" t="n">
        <ns0:v>0.09302325581395349</ns0:v>
      </ns0:c>
      <ns0:c r="G49" s="106" t="n">
        <ns0:v>0.5</ns0:v>
      </ns0:c>
      <ns0:c r="H49" s="105" t="n">
        <ns0:v>2</ns0:v>
      </ns0:c>
      <ns0:c r="I49" s="105" t="n">
        <ns0:v>4</ns0:v>
      </ns0:c>
      <ns0:c r="J49" s="96" t="inlineStr">
        <ns0:is>
          <ns0:t>旧方法（只追溯）</ns0:t>
        </ns0:is>
      </ns0:c>
      <ns0:c r="K49" s="96" t="inlineStr"/>
      <ns0:c r="L49" s="96" t="inlineStr">
        <ns0:is>
          <ns0:t>语义分母不是严格 label-only cohort</ns0:t>
        </ns0:is>
      </ns0:c>
    </ns0:row>
    <ns0:row r="50">
      <ns0:c r="A50" s="97" t="inlineStr">
        <ns0:is>
          <ns0:t>5.0 cm</ns0:t>
        </ns0:is>
      </ns0:c>
      <ns0:c r="B50" s="97" t="inlineStr">
        <ns0:is>
          <ns0:t>office0</ns0:t>
        </ns0:is>
      </ns0:c>
      <ns0:c r="C50" s="97" t="inlineStr">
        <ns0:is>
          <ns0:t>OA_online</ns0:t>
        </ns0:is>
      </ns0:c>
      <ns0:c r="D50" s="107" t="n">
        <ns0:v>34</ns0:v>
      </ns0:c>
      <ns0:c r="E50" s="108" t="n">
        <ns0:v>0.01357635763576357</ns0:v>
      </ns0:c>
      <ns0:c r="F50" s="108" t="n">
        <ns0:v>0.09302325581395349</ns0:v>
      </ns0:c>
      <ns0:c r="G50" s="108" t="n">
        <ns0:v>0.25</ns0:v>
      </ns0:c>
      <ns0:c r="H50" s="107" t="n">
        <ns0:v>1</ns0:v>
      </ns0:c>
      <ns0:c r="I50" s="107" t="n">
        <ns0:v>4</ns0:v>
      </ns0:c>
      <ns0:c r="J50" s="97" t="inlineStr">
        <ns0:is>
          <ns0:t>修正在线 Oracle</ns0:t>
        </ns0:is>
      </ns0:c>
      <ns0:c r="K50" s="97" t="inlineStr"/>
      <ns0:c r="L50" s="97" t="inlineStr"/>
    </ns0:row>
    <ns0:row r="51">
      <ns0:c r="A51" s="96" t="inlineStr">
        <ns0:is>
          <ns0:t>5.0 cm</ns0:t>
        </ns0:is>
      </ns0:c>
      <ns0:c r="B51" s="96" t="inlineStr">
        <ns0:is>
          <ns0:t>office0</ns0:t>
        </ns0:is>
      </ns0:c>
      <ns0:c r="C51" s="96" t="inlineStr">
        <ns0:is>
          <ns0:t>OP_raw</ns0:t>
        </ns0:is>
      </ns0:c>
      <ns0:c r="D51" s="105" t="n">
        <ns0:v>37</ns0:v>
      </ns0:c>
      <ns0:c r="E51" s="106" t="n">
        <ns0:v>0.02028952895289529</ns0:v>
      </ns0:c>
      <ns0:c r="F51" s="106" t="n">
        <ns0:v>0.1573033707865168</ns0:v>
      </ns0:c>
      <ns0:c r="G51" s="106" t="n">
        <ns0:v>0.5</ns0:v>
      </ns0:c>
      <ns0:c r="H51" s="105" t="n">
        <ns0:v>2</ns0:v>
      </ns0:c>
      <ns0:c r="I51" s="105" t="n">
        <ns0:v>4</ns0:v>
      </ns0:c>
      <ns0:c r="J51" s="96" t="inlineStr">
        <ns0:is>
          <ns0:t>修正在线 Oracle</ns0:t>
        </ns0:is>
      </ns0:c>
      <ns0:c r="K51" s="96" t="inlineStr"/>
      <ns0:c r="L51" s="96" t="inlineStr"/>
    </ns0:row>
    <ns0:row r="52">
      <ns0:c r="A52" s="97" t="inlineStr">
        <ns0:is>
          <ns0:t>5.0 cm</ns0:t>
        </ns0:is>
      </ns0:c>
      <ns0:c r="B52" s="97" t="inlineStr">
        <ns0:is>
          <ns0:t>office0</ns0:t>
        </ns0:is>
      </ns0:c>
      <ns0:c r="C52" s="97" t="inlineStr">
        <ns0:is>
          <ns0:t>OM_pure</ns0:t>
        </ns0:is>
      </ns0:c>
      <ns0:c r="D52" s="107" t="n">
        <ns0:v>19</ns0:v>
      </ns0:c>
      <ns0:c r="E52" s="108" t="n">
        <ns0:v>0.04550981413930866</ns0:v>
      </ns0:c>
      <ns0:c r="F52" s="108" t="n">
        <ns0:v>0.2535211267605634</ns0:v>
      </ns0:c>
      <ns0:c r="G52" s="108" t="n">
        <ns0:v>0.6666666666666666</ns0:v>
      </ns0:c>
      <ns0:c r="H52" s="107" t="n">
        <ns0:v>2</ns0:v>
      </ns0:c>
      <ns0:c r="I52" s="107" t="n">
        <ns0:v>3</ns0:v>
      </ns0:c>
      <ns0:c r="J52" s="97" t="inlineStr">
        <ns0:is>
          <ns0:t>修正在线 Oracle</ns0:t>
        </ns0:is>
      </ns0:c>
      <ns0:c r="K52" s="97" t="inlineStr"/>
      <ns0:c r="L52" s="97" t="inlineStr"/>
    </ns0:row>
    <ns0:row r="53">
      <ns0:c r="A53" s="96" t="inlineStr">
        <ns0:is>
          <ns0:t>5.0 cm</ns0:t>
        </ns0:is>
      </ns0:c>
      <ns0:c r="B53" s="96" t="inlineStr">
        <ns0:is>
          <ns0:t>office0</ns0:t>
        </ns0:is>
      </ns0:c>
      <ns0:c r="C53" s="96" t="inlineStr">
        <ns0:is>
          <ns0:t>OM_all</ns0:t>
        </ns0:is>
      </ns0:c>
      <ns0:c r="D53" s="105" t="n">
        <ns0:v>50</ns0:v>
      </ns0:c>
      <ns0:c r="E53" s="106" t="n">
        <ns0:v>0.6358061076922576</ns0:v>
      </ns0:c>
      <ns0:c r="F53" s="106" t="n">
        <ns0:v>0.8627450980392157</ns0:v>
      </ns0:c>
      <ns0:c r="G53" s="106" t="n">
        <ns0:v>0.2857142857142857</ns0:v>
      </ns0:c>
      <ns0:c r="H53" s="105" t="n">
        <ns0:v>4</ns0:v>
      </ns0:c>
      <ns0:c r="I53" s="105" t="n">
        <ns0:v>14</ns0:v>
      </ns0:c>
      <ns0:c r="J53" s="96" t="inlineStr">
        <ns0:is>
          <ns0:t>修正在线 Oracle</ns0:t>
        </ns0:is>
      </ns0:c>
      <ns0:c r="K53" s="96" t="inlineStr"/>
      <ns0:c r="L53" s="96" t="inlineStr"/>
    </ns0:row>
    <ns0:row r="54">
      <ns0:c r="A54" s="97" t="inlineStr">
        <ns0:is>
          <ns0:t>5.0 cm</ns0:t>
        </ns0:is>
      </ns0:c>
      <ns0:c r="B54" s="97" t="inlineStr">
        <ns0:is>
          <ns0:t>office0</ns0:t>
        </ns0:is>
      </ns0:c>
      <ns0:c r="C54" s="97" t="inlineStr">
        <ns0:is>
          <ns0:t>OS_strict</ns0:t>
        </ns0:is>
      </ns0:c>
      <ns0:c r="D54" s="107" t="n">
        <ns0:v>35</ns0:v>
      </ns0:c>
      <ns0:c r="E54" s="108" t="n">
        <ns0:v>0.004530453045304531</ns0:v>
      </ns0:c>
      <ns0:c r="F54" s="108" t="n">
        <ns0:v>0.06896551724137931</ns0:v>
      </ns0:c>
      <ns0:c r="G54" s="108" t="n">
        <ns0:v>1</ns0:v>
      </ns0:c>
      <ns0:c r="H54" s="107" t="n">
        <ns0:v>1</ns0:v>
      </ns0:c>
      <ns0:c r="I54" s="107" t="n">
        <ns0:v>1</ns0:v>
      </ns0:c>
      <ns0:c r="J54" s="97" t="inlineStr">
        <ns0:is>
          <ns0:t>语义消融</ns0:t>
        </ns0:is>
      </ns0:c>
      <ns0:c r="K54" s="97" t="inlineStr"/>
      <ns0:c r="L54" s="97" t="inlineStr"/>
    </ns0:row>
    <ns0:row r="55">
      <ns0:c r="A55" s="96" t="inlineStr">
        <ns0:is>
          <ns0:t>5.0 cm</ns0:t>
        </ns0:is>
      </ns0:c>
      <ns0:c r="B55" s="96" t="inlineStr">
        <ns0:is>
          <ns0:t>office0</ns0:t>
        </ns0:is>
      </ns0:c>
      <ns0:c r="C55" s="96" t="inlineStr">
        <ns0:is>
          <ns0:t>OS_hungarian</ns0:t>
        </ns0:is>
      </ns0:c>
      <ns0:c r="D55" s="105" t="n">
        <ns0:v>35</ns0:v>
      </ns0:c>
      <ns0:c r="E55" s="106" t="n">
        <ns0:v>0.004530453045304531</ns0:v>
      </ns0:c>
      <ns0:c r="F55" s="106" t="n">
        <ns0:v>0.06896551724137931</ns0:v>
      </ns0:c>
      <ns0:c r="G55" s="106" t="n">
        <ns0:v>1</ns0:v>
      </ns0:c>
      <ns0:c r="H55" s="105" t="n">
        <ns0:v>1</ns0:v>
      </ns0:c>
      <ns0:c r="I55" s="105" t="n">
        <ns0:v>1</ns0:v>
      </ns0:c>
      <ns0:c r="J55" s="96" t="inlineStr">
        <ns0:is>
          <ns0:t>语义消融</ns0:t>
        </ns0:is>
      </ns0:c>
      <ns0:c r="K55" s="96" t="inlineStr"/>
      <ns0:c r="L55" s="96" t="inlineStr">
        <ns0:is>
          <ns0:t>弱结构匹配，不用于纯语义结论</ns0:t>
        </ns0:is>
      </ns0:c>
    </ns0:row>
    <ns0:row r="56">
      <ns0:c r="A56" s="97" t="inlineStr">
        <ns0:is>
          <ns0:t>5.0 cm</ns0:t>
        </ns0:is>
      </ns0:c>
      <ns0:c r="B56" s="97" t="inlineStr">
        <ns0:is>
          <ns0:t>office0</ns0:t>
        </ns0:is>
      </ns0:c>
      <ns0:c r="C56" s="97" t="inlineStr">
        <ns0:is>
          <ns0:t>OG</ns0:t>
        </ns0:is>
      </ns0:c>
      <ns0:c r="D56" s="107" t="n">
        <ns0:v>52</ns0:v>
      </ns0:c>
      <ns0:c r="E56" s="108" t="n">
        <ns0:v>1</ns0:v>
      </ns0:c>
      <ns0:c r="F56" s="108" t="n">
        <ns0:v>1</ns0:v>
      </ns0:c>
      <ns0:c r="G56" s="108" t="n">
        <ns0:v>1</ns0:v>
      </ns0:c>
      <ns0:c r="H56" s="107" t="n">
        <ns0:v>15</ns0:v>
      </ns0:c>
      <ns0:c r="I56" s="107" t="n">
        <ns0:v>15</ns0:v>
      </ns0:c>
      <ns0:c r="J56" s="97" t="inlineStr">
        <ns0:is>
          <ns0:t>总上限</ns0:t>
        </ns0:is>
      </ns0:c>
      <ns0:c r="K56" s="97" t="inlineStr"/>
      <ns0:c r="L56" s="97" t="inlineStr"/>
    </ns0:row>
    <ns0:row r="57">
      <ns0:c r="A57" s="96" t="inlineStr">
        <ns0:is>
          <ns0:t>10.0 cm</ns0:t>
        </ns0:is>
      </ns0:c>
      <ns0:c r="B57" s="96" t="inlineStr">
        <ns0:is>
          <ns0:t>room0</ns0:t>
        </ns0:is>
      </ns0:c>
      <ns0:c r="C57" s="96" t="inlineStr">
        <ns0:is>
          <ns0:t>B0</ns0:t>
        </ns0:is>
      </ns0:c>
      <ns0:c r="D57" s="105" t="n">
        <ns0:v>72</ns0:v>
      </ns0:c>
      <ns0:c r="E57" s="106" t="n">
        <ns0:v>0.03444974009567951</ns0:v>
      </ns0:c>
      <ns0:c r="F57" s="106" t="n">
        <ns0:v>0.1595092024539877</ns0:v>
      </ns0:c>
      <ns0:c r="G57" s="106" t="n">
        <ns0:v>0.1818181818181818</ns0:v>
      </ns0:c>
      <ns0:c r="H57" s="105" t="n">
        <ns0:v>2</ns0:v>
      </ns0:c>
      <ns0:c r="I57" s="105" t="n">
        <ns0:v>11</ns0:v>
      </ns0:c>
      <ns0:c r="J57" s="96" t="inlineStr">
        <ns0:is>
          <ns0:t>基线</ns0:t>
        </ns0:is>
      </ns0:c>
      <ns0:c r="K57" s="96" t="inlineStr"/>
      <ns0:c r="L57" s="96" t="inlineStr"/>
    </ns0:row>
    <ns0:row r="58">
      <ns0:c r="A58" s="97" t="inlineStr">
        <ns0:is>
          <ns0:t>10.0 cm</ns0:t>
        </ns0:is>
      </ns0:c>
      <ns0:c r="B58" s="97" t="inlineStr">
        <ns0:is>
          <ns0:t>room0</ns0:t>
        </ns0:is>
      </ns0:c>
      <ns0:c r="C58" s="97" t="inlineStr">
        <ns0:is>
          <ns0:t>legacy_O1</ns0:t>
        </ns0:is>
      </ns0:c>
      <ns0:c r="D58" s="107" t="n">
        <ns0:v>57</ns0:v>
      </ns0:c>
      <ns0:c r="E58" s="108" t="n">
        <ns0:v>0.06374396625589038</ns0:v>
      </ns0:c>
      <ns0:c r="F58" s="108" t="n">
        <ns0:v>0.2432432432432433</ns0:v>
      </ns0:c>
      <ns0:c r="G58" s="108" t="n">
        <ns0:v>0.2307692307692308</ns0:v>
      </ns0:c>
      <ns0:c r="H58" s="107" t="n">
        <ns0:v>3</ns0:v>
      </ns0:c>
      <ns0:c r="I58" s="107" t="n">
        <ns0:v>13</ns0:v>
      </ns0:c>
      <ns0:c r="J58" s="97" t="inlineStr">
        <ns0:is>
          <ns0:t>旧方法（只追溯）</ns0:t>
        </ns0:is>
      </ns0:c>
      <ns0:c r="K58" s="97" t="inlineStr"/>
      <ns0:c r="L58" s="97" t="inlineStr"/>
    </ns0:row>
    <ns0:row r="59">
      <ns0:c r="A59" s="96" t="inlineStr">
        <ns0:is>
          <ns0:t>10.0 cm</ns0:t>
        </ns0:is>
      </ns0:c>
      <ns0:c r="B59" s="96" t="inlineStr">
        <ns0:is>
          <ns0:t>room0</ns0:t>
        </ns0:is>
      </ns0:c>
      <ns0:c r="C59" s="96" t="inlineStr">
        <ns0:is>
          <ns0:t>legacy_O2</ns0:t>
        </ns0:is>
      </ns0:c>
      <ns0:c r="D59" s="105" t="n">
        <ns0:v>57</ns0:v>
      </ns0:c>
      <ns0:c r="E59" s="106" t="n">
        <ns0:v>0.06374396625589038</ns0:v>
      </ns0:c>
      <ns0:c r="F59" s="106" t="n">
        <ns0:v>0.2432432432432433</ns0:v>
      </ns0:c>
      <ns0:c r="G59" s="106" t="n">
        <ns0:v>0.3076923076923077</ns0:v>
      </ns0:c>
      <ns0:c r="H59" s="105" t="n">
        <ns0:v>4</ns0:v>
      </ns0:c>
      <ns0:c r="I59" s="105" t="n">
        <ns0:v>13</ns0:v>
      </ns0:c>
      <ns0:c r="J59" s="96" t="inlineStr">
        <ns0:is>
          <ns0:t>旧方法（只追溯）</ns0:t>
        </ns0:is>
      </ns0:c>
      <ns0:c r="K59" s="96" t="inlineStr"/>
      <ns0:c r="L59" s="96" t="inlineStr">
        <ns0:is>
          <ns0:t>语义分母不是严格 label-only cohort</ns0:t>
        </ns0:is>
      </ns0:c>
    </ns0:row>
    <ns0:row r="60">
      <ns0:c r="A60" s="97" t="inlineStr">
        <ns0:is>
          <ns0:t>10.0 cm</ns0:t>
        </ns0:is>
      </ns0:c>
      <ns0:c r="B60" s="97" t="inlineStr">
        <ns0:is>
          <ns0:t>room0</ns0:t>
        </ns0:is>
      </ns0:c>
      <ns0:c r="C60" s="97" t="inlineStr">
        <ns0:is>
          <ns0:t>OA_online</ns0:t>
        </ns0:is>
      </ns0:c>
      <ns0:c r="D60" s="107" t="n">
        <ns0:v>65</ns0:v>
      </ns0:c>
      <ns0:c r="E60" s="108" t="n">
        <ns0:v>0.06292069195209919</ns0:v>
      </ns0:c>
      <ns0:c r="F60" s="108" t="n">
        <ns0:v>0.2307692307692308</ns0:v>
      </ns0:c>
      <ns0:c r="G60" s="108" t="n">
        <ns0:v>0.2307692307692308</ns0:v>
      </ns0:c>
      <ns0:c r="H60" s="107" t="n">
        <ns0:v>3</ns0:v>
      </ns0:c>
      <ns0:c r="I60" s="107" t="n">
        <ns0:v>13</ns0:v>
      </ns0:c>
      <ns0:c r="J60" s="97" t="inlineStr">
        <ns0:is>
          <ns0:t>修正在线 Oracle</ns0:t>
        </ns0:is>
      </ns0:c>
      <ns0:c r="K60" s="97" t="inlineStr"/>
      <ns0:c r="L60" s="97" t="inlineStr"/>
    </ns0:row>
    <ns0:row r="61">
      <ns0:c r="A61" s="96" t="inlineStr">
        <ns0:is>
          <ns0:t>10.0 cm</ns0:t>
        </ns0:is>
      </ns0:c>
      <ns0:c r="B61" s="96" t="inlineStr">
        <ns0:is>
          <ns0:t>room0</ns0:t>
        </ns0:is>
      </ns0:c>
      <ns0:c r="C61" s="96" t="inlineStr">
        <ns0:is>
          <ns0:t>OP_raw</ns0:t>
        </ns0:is>
      </ns0:c>
      <ns0:c r="D61" s="105" t="n">
        <ns0:v>72</ns0:v>
      </ns0:c>
      <ns0:c r="E61" s="106" t="n">
        <ns0:v>0.07107420906312915</ns0:v>
      </ns0:c>
      <ns0:c r="F61" s="106" t="n">
        <ns0:v>0.245398773006135</ns0:v>
      </ns0:c>
      <ns0:c r="G61" s="106" t="n">
        <ns0:v>0.2</ns0:v>
      </ns0:c>
      <ns0:c r="H61" s="105" t="n">
        <ns0:v>3</ns0:v>
      </ns0:c>
      <ns0:c r="I61" s="105" t="n">
        <ns0:v>15</ns0:v>
      </ns0:c>
      <ns0:c r="J61" s="96" t="inlineStr">
        <ns0:is>
          <ns0:t>修正在线 Oracle</ns0:t>
        </ns0:is>
      </ns0:c>
      <ns0:c r="K61" s="96" t="inlineStr"/>
      <ns0:c r="L61" s="96" t="inlineStr"/>
    </ns0:row>
    <ns0:row r="62">
      <ns0:c r="A62" s="97" t="inlineStr">
        <ns0:is>
          <ns0:t>10.0 cm</ns0:t>
        </ns0:is>
      </ns0:c>
      <ns0:c r="B62" s="97" t="inlineStr">
        <ns0:is>
          <ns0:t>room0</ns0:t>
        </ns0:is>
      </ns0:c>
      <ns0:c r="C62" s="97" t="inlineStr">
        <ns0:is>
          <ns0:t>OM_pure</ns0:t>
        </ns0:is>
      </ns0:c>
      <ns0:c r="D62" s="107" t="n">
        <ns0:v>35</ns0:v>
      </ns0:c>
      <ns0:c r="E62" s="108" t="n">
        <ns0:v>0.07220277213123147</ns0:v>
      </ns0:c>
      <ns0:c r="F62" s="108" t="n">
        <ns0:v>0.2380952380952381</ns0:v>
      </ns0:c>
      <ns0:c r="G62" s="108" t="n">
        <ns0:v>0.2</ns0:v>
      </ns0:c>
      <ns0:c r="H62" s="107" t="n">
        <ns0:v>2</ns0:v>
      </ns0:c>
      <ns0:c r="I62" s="107" t="n">
        <ns0:v>10</ns0:v>
      </ns0:c>
      <ns0:c r="J62" s="97" t="inlineStr">
        <ns0:is>
          <ns0:t>修正在线 Oracle</ns0:t>
        </ns0:is>
      </ns0:c>
      <ns0:c r="K62" s="97" t="inlineStr"/>
      <ns0:c r="L62" s="97" t="inlineStr"/>
    </ns0:row>
    <ns0:row r="63">
      <ns0:c r="A63" s="96" t="inlineStr">
        <ns0:is>
          <ns0:t>10.0 cm</ns0:t>
        </ns0:is>
      </ns0:c>
      <ns0:c r="B63" s="96" t="inlineStr">
        <ns0:is>
          <ns0:t>room0</ns0:t>
        </ns0:is>
      </ns0:c>
      <ns0:c r="C63" s="96" t="inlineStr">
        <ns0:is>
          <ns0:t>OM_all</ns0:t>
        </ns0:is>
      </ns0:c>
      <ns0:c r="D63" s="105" t="n">
        <ns0:v>91</ns0:v>
      </ns0:c>
      <ns0:c r="E63" s="106" t="n">
        <ns0:v>0.6770336634772867</ns0:v>
      </ns0:c>
      <ns0:c r="F63" s="106" t="n">
        <ns0:v>0.8351648351648352</ns0:v>
      </ns0:c>
      <ns0:c r="G63" s="106" t="n">
        <ns0:v>0.06122448979591837</ns0:v>
      </ns0:c>
      <ns0:c r="H63" s="105" t="n">
        <ns0:v>3</ns0:v>
      </ns0:c>
      <ns0:c r="I63" s="105" t="n">
        <ns0:v>49</ns0:v>
      </ns0:c>
      <ns0:c r="J63" s="96" t="inlineStr">
        <ns0:is>
          <ns0:t>修正在线 Oracle</ns0:t>
        </ns0:is>
      </ns0:c>
      <ns0:c r="K63" s="96" t="inlineStr"/>
      <ns0:c r="L63" s="96" t="inlineStr"/>
    </ns0:row>
    <ns0:row r="64">
      <ns0:c r="A64" s="97" t="inlineStr">
        <ns0:is>
          <ns0:t>10.0 cm</ns0:t>
        </ns0:is>
      </ns0:c>
      <ns0:c r="B64" s="97" t="inlineStr">
        <ns0:is>
          <ns0:t>room0</ns0:t>
        </ns0:is>
      </ns0:c>
      <ns0:c r="C64" s="97" t="inlineStr">
        <ns0:is>
          <ns0:t>OS_strict</ns0:t>
        </ns0:is>
      </ns0:c>
      <ns0:c r="D64" s="107" t="n">
        <ns0:v>72</ns0:v>
      </ns0:c>
      <ns0:c r="E64" s="108" t="n">
        <ns0:v>0.03444974009567951</ns0:v>
      </ns0:c>
      <ns0:c r="F64" s="108" t="n">
        <ns0:v>0.1595092024539877</ns0:v>
      </ns0:c>
      <ns0:c r="G64" s="108" t="n">
        <ns0:v>0.1818181818181818</ns0:v>
      </ns0:c>
      <ns0:c r="H64" s="107" t="n">
        <ns0:v>2</ns0:v>
      </ns0:c>
      <ns0:c r="I64" s="107" t="n">
        <ns0:v>11</ns0:v>
      </ns0:c>
      <ns0:c r="J64" s="97" t="inlineStr">
        <ns0:is>
          <ns0:t>语义消融</ns0:t>
        </ns0:is>
      </ns0:c>
      <ns0:c r="K64" s="97" t="inlineStr"/>
      <ns0:c r="L64" s="97" t="inlineStr"/>
    </ns0:row>
    <ns0:row r="65">
      <ns0:c r="A65" s="96" t="inlineStr">
        <ns0:is>
          <ns0:t>10.0 cm</ns0:t>
        </ns0:is>
      </ns0:c>
      <ns0:c r="B65" s="96" t="inlineStr">
        <ns0:is>
          <ns0:t>room0</ns0:t>
        </ns0:is>
      </ns0:c>
      <ns0:c r="C65" s="96" t="inlineStr">
        <ns0:is>
          <ns0:t>OS_hungarian</ns0:t>
        </ns0:is>
      </ns0:c>
      <ns0:c r="D65" s="105" t="n">
        <ns0:v>72</ns0:v>
      </ns0:c>
      <ns0:c r="E65" s="106" t="n">
        <ns0:v>0.03444974009567951</ns0:v>
      </ns0:c>
      <ns0:c r="F65" s="106" t="n">
        <ns0:v>0.1595092024539877</ns0:v>
      </ns0:c>
      <ns0:c r="G65" s="106" t="n">
        <ns0:v>0.6363636363636364</ns0:v>
      </ns0:c>
      <ns0:c r="H65" s="105" t="n">
        <ns0:v>7</ns0:v>
      </ns0:c>
      <ns0:c r="I65" s="105" t="n">
        <ns0:v>11</ns0:v>
      </ns0:c>
      <ns0:c r="J65" s="96" t="inlineStr">
        <ns0:is>
          <ns0:t>语义消融</ns0:t>
        </ns0:is>
      </ns0:c>
      <ns0:c r="K65" s="96" t="inlineStr"/>
      <ns0:c r="L65" s="96" t="inlineStr">
        <ns0:is>
          <ns0:t>弱结构匹配，不用于纯语义结论</ns0:t>
        </ns0:is>
      </ns0:c>
    </ns0:row>
    <ns0:row r="66">
      <ns0:c r="A66" s="97" t="inlineStr">
        <ns0:is>
          <ns0:t>10.0 cm</ns0:t>
        </ns0:is>
      </ns0:c>
      <ns0:c r="B66" s="97" t="inlineStr">
        <ns0:is>
          <ns0:t>room0</ns0:t>
        </ns0:is>
      </ns0:c>
      <ns0:c r="C66" s="97" t="inlineStr">
        <ns0:is>
          <ns0:t>OG</ns0:t>
        </ns0:is>
      </ns0:c>
      <ns0:c r="D66" s="107" t="n">
        <ns0:v>91</ns0:v>
      </ns0:c>
      <ns0:c r="E66" s="108" t="n">
        <ns0:v>1</ns0:v>
      </ns0:c>
      <ns0:c r="F66" s="108" t="n">
        <ns0:v>1</ns0:v>
      </ns0:c>
      <ns0:c r="G66" s="108" t="n">
        <ns0:v>1</ns0:v>
      </ns0:c>
      <ns0:c r="H66" s="107" t="n">
        <ns0:v>58</ns0:v>
      </ns0:c>
      <ns0:c r="I66" s="107" t="n">
        <ns0:v>58</ns0:v>
      </ns0:c>
      <ns0:c r="J66" s="97" t="inlineStr">
        <ns0:is>
          <ns0:t>总上限</ns0:t>
        </ns0:is>
      </ns0:c>
      <ns0:c r="K66" s="97" t="inlineStr"/>
      <ns0:c r="L66" s="97" t="inlineStr"/>
    </ns0:row>
    <ns0:row r="67">
      <ns0:c r="A67" s="96" t="inlineStr">
        <ns0:is>
          <ns0:t>10.0 cm</ns0:t>
        </ns0:is>
      </ns0:c>
      <ns0:c r="B67" s="96" t="inlineStr">
        <ns0:is>
          <ns0:t>office0</ns0:t>
        </ns0:is>
      </ns0:c>
      <ns0:c r="C67" s="96" t="inlineStr">
        <ns0:is>
          <ns0:t>B0</ns0:t>
        </ns0:is>
      </ns0:c>
      <ns0:c r="D67" s="105" t="n">
        <ns0:v>35</ns0:v>
      </ns0:c>
      <ns0:c r="E67" s="106" t="n">
        <ns0:v>0.006030603060306031</ns0:v>
      </ns0:c>
      <ns0:c r="F67" s="106" t="n">
        <ns0:v>0.09195402298850575</ns0:v>
      </ns0:c>
      <ns0:c r="G67" s="106" t="n">
        <ns0:v>1</ns0:v>
      </ns0:c>
      <ns0:c r="H67" s="105" t="n">
        <ns0:v>1</ns0:v>
      </ns0:c>
      <ns0:c r="I67" s="105" t="n">
        <ns0:v>1</ns0:v>
      </ns0:c>
      <ns0:c r="J67" s="96" t="inlineStr">
        <ns0:is>
          <ns0:t>基线</ns0:t>
        </ns0:is>
      </ns0:c>
      <ns0:c r="K67" s="96" t="inlineStr"/>
      <ns0:c r="L67" s="96" t="inlineStr"/>
    </ns0:row>
    <ns0:row r="68">
      <ns0:c r="A68" s="97" t="inlineStr">
        <ns0:is>
          <ns0:t>10.0 cm</ns0:t>
        </ns0:is>
      </ns0:c>
      <ns0:c r="B68" s="97" t="inlineStr">
        <ns0:is>
          <ns0:t>office0</ns0:t>
        </ns0:is>
      </ns0:c>
      <ns0:c r="C68" s="97" t="inlineStr">
        <ns0:is>
          <ns0:t>legacy_O1</ns0:t>
        </ns0:is>
      </ns0:c>
      <ns0:c r="D68" s="107" t="n">
        <ns0:v>34</ns0:v>
      </ns0:c>
      <ns0:c r="E68" s="108" t="n">
        <ns0:v>0.01795679567956796</ns0:v>
      </ns0:c>
      <ns0:c r="F68" s="108" t="n">
        <ns0:v>0.1395348837209302</ns0:v>
      </ns0:c>
      <ns0:c r="G68" s="108" t="n">
        <ns0:v>0.25</ns0:v>
      </ns0:c>
      <ns0:c r="H68" s="107" t="n">
        <ns0:v>1</ns0:v>
      </ns0:c>
      <ns0:c r="I68" s="107" t="n">
        <ns0:v>4</ns0:v>
      </ns0:c>
      <ns0:c r="J68" s="97" t="inlineStr">
        <ns0:is>
          <ns0:t>旧方法（只追溯）</ns0:t>
        </ns0:is>
      </ns0:c>
      <ns0:c r="K68" s="97" t="inlineStr"/>
      <ns0:c r="L68" s="97" t="inlineStr"/>
    </ns0:row>
    <ns0:row r="69">
      <ns0:c r="A69" s="96" t="inlineStr">
        <ns0:is>
          <ns0:t>10.0 cm</ns0:t>
        </ns0:is>
      </ns0:c>
      <ns0:c r="B69" s="96" t="inlineStr">
        <ns0:is>
          <ns0:t>office0</ns0:t>
        </ns0:is>
      </ns0:c>
      <ns0:c r="C69" s="96" t="inlineStr">
        <ns0:is>
          <ns0:t>legacy_O2</ns0:t>
        </ns0:is>
      </ns0:c>
      <ns0:c r="D69" s="105" t="n">
        <ns0:v>34</ns0:v>
      </ns0:c>
      <ns0:c r="E69" s="106" t="n">
        <ns0:v>0.01795679567956796</ns0:v>
      </ns0:c>
      <ns0:c r="F69" s="106" t="n">
        <ns0:v>0.1395348837209302</ns0:v>
      </ns0:c>
      <ns0:c r="G69" s="106" t="n">
        <ns0:v>0.5</ns0:v>
      </ns0:c>
      <ns0:c r="H69" s="105" t="n">
        <ns0:v>2</ns0:v>
      </ns0:c>
      <ns0:c r="I69" s="105" t="n">
        <ns0:v>4</ns0:v>
      </ns0:c>
      <ns0:c r="J69" s="96" t="inlineStr">
        <ns0:is>
          <ns0:t>旧方法（只追溯）</ns0:t>
        </ns0:is>
      </ns0:c>
      <ns0:c r="K69" s="96" t="inlineStr"/>
      <ns0:c r="L69" s="96" t="inlineStr">
        <ns0:is>
          <ns0:t>语义分母不是严格 label-only cohort</ns0:t>
        </ns0:is>
      </ns0:c>
    </ns0:row>
    <ns0:row r="70">
      <ns0:c r="A70" s="97" t="inlineStr">
        <ns0:is>
          <ns0:t>10.0 cm</ns0:t>
        </ns0:is>
      </ns0:c>
      <ns0:c r="B70" s="97" t="inlineStr">
        <ns0:is>
          <ns0:t>office0</ns0:t>
        </ns0:is>
      </ns0:c>
      <ns0:c r="C70" s="97" t="inlineStr">
        <ns0:is>
          <ns0:t>OA_online</ns0:t>
        </ns0:is>
      </ns0:c>
      <ns0:c r="D70" s="107" t="n">
        <ns0:v>34</ns0:v>
      </ns0:c>
      <ns0:c r="E70" s="108" t="n">
        <ns0:v>0.01795679567956796</ns0:v>
      </ns0:c>
      <ns0:c r="F70" s="108" t="n">
        <ns0:v>0.1395348837209302</ns0:v>
      </ns0:c>
      <ns0:c r="G70" s="108" t="n">
        <ns0:v>0.25</ns0:v>
      </ns0:c>
      <ns0:c r="H70" s="107" t="n">
        <ns0:v>1</ns0:v>
      </ns0:c>
      <ns0:c r="I70" s="107" t="n">
        <ns0:v>4</ns0:v>
      </ns0:c>
      <ns0:c r="J70" s="97" t="inlineStr">
        <ns0:is>
          <ns0:t>修正在线 Oracle</ns0:t>
        </ns0:is>
      </ns0:c>
      <ns0:c r="K70" s="97" t="inlineStr"/>
      <ns0:c r="L70" s="97" t="inlineStr"/>
    </ns0:row>
    <ns0:row r="71">
      <ns0:c r="A71" s="96" t="inlineStr">
        <ns0:is>
          <ns0:t>10.0 cm</ns0:t>
        </ns0:is>
      </ns0:c>
      <ns0:c r="B71" s="96" t="inlineStr">
        <ns0:is>
          <ns0:t>office0</ns0:t>
        </ns0:is>
      </ns0:c>
      <ns0:c r="C71" s="96" t="inlineStr">
        <ns0:is>
          <ns0:t>OP_raw</ns0:t>
        </ns0:is>
      </ns0:c>
      <ns0:c r="D71" s="105" t="n">
        <ns0:v>37</ns0:v>
      </ns0:c>
      <ns0:c r="E71" s="106" t="n">
        <ns0:v>0.02848034803480348</ns0:v>
      </ns0:c>
      <ns0:c r="F71" s="106" t="n">
        <ns0:v>0.1797752808988764</ns0:v>
      </ns0:c>
      <ns0:c r="G71" s="106" t="n">
        <ns0:v>0.5</ns0:v>
      </ns0:c>
      <ns0:c r="H71" s="105" t="n">
        <ns0:v>2</ns0:v>
      </ns0:c>
      <ns0:c r="I71" s="105" t="n">
        <ns0:v>4</ns0:v>
      </ns0:c>
      <ns0:c r="J71" s="96" t="inlineStr">
        <ns0:is>
          <ns0:t>修正在线 Oracle</ns0:t>
        </ns0:is>
      </ns0:c>
      <ns0:c r="K71" s="96" t="inlineStr"/>
      <ns0:c r="L71" s="96" t="inlineStr"/>
    </ns0:row>
    <ns0:row r="72">
      <ns0:c r="A72" s="97" t="inlineStr">
        <ns0:is>
          <ns0:t>10.0 cm</ns0:t>
        </ns0:is>
      </ns0:c>
      <ns0:c r="B72" s="97" t="inlineStr">
        <ns0:is>
          <ns0:t>office0</ns0:t>
        </ns0:is>
      </ns0:c>
      <ns0:c r="C72" s="97" t="inlineStr">
        <ns0:is>
          <ns0:t>OM_pure</ns0:t>
        </ns0:is>
      </ns0:c>
      <ns0:c r="D72" s="107" t="n">
        <ns0:v>19</ns0:v>
      </ns0:c>
      <ns0:c r="E72" s="108" t="n">
        <ns0:v>0.05541080423831857</ns0:v>
      </ns0:c>
      <ns0:c r="F72" s="108" t="n">
        <ns0:v>0.2816901408450704</ns0:v>
      </ns0:c>
      <ns0:c r="G72" s="108" t="n">
        <ns0:v>0.6666666666666666</ns0:v>
      </ns0:c>
      <ns0:c r="H72" s="107" t="n">
        <ns0:v>2</ns0:v>
      </ns0:c>
      <ns0:c r="I72" s="107" t="n">
        <ns0:v>3</ns0:v>
      </ns0:c>
      <ns0:c r="J72" s="97" t="inlineStr">
        <ns0:is>
          <ns0:t>修正在线 Oracle</ns0:t>
        </ns0:is>
      </ns0:c>
      <ns0:c r="K72" s="97" t="inlineStr"/>
      <ns0:c r="L72" s="97" t="inlineStr"/>
    </ns0:row>
    <ns0:row r="73">
      <ns0:c r="A73" s="96" t="inlineStr">
        <ns0:is>
          <ns0:t>10.0 cm</ns0:t>
        </ns0:is>
      </ns0:c>
      <ns0:c r="B73" s="96" t="inlineStr">
        <ns0:is>
          <ns0:t>office0</ns0:t>
        </ns0:is>
      </ns0:c>
      <ns0:c r="C73" s="96" t="inlineStr">
        <ns0:is>
          <ns0:t>OM_all</ns0:t>
        </ns0:is>
      </ns0:c>
      <ns0:c r="D73" s="105" t="n">
        <ns0:v>50</ns0:v>
      </ns0:c>
      <ns0:c r="E73" s="106" t="n">
        <ns0:v>0.668399342689872</ns0:v>
      </ns0:c>
      <ns0:c r="F73" s="106" t="n">
        <ns0:v>0.8627450980392157</ns0:v>
      </ns0:c>
      <ns0:c r="G73" s="106" t="n">
        <ns0:v>0.2857142857142857</ns0:v>
      </ns0:c>
      <ns0:c r="H73" s="105" t="n">
        <ns0:v>4</ns0:v>
      </ns0:c>
      <ns0:c r="I73" s="105" t="n">
        <ns0:v>14</ns0:v>
      </ns0:c>
      <ns0:c r="J73" s="96" t="inlineStr">
        <ns0:is>
          <ns0:t>修正在线 Oracle</ns0:t>
        </ns0:is>
      </ns0:c>
      <ns0:c r="K73" s="96" t="inlineStr"/>
      <ns0:c r="L73" s="96" t="inlineStr"/>
    </ns0:row>
    <ns0:row r="74">
      <ns0:c r="A74" s="97" t="inlineStr">
        <ns0:is>
          <ns0:t>10.0 cm</ns0:t>
        </ns0:is>
      </ns0:c>
      <ns0:c r="B74" s="97" t="inlineStr">
        <ns0:is>
          <ns0:t>office0</ns0:t>
        </ns0:is>
      </ns0:c>
      <ns0:c r="C74" s="97" t="inlineStr">
        <ns0:is>
          <ns0:t>OS_strict</ns0:t>
        </ns0:is>
      </ns0:c>
      <ns0:c r="D74" s="107" t="n">
        <ns0:v>35</ns0:v>
      </ns0:c>
      <ns0:c r="E74" s="108" t="n">
        <ns0:v>0.006030603060306031</ns0:v>
      </ns0:c>
      <ns0:c r="F74" s="108" t="n">
        <ns0:v>0.09195402298850575</ns0:v>
      </ns0:c>
      <ns0:c r="G74" s="108" t="n">
        <ns0:v>1</ns0:v>
      </ns0:c>
      <ns0:c r="H74" s="107" t="n">
        <ns0:v>1</ns0:v>
      </ns0:c>
      <ns0:c r="I74" s="107" t="n">
        <ns0:v>1</ns0:v>
      </ns0:c>
      <ns0:c r="J74" s="97" t="inlineStr">
        <ns0:is>
          <ns0:t>语义消融</ns0:t>
        </ns0:is>
      </ns0:c>
      <ns0:c r="K74" s="97" t="inlineStr"/>
      <ns0:c r="L74" s="97" t="inlineStr"/>
    </ns0:row>
    <ns0:row r="75">
      <ns0:c r="A75" s="96" t="inlineStr">
        <ns0:is>
          <ns0:t>10.0 cm</ns0:t>
        </ns0:is>
      </ns0:c>
      <ns0:c r="B75" s="96" t="inlineStr">
        <ns0:is>
          <ns0:t>office0</ns0:t>
        </ns0:is>
      </ns0:c>
      <ns0:c r="C75" s="96" t="inlineStr">
        <ns0:is>
          <ns0:t>OS_hungarian</ns0:t>
        </ns0:is>
      </ns0:c>
      <ns0:c r="D75" s="105" t="n">
        <ns0:v>35</ns0:v>
      </ns0:c>
      <ns0:c r="E75" s="106" t="n">
        <ns0:v>0.006030603060306031</ns0:v>
      </ns0:c>
      <ns0:c r="F75" s="106" t="n">
        <ns0:v>0.09195402298850575</ns0:v>
      </ns0:c>
      <ns0:c r="G75" s="106" t="n">
        <ns0:v>1</ns0:v>
      </ns0:c>
      <ns0:c r="H75" s="105" t="n">
        <ns0:v>1</ns0:v>
      </ns0:c>
      <ns0:c r="I75" s="105" t="n">
        <ns0:v>1</ns0:v>
      </ns0:c>
      <ns0:c r="J75" s="96" t="inlineStr">
        <ns0:is>
          <ns0:t>语义消融</ns0:t>
        </ns0:is>
      </ns0:c>
      <ns0:c r="K75" s="96" t="inlineStr"/>
      <ns0:c r="L75" s="96" t="inlineStr">
        <ns0:is>
          <ns0:t>弱结构匹配，不用于纯语义结论</ns0:t>
        </ns0:is>
      </ns0:c>
    </ns0:row>
    <ns0:row r="76">
      <ns0:c r="A76" s="97" t="inlineStr">
        <ns0:is>
          <ns0:t>10.0 cm</ns0:t>
        </ns0:is>
      </ns0:c>
      <ns0:c r="B76" s="97" t="inlineStr">
        <ns0:is>
          <ns0:t>office0</ns0:t>
        </ns0:is>
      </ns0:c>
      <ns0:c r="C76" s="97" t="inlineStr">
        <ns0:is>
          <ns0:t>OG</ns0:t>
        </ns0:is>
      </ns0:c>
      <ns0:c r="D76" s="107" t="n">
        <ns0:v>52</ns0:v>
      </ns0:c>
      <ns0:c r="E76" s="108" t="n">
        <ns0:v>1</ns0:v>
      </ns0:c>
      <ns0:c r="F76" s="108" t="n">
        <ns0:v>1</ns0:v>
      </ns0:c>
      <ns0:c r="G76" s="108" t="n">
        <ns0:v>1</ns0:v>
      </ns0:c>
      <ns0:c r="H76" s="107" t="n">
        <ns0:v>15</ns0:v>
      </ns0:c>
      <ns0:c r="I76" s="107" t="n">
        <ns0:v>15</ns0:v>
      </ns0:c>
      <ns0:c r="J76" s="97" t="inlineStr">
        <ns0:is>
          <ns0:t>总上限</ns0:t>
        </ns0:is>
      </ns0:c>
      <ns0:c r="K76" s="97" t="inlineStr"/>
      <ns0:c r="L76" s="97" t="inlineStr"/>
    </ns0:row>
    <ns0:row r="77"/>
    <ns0:row r="78" ht="24" customHeight="1" s="2">
      <ns0:c r="A78" s="91" t="inlineStr">
        <ns0:is>
          <ns0:t>C. 5 cm 差距恢复与边际增量</ns0:t>
        </ns0:is>
      </ns0:c>
      <ns0:c r="B78" s="120" t="n"/>
      <ns0:c r="C78" s="120" t="n"/>
      <ns0:c r="D78" s="120" t="n"/>
      <ns0:c r="E78" s="120" t="n"/>
      <ns0:c r="F78" s="120" t="n"/>
      <ns0:c r="G78" s="120" t="n"/>
      <ns0:c r="H78" s="120" t="n"/>
      <ns0:c r="I78" s="120" t="n"/>
      <ns0:c r="J78" s="120" t="n"/>
      <ns0:c r="K78" s="120" t="n"/>
      <ns0:c r="L78" s="120" t="n"/>
    </ns0:row>
    <ns0:row r="79" ht="30" customHeight="1" s="2">
      <ns0:c r="A79" s="92" t="inlineStr">
        <ns0:is>
          <ns0:t>场景</ns0:t>
        </ns0:is>
      </ns0:c>
      <ns0:c r="B79" s="92" t="inlineStr">
        <ns0:is>
          <ns0:t>OA差距恢复</ns0:t>
        </ns0:is>
      </ns0:c>
      <ns0:c r="C79" s="92" t="inlineStr">
        <ns0:is>
          <ns0:t>OP差距恢复</ns0:t>
        </ns0:is>
      </ns0:c>
      <ns0:c r="D79" s="92" t="inlineStr">
        <ns0:is>
          <ns0:t>OM_pure差距恢复</ns0:t>
        </ns0:is>
      </ns0:c>
      <ns0:c r="E79" s="92" t="inlineStr">
        <ns0:is>
          <ns0:t>OM_all差距恢复</ns0:t>
        </ns0:is>
      </ns0:c>
      <ns0:c r="F79" s="92" t="inlineStr">
        <ns0:is>
          <ns0:t>旧O1差距恢复</ns0:t>
        </ns0:is>
      </ns0:c>
      <ns0:c r="G79" s="92" t="inlineStr">
        <ns0:is>
          <ns0:t>关联增量</ns0:t>
        </ns0:is>
      </ns0:c>
      <ns0:c r="H79" s="92" t="inlineStr">
        <ns0:is>
          <ns0:t>拒绝观测增量</ns0:t>
        </ns0:is>
      </ns0:c>
      <ns0:c r="I79" s="92" t="inlineStr">
        <ns0:is>
          <ns0:t>owner清理增量</ns0:t>
        </ns0:is>
      </ns0:c>
      <ns0:c r="J79" s="92" t="inlineStr">
        <ns0:is>
          <ns0:t>全分区增量</ns0:t>
        </ns0:is>
      </ns0:c>
      <ns0:c r="K79" s="92" t="inlineStr">
        <ns0:is>
          <ns0:t>缺失感知差距</ns0:t>
        </ns0:is>
      </ns0:c>
      <ns0:c r="L79" s="92" t="inlineStr">
        <ns0:is>
          <ns0:t>解释</ns0:t>
        </ns0:is>
      </ns0:c>
    </ns0:row>
    <ns0:row r="80" ht="36" customHeight="1" s="2">
      <ns0:c r="A80" s="97" t="inlineStr">
        <ns0:is>
          <ns0:t>room0</ns0:t>
        </ns0:is>
      </ns0:c>
      <ns0:c r="B80" s="108" t="n">
        <ns0:v>0.1208664898320071</ns0:v>
      </ns0:c>
      <ns0:c r="C80" s="108" t="n">
        <ns0:v>0.1241379310344828</ns0:v>
      </ns0:c>
      <ns0:c r="D80" s="108" t="n">
        <ns0:v>0.1256704980842912</ns0:v>
      </ns0:c>
      <ns0:c r="E80" s="108" t="n">
        <ns0:v>0.8147025388404699</ns0:v>
      </ns0:c>
      <ns0:c r="F80" s="108" t="n">
        <ns0:v>0.1341099720410066</ns0:v>
      </ns0:c>
      <ns0:c r="G80" s="108" t="n">
        <ns0:v>0.1075192700959572</ns0:v>
      </ns0:c>
      <ns0:c r="H80" s="108" t="n">
        <ns0:v>0.002910177756803523</ns0:v>
      </ns0:c>
      <ns0:c r="I80" s="108" t="n">
        <ns0:v>0.001363326516700736</ns0:v>
      </ns0:c>
      <ns0:c r="J80" s="108" t="n">
        <ns0:v>0.612942612942613</ns0:v>
      </ns0:c>
      <ns0:c r="K80" s="108" t="n">
        <ns0:v>0.1648351648351648</ns0:v>
      </ns0:c>
      <ns0:c r="L80" s="97" t="inlineStr">
        <ns0:is>
          <ns0:t>最大边际增量来自 OM_all-OM_pure</ns0:t>
        </ns0:is>
      </ns0:c>
    </ns0:row>
    <ns0:row r="81" ht="36" customHeight="1" s="2">
      <ns0:c r="A81" s="96" t="inlineStr">
        <ns0:is>
          <ns0:t>office0</ns0:t>
        </ns0:is>
      </ns0:c>
      <ns0:c r="B81" s="106" t="n">
        <ns0:v>0.02583979328165375</ns0:v>
      </ns0:c>
      <ns0:c r="C81" s="106" t="n">
        <ns0:v>0.09488139825218476</ns0:v>
      </ns0:c>
      <ns0:c r="D81" s="106" t="n">
        <ns0:v>0.198226395409494</ns0:v>
      </ns0:c>
      <ns0:c r="E81" s="106" t="n">
        <ns0:v>0.8525780682643428</ns0:v>
      </ns0:c>
      <ns0:c r="F81" s="106" t="n">
        <ns0:v>0.02583979328165375</ns0:v>
      </ns0:c>
      <ns0:c r="G81" s="106" t="n">
        <ns0:v>0.02405773857257418</ns0:v>
      </ns0:c>
      <ns0:c r="H81" s="106" t="n">
        <ns0:v>0.06428011497256336</ns0:v>
      </ns0:c>
      <ns0:c r="I81" s="106" t="n">
        <ns0:v>0.09621775597404653</ns0:v>
      </ns0:c>
      <ns0:c r="J81" s="106" t="n">
        <ns0:v>0.6092239712786524</ns0:v>
      </ns0:c>
      <ns0:c r="K81" s="106" t="n">
        <ns0:v>0.1372549019607843</ns0:v>
      </ns0:c>
      <ns0:c r="L81" s="96" t="inlineStr">
        <ns0:is>
          <ns0:t>最大边际增量来自 OM_all-OM_pure</ns0:t>
        </ns0:is>
      </ns0:c>
    </ns0:row>
    <ns0:row r="82"/>
    <ns0:row r="83" ht="24" customHeight="1" s="2">
      <ns0:c r="A83" s="91" t="inlineStr">
        <ns0:is>
          <ns0:t>D. FROSS-style 对应敏感性（5 mm 去重，0.1 m 对应）</ns0:t>
        </ns0:is>
      </ns0:c>
      <ns0:c r="B83" s="120" t="n"/>
      <ns0:c r="C83" s="120" t="n"/>
      <ns0:c r="D83" s="120" t="n"/>
      <ns0:c r="E83" s="120" t="n"/>
      <ns0:c r="F83" s="120" t="n"/>
      <ns0:c r="G83" s="120" t="n"/>
      <ns0:c r="H83" s="120" t="n"/>
      <ns0:c r="I83" s="120" t="n"/>
      <ns0:c r="J83" s="120" t="n"/>
      <ns0:c r="K83" s="120" t="n"/>
      <ns0:c r="L83" s="120" t="n"/>
    </ns0:row>
    <ns0:row r="84" ht="30" customHeight="1" s="2">
      <ns0:c r="A84" s="92" t="inlineStr">
        <ns0:is>
          <ns0:t>场景</ns0:t>
        </ns0:is>
      </ns0:c>
      <ns0:c r="B84" s="92" t="inlineStr">
        <ns0:is>
          <ns0:t>条件</ns0:t>
        </ns0:is>
      </ns0:c>
      <ns0:c r="C84" s="92" t="inlineStr">
        <ns0:is>
          <ns0:t>Precision</ns0:t>
        </ns0:is>
      </ns0:c>
      <ns0:c r="D84" s="92" t="inlineStr">
        <ns0:is>
          <ns0:t>Recall</ns0:t>
        </ns0:is>
      </ns0:c>
      <ns0:c r="E84" s="92" t="inlineStr">
        <ns0:is>
          <ns0:t>F1</ns0:t>
        </ns0:is>
      </ns0:c>
      <ns0:c r="F84" s="92" t="inlineStr">
        <ns0:is>
          <ns0:t>污染预测数</ns0:t>
        </ns0:is>
      </ns0:c>
      <ns0:c r="G84" s="92" t="inlineStr">
        <ns0:is>
          <ns0:t>碎片GT数</ns0:t>
        </ns0:is>
      </ns0:c>
      <ns0:c r="H84" s="92" t="inlineStr">
        <ns0:is>
          <ns0:t>平均GT覆盖</ns0:t>
        </ns0:is>
      </ns0:c>
      <ns0:c r="I84" s="92" t="inlineStr">
        <ns0:is>
          <ns0:t>平均purity</ns0:t>
        </ns0:is>
      </ns0:c>
      <ns0:c r="J84" s="92" t="inlineStr"/>
      <ns0:c r="K84" s="92" t="inlineStr"/>
      <ns0:c r="L84" s="92" t="inlineStr">
        <ns0:is>
          <ns0:t>角色</ns0:t>
        </ns0:is>
      </ns0:c>
    </ns0:row>
    <ns0:row r="85">
      <ns0:c r="A85" s="96" t="inlineStr">
        <ns0:is>
          <ns0:t>room0</ns0:t>
        </ns0:is>
      </ns0:c>
      <ns0:c r="B85" s="96" t="inlineStr">
        <ns0:is>
          <ns0:t>B0</ns0:t>
        </ns0:is>
      </ns0:c>
      <ns0:c r="C85" s="106" t="n">
        <ns0:v>0.2083333333333333</ns0:v>
      </ns0:c>
      <ns0:c r="D85" s="106" t="n">
        <ns0:v>0.1648351648351648</ns0:v>
      </ns0:c>
      <ns0:c r="E85" s="106" t="n">
        <ns0:v>0.1840490797546012</ns0:v>
      </ns0:c>
      <ns0:c r="F85" s="105" t="n">
        <ns0:v>12</ns0:v>
      </ns0:c>
      <ns0:c r="G85" s="105" t="n">
        <ns0:v>7</ns0:v>
      </ns0:c>
      <ns0:c r="H85" s="106" t="n">
        <ns0:v>0.1143846385595968</ns0:v>
      </ns0:c>
      <ns0:c r="I85" s="106" t="n">
        <ns0:v>0.8577410894560124</ns0:v>
      </ns0:c>
      <ns0:c r="J85" s="96" t="inlineStr"/>
      <ns0:c r="K85" s="96" t="inlineStr"/>
      <ns0:c r="L85" s="96" t="inlineStr">
        <ns0:is>
          <ns0:t>稳健性支持，非官方 benchmark</ns0:t>
        </ns0:is>
      </ns0:c>
    </ns0:row>
    <ns0:row r="86">
      <ns0:c r="A86" s="97" t="inlineStr">
        <ns0:is>
          <ns0:t>room0</ns0:t>
        </ns0:is>
      </ns0:c>
      <ns0:c r="B86" s="97" t="inlineStr">
        <ns0:is>
          <ns0:t>OA_online</ns0:t>
        </ns0:is>
      </ns0:c>
      <ns0:c r="C86" s="108" t="n">
        <ns0:v>0.2307692307692308</ns0:v>
      </ns0:c>
      <ns0:c r="D86" s="108" t="n">
        <ns0:v>0.1648351648351648</ns0:v>
      </ns0:c>
      <ns0:c r="E86" s="108" t="n">
        <ns0:v>0.1923076923076923</ns0:v>
      </ns0:c>
      <ns0:c r="F86" s="107" t="n">
        <ns0:v>17</ns0:v>
      </ns0:c>
      <ns0:c r="G86" s="107" t="n">
        <ns0:v>6</ns0:v>
      </ns0:c>
      <ns0:c r="H86" s="108" t="n">
        <ns0:v>0.1530518045388587</ns0:v>
      </ns0:c>
      <ns0:c r="I86" s="108" t="n">
        <ns0:v>0.6862813864565379</ns0:v>
      </ns0:c>
      <ns0:c r="J86" s="97" t="inlineStr"/>
      <ns0:c r="K86" s="97" t="inlineStr"/>
      <ns0:c r="L86" s="97" t="inlineStr">
        <ns0:is>
          <ns0:t>稳健性支持，非官方 benchmark</ns0:t>
        </ns0:is>
      </ns0:c>
    </ns0:row>
    <ns0:row r="87">
      <ns0:c r="A87" s="96" t="inlineStr">
        <ns0:is>
          <ns0:t>room0</ns0:t>
        </ns0:is>
      </ns0:c>
      <ns0:c r="B87" s="96" t="inlineStr">
        <ns0:is>
          <ns0:t>OP_raw</ns0:t>
        </ns0:is>
      </ns0:c>
      <ns0:c r="C87" s="106" t="n">
        <ns0:v>0.2361111111111111</ns0:v>
      </ns0:c>
      <ns0:c r="D87" s="106" t="n">
        <ns0:v>0.1868131868131868</ns0:v>
      </ns0:c>
      <ns0:c r="E87" s="106" t="n">
        <ns0:v>0.2085889570552147</ns0:v>
      </ns0:c>
      <ns0:c r="F87" s="105" t="n">
        <ns0:v>17</ns0:v>
      </ns0:c>
      <ns0:c r="G87" s="105" t="n">
        <ns0:v>6</ns0:v>
      </ns0:c>
      <ns0:c r="H87" s="106" t="n">
        <ns0:v>0.192924927284475</ns0:v>
      </ns0:c>
      <ns0:c r="I87" s="106" t="n">
        <ns0:v>0.689290834595183</ns0:v>
      </ns0:c>
      <ns0:c r="J87" s="96" t="inlineStr"/>
      <ns0:c r="K87" s="96" t="inlineStr"/>
      <ns0:c r="L87" s="96" t="inlineStr">
        <ns0:is>
          <ns0:t>稳健性支持，非官方 benchmark</ns0:t>
        </ns0:is>
      </ns0:c>
    </ns0:row>
    <ns0:row r="88">
      <ns0:c r="A88" s="97" t="inlineStr">
        <ns0:is>
          <ns0:t>room0</ns0:t>
        </ns0:is>
      </ns0:c>
      <ns0:c r="B88" s="97" t="inlineStr">
        <ns0:is>
          <ns0:t>OM_pure</ns0:t>
        </ns0:is>
      </ns0:c>
      <ns0:c r="C88" s="108" t="n">
        <ns0:v>0.5714285714285714</ns0:v>
      </ns0:c>
      <ns0:c r="D88" s="108" t="n">
        <ns0:v>0.2197802197802198</ns0:v>
      </ns0:c>
      <ns0:c r="E88" s="108" t="n">
        <ns0:v>0.3174603174603174</ns0:v>
      </ns0:c>
      <ns0:c r="F88" s="107" t="n">
        <ns0:v>1</ns0:v>
      </ns0:c>
      <ns0:c r="G88" s="107" t="n">
        <ns0:v>3</ns0:v>
      </ns0:c>
      <ns0:c r="H88" s="108" t="n">
        <ns0:v>0.4085480935829657</ns0:v>
      </ns0:c>
      <ns0:c r="I88" s="108" t="n">
        <ns0:v>0.8333228765731194</ns0:v>
      </ns0:c>
      <ns0:c r="J88" s="97" t="inlineStr"/>
      <ns0:c r="K88" s="97" t="inlineStr"/>
      <ns0:c r="L88" s="97" t="inlineStr">
        <ns0:is>
          <ns0:t>稳健性支持，非官方 benchmark</ns0:t>
        </ns0:is>
      </ns0:c>
    </ns0:row>
    <ns0:row r="89">
      <ns0:c r="A89" s="96" t="inlineStr">
        <ns0:is>
          <ns0:t>room0</ns0:t>
        </ns0:is>
      </ns0:c>
      <ns0:c r="B89" s="96" t="inlineStr">
        <ns0:is>
          <ns0:t>OM_all</ns0:t>
        </ns0:is>
      </ns0:c>
      <ns0:c r="C89" s="106" t="n">
        <ns0:v>0.6043956043956044</ns0:v>
      </ns0:c>
      <ns0:c r="D89" s="106" t="n">
        <ns0:v>0.6043956043956044</ns0:v>
      </ns0:c>
      <ns0:c r="E89" s="106" t="n">
        <ns0:v>0.6043956043956044</ns0:v>
      </ns0:c>
      <ns0:c r="F89" s="105" t="n">
        <ns0:v>12</ns0:v>
      </ns0:c>
      <ns0:c r="G89" s="105" t="n">
        <ns0:v>3</ns0:v>
      </ns0:c>
      <ns0:c r="H89" s="106" t="n">
        <ns0:v>0.703393688937631</ns0:v>
      </ns0:c>
      <ns0:c r="I89" s="106" t="n">
        <ns0:v>0.7612762326237977</ns0:v>
      </ns0:c>
      <ns0:c r="J89" s="96" t="inlineStr"/>
      <ns0:c r="K89" s="96" t="inlineStr"/>
      <ns0:c r="L89" s="96" t="inlineStr">
        <ns0:is>
          <ns0:t>稳健性支持，非官方 benchmark</ns0:t>
        </ns0:is>
      </ns0:c>
    </ns0:row>
    <ns0:row r="90">
      <ns0:c r="A90" s="97" t="inlineStr">
        <ns0:is>
          <ns0:t>room0</ns0:t>
        </ns0:is>
      </ns0:c>
      <ns0:c r="B90" s="97" t="inlineStr">
        <ns0:is>
          <ns0:t>OG</ns0:t>
        </ns0:is>
      </ns0:c>
      <ns0:c r="C90" s="108" t="n">
        <ns0:v>0.9890109890109891</ns0:v>
      </ns0:c>
      <ns0:c r="D90" s="108" t="n">
        <ns0:v>0.9890109890109891</ns0:v>
      </ns0:c>
      <ns0:c r="E90" s="108" t="n">
        <ns0:v>0.9890109890109891</ns0:v>
      </ns0:c>
      <ns0:c r="F90" s="107" t="n">
        <ns0:v>0</ns0:v>
      </ns0:c>
      <ns0:c r="G90" s="107" t="n">
        <ns0:v>0</ns0:v>
      </ns0:c>
      <ns0:c r="H90" s="108" t="n">
        <ns0:v>0.8437977947044263</ns0:v>
      </ns0:c>
      <ns0:c r="I90" s="108" t="n">
        <ns0:v>0.8437977947044263</ns0:v>
      </ns0:c>
      <ns0:c r="J90" s="97" t="inlineStr"/>
      <ns0:c r="K90" s="97" t="inlineStr"/>
      <ns0:c r="L90" s="97" t="inlineStr">
        <ns0:is>
          <ns0:t>稳健性支持，非官方 benchmark</ns0:t>
        </ns0:is>
      </ns0:c>
    </ns0:row>
    <ns0:row r="91">
      <ns0:c r="A91" s="96" t="inlineStr">
        <ns0:is>
          <ns0:t>office0</ns0:t>
        </ns0:is>
      </ns0:c>
      <ns0:c r="B91" s="96" t="inlineStr">
        <ns0:is>
          <ns0:t>B0</ns0:t>
        </ns0:is>
      </ns0:c>
      <ns0:c r="C91" s="106" t="n">
        <ns0:v>0.1714285714285714</ns0:v>
      </ns0:c>
      <ns0:c r="D91" s="106" t="n">
        <ns0:v>0.1153846153846154</ns0:v>
      </ns0:c>
      <ns0:c r="E91" s="106" t="n">
        <ns0:v>0.1379310344827586</ns0:v>
      </ns0:c>
      <ns0:c r="F91" s="105" t="n">
        <ns0:v>7</ns0:v>
      </ns0:c>
      <ns0:c r="G91" s="105" t="n">
        <ns0:v>2</ns0:v>
      </ns0:c>
      <ns0:c r="H91" s="106" t="n">
        <ns0:v>0.08044356743580369</ns0:v>
      </ns0:c>
      <ns0:c r="I91" s="106" t="n">
        <ns0:v>0.8250171817701107</ns0:v>
      </ns0:c>
      <ns0:c r="J91" s="96" t="inlineStr"/>
      <ns0:c r="K91" s="96" t="inlineStr"/>
      <ns0:c r="L91" s="96" t="inlineStr">
        <ns0:is>
          <ns0:t>稳健性支持，非官方 benchmark</ns0:t>
        </ns0:is>
      </ns0:c>
    </ns0:row>
    <ns0:row r="92">
      <ns0:c r="A92" s="97" t="inlineStr">
        <ns0:is>
          <ns0:t>office0</ns0:t>
        </ns0:is>
      </ns0:c>
      <ns0:c r="B92" s="97" t="inlineStr">
        <ns0:is>
          <ns0:t>OA_online</ns0:t>
        </ns0:is>
      </ns0:c>
      <ns0:c r="C92" s="108" t="n">
        <ns0:v>0.2352941176470588</ns0:v>
      </ns0:c>
      <ns0:c r="D92" s="108" t="n">
        <ns0:v>0.1538461538461539</ns0:v>
      </ns0:c>
      <ns0:c r="E92" s="108" t="n">
        <ns0:v>0.186046511627907</ns0:v>
      </ns0:c>
      <ns0:c r="F92" s="107" t="n">
        <ns0:v>8</ns0:v>
      </ns0:c>
      <ns0:c r="G92" s="107" t="n">
        <ns0:v>4</ns0:v>
      </ns0:c>
      <ns0:c r="H92" s="108" t="n">
        <ns0:v>0.08721693015559044</ns0:v>
      </ns0:c>
      <ns0:c r="I92" s="108" t="n">
        <ns0:v>0.7009407204731799</ns0:v>
      </ns0:c>
      <ns0:c r="J92" s="97" t="inlineStr"/>
      <ns0:c r="K92" s="97" t="inlineStr"/>
      <ns0:c r="L92" s="97" t="inlineStr">
        <ns0:is>
          <ns0:t>稳健性支持，非官方 benchmark</ns0:t>
        </ns0:is>
      </ns0:c>
    </ns0:row>
    <ns0:row r="93">
      <ns0:c r="A93" s="96" t="inlineStr">
        <ns0:is>
          <ns0:t>office0</ns0:t>
        </ns0:is>
      </ns0:c>
      <ns0:c r="B93" s="96" t="inlineStr">
        <ns0:is>
          <ns0:t>OP_raw</ns0:t>
        </ns0:is>
      </ns0:c>
      <ns0:c r="C93" s="106" t="n">
        <ns0:v>0.2162162162162162</ns0:v>
      </ns0:c>
      <ns0:c r="D93" s="106" t="n">
        <ns0:v>0.1538461538461539</ns0:v>
      </ns0:c>
      <ns0:c r="E93" s="106" t="n">
        <ns0:v>0.1797752808988764</ns0:v>
      </ns0:c>
      <ns0:c r="F93" s="105" t="n">
        <ns0:v>11</ns0:v>
      </ns0:c>
      <ns0:c r="G93" s="105" t="n">
        <ns0:v>2</ns0:v>
      </ns0:c>
      <ns0:c r="H93" s="106" t="n">
        <ns0:v>0.08822878520490622</ns0:v>
      </ns0:c>
      <ns0:c r="I93" s="106" t="n">
        <ns0:v>0.6879735299320981</ns0:v>
      </ns0:c>
      <ns0:c r="J93" s="96" t="inlineStr"/>
      <ns0:c r="K93" s="96" t="inlineStr"/>
      <ns0:c r="L93" s="96" t="inlineStr">
        <ns0:is>
          <ns0:t>稳健性支持，非官方 benchmark</ns0:t>
        </ns0:is>
      </ns0:c>
    </ns0:row>
    <ns0:row r="94">
      <ns0:c r="A94" s="97" t="inlineStr">
        <ns0:is>
          <ns0:t>office0</ns0:t>
        </ns0:is>
      </ns0:c>
      <ns0:c r="B94" s="97" t="inlineStr">
        <ns0:is>
          <ns0:t>OM_pure</ns0:t>
        </ns0:is>
      </ns0:c>
      <ns0:c r="C94" s="108" t="n">
        <ns0:v>0.5789473684210527</ns0:v>
      </ns0:c>
      <ns0:c r="D94" s="108" t="n">
        <ns0:v>0.2115384615384615</ns0:v>
      </ns0:c>
      <ns0:c r="E94" s="108" t="n">
        <ns0:v>0.3098591549295774</ns0:v>
      </ns0:c>
      <ns0:c r="F94" s="107" t="n">
        <ns0:v>1</ns0:v>
      </ns0:c>
      <ns0:c r="G94" s="107" t="n">
        <ns0:v>0</ns0:v>
      </ns0:c>
      <ns0:c r="H94" s="108" t="n">
        <ns0:v>0.3071910199104153</ns0:v>
      </ns0:c>
      <ns0:c r="I94" s="108" t="n">
        <ns0:v>0.7154979839618463</ns0:v>
      </ns0:c>
      <ns0:c r="J94" s="97" t="inlineStr"/>
      <ns0:c r="K94" s="97" t="inlineStr"/>
      <ns0:c r="L94" s="97" t="inlineStr">
        <ns0:is>
          <ns0:t>稳健性支持，非官方 benchmark</ns0:t>
        </ns0:is>
      </ns0:c>
    </ns0:row>
    <ns0:row r="95">
      <ns0:c r="A95" s="96" t="inlineStr">
        <ns0:is>
          <ns0:t>office0</ns0:t>
        </ns0:is>
      </ns0:c>
      <ns0:c r="B95" s="96" t="inlineStr">
        <ns0:is>
          <ns0:t>OM_all</ns0:t>
        </ns0:is>
      </ns0:c>
      <ns0:c r="C95" s="106" t="n">
        <ns0:v>0.6</ns0:v>
      </ns0:c>
      <ns0:c r="D95" s="106" t="n">
        <ns0:v>0.5769230769230769</ns0:v>
      </ns0:c>
      <ns0:c r="E95" s="106" t="n">
        <ns0:v>0.5882352941176471</ns0:v>
      </ns0:c>
      <ns0:c r="F95" s="105" t="n">
        <ns0:v>10</ns0:v>
      </ns0:c>
      <ns0:c r="G95" s="105" t="n">
        <ns0:v>0</ns0:v>
      </ns0:c>
      <ns0:c r="H95" s="106" t="n">
        <ns0:v>0.7123473054743361</ns0:v>
      </ns0:c>
      <ns0:c r="I95" s="106" t="n">
        <ns0:v>0.7239164839642702</ns0:v>
      </ns0:c>
      <ns0:c r="J95" s="96" t="inlineStr"/>
      <ns0:c r="K95" s="96" t="inlineStr"/>
      <ns0:c r="L95" s="96" t="inlineStr">
        <ns0:is>
          <ns0:t>稳健性支持，非官方 benchmark</ns0:t>
        </ns0:is>
      </ns0:c>
    </ns0:row>
    <ns0:row r="96">
      <ns0:c r="A96" s="97" t="inlineStr">
        <ns0:is>
          <ns0:t>office0</ns0:t>
        </ns0:is>
      </ns0:c>
      <ns0:c r="B96" s="97" t="inlineStr">
        <ns0:is>
          <ns0:t>OG</ns0:t>
        </ns0:is>
      </ns0:c>
      <ns0:c r="C96" s="108" t="n">
        <ns0:v>1</ns0:v>
      </ns0:c>
      <ns0:c r="D96" s="108" t="n">
        <ns0:v>1</ns0:v>
      </ns0:c>
      <ns0:c r="E96" s="108" t="n">
        <ns0:v>1</ns0:v>
      </ns0:c>
      <ns0:c r="F96" s="107" t="n">
        <ns0:v>0</ns0:v>
      </ns0:c>
      <ns0:c r="G96" s="107" t="n">
        <ns0:v>0</ns0:v>
      </ns0:c>
      <ns0:c r="H96" s="108" t="n">
        <ns0:v>0.8784588956200232</ns0:v>
      </ns0:c>
      <ns0:c r="I96" s="108" t="n">
        <ns0:v>0.8784588956200232</ns0:v>
      </ns0:c>
      <ns0:c r="J96" s="97" t="inlineStr"/>
      <ns0:c r="K96" s="97" t="inlineStr"/>
      <ns0:c r="L96" s="97" t="inlineStr">
        <ns0:is>
          <ns0:t>稳健性支持，非官方 benchmark</ns0:t>
        </ns0:is>
      </ns0:c>
    </ns0:row>
    <ns0:row r="97"/>
    <ns0:row r="98" ht="24" customHeight="1" s="2">
      <ns0:c r="A98" s="91" t="inlineStr">
        <ns0:is>
          <ns0:t>E. 阶段漏斗：损失发生在哪</ns0:t>
        </ns0:is>
      </ns0:c>
      <ns0:c r="B98" s="120" t="n"/>
      <ns0:c r="C98" s="120" t="n"/>
      <ns0:c r="D98" s="120" t="n"/>
      <ns0:c r="E98" s="120" t="n"/>
      <ns0:c r="F98" s="120" t="n"/>
      <ns0:c r="G98" s="120" t="n"/>
      <ns0:c r="H98" s="120" t="n"/>
      <ns0:c r="I98" s="120" t="n"/>
      <ns0:c r="J98" s="120" t="n"/>
      <ns0:c r="K98" s="120" t="n"/>
      <ns0:c r="L98" s="120" t="n"/>
    </ns0:row>
    <ns0:row r="99" ht="30" customHeight="1" s="2">
      <ns0:c r="A99" s="92" t="inlineStr">
        <ns0:is>
          <ns0:t>场景</ns0:t>
        </ns0:is>
      </ns0:c>
      <ns0:c r="B99" s="92" t="inlineStr">
        <ns0:is>
          <ns0:t>阈值</ns0:t>
        </ns0:is>
      </ns0:c>
      <ns0:c r="C99" s="92" t="inlineStr">
        <ns0:is>
          <ns0:t>可见object-frame</ns0:t>
        </ns0:is>
      </ns0:c>
      <ns0:c r="D99" s="92" t="inlineStr">
        <ns0:is>
          <ns0:t>raw可用</ns0:t>
        </ns0:is>
      </ns0:c>
      <ns0:c r="E99" s="92" t="inlineStr">
        <ns0:is>
          <ns0:t>processed可用</ns0:t>
        </ns0:is>
      </ns0:c>
      <ns0:c r="F99" s="92" t="inlineStr">
        <ns0:is>
          <ns0:t>final存活</ns0:t>
        </ns0:is>
      </ns0:c>
      <ns0:c r="G99" s="92" t="inlineStr">
        <ns0:is>
          <ns0:t>raw/可见</ns0:t>
        </ns0:is>
      </ns0:c>
      <ns0:c r="H99" s="92" t="inlineStr">
        <ns0:is>
          <ns0:t>processed/raw</ns0:t>
        </ns0:is>
      </ns0:c>
      <ns0:c r="I99" s="92" t="inlineStr">
        <ns0:is>
          <ns0:t>final/processed</ns0:t>
        </ns0:is>
      </ns0:c>
      <ns0:c r="J99" s="92" t="inlineStr">
        <ns0:is>
          <ns0:t>R0对象</ns0:t>
        </ns0:is>
      </ns0:c>
      <ns0:c r="K99" s="92" t="inlineStr">
        <ns0:is>
          <ns0:t>R1/R3对象</ns0:t>
        </ns0:is>
      </ns0:c>
      <ns0:c r="L99" s="92" t="inlineStr">
        <ns0:is>
          <ns0:t>结论</ns0:t>
        </ns0:is>
      </ns0:c>
    </ns0:row>
    <ns0:row r="100" ht="34" customHeight="1" s="2">
      <ns0:c r="A100" s="97" t="inlineStr">
        <ns0:is>
          <ns0:t>room0</ns0:t>
        </ns0:is>
      </ns0:c>
      <ns0:c r="B100" s="111" t="n">
        <ns0:v>0.3</ns0:v>
      </ns0:c>
      <ns0:c r="C100" s="107" t="n">
        <ns0:v>10396</ns0:v>
      </ns0:c>
      <ns0:c r="D100" s="107" t="n">
        <ns0:v>1372</ns0:v>
      </ns0:c>
      <ns0:c r="E100" s="107" t="n">
        <ns0:v>1150</ns0:v>
      </ns0:c>
      <ns0:c r="F100" s="107" t="n">
        <ns0:v>1150</ns0:v>
      </ns0:c>
      <ns0:c r="G100" s="108" t="n">
        <ns0:v>0.1319738360908042</ns0:v>
      </ns0:c>
      <ns0:c r="H100" s="108" t="n">
        <ns0:v>0.8381924198250729</ns0:v>
      </ns0:c>
      <ns0:c r="I100" s="108" t="n">
        <ns0:v>1</ns0:v>
      </ns0:c>
      <ns0:c r="J100" s="107" t="n">
        <ns0:v>53</ns0:v>
      </ns0:c>
      <ns0:c r="K100" s="97" t="inlineStr">
        <ns0:is>
          <ns0:t>5 / 26</ns0:t>
        </ns0:is>
      </ns0:c>
      <ns0:c r="L100" s="97" t="inlineStr">
        <ns0:is>
          <ns0:t>strict 0.5 下 final/processed=100%，主损失在更早期</ns0:t>
        </ns0:is>
      </ns0:c>
    </ns0:row>
    <ns0:row r="101" ht="34" customHeight="1" s="2">
      <ns0:c r="A101" s="96" t="inlineStr">
        <ns0:is>
          <ns0:t>room0</ns0:t>
        </ns0:is>
      </ns0:c>
      <ns0:c r="B101" s="112" t="n">
        <ns0:v>0.5</ns0:v>
      </ns0:c>
      <ns0:c r="C101" s="105" t="n">
        <ns0:v>10396</ns0:v>
      </ns0:c>
      <ns0:c r="D101" s="105" t="n">
        <ns0:v>136</ns0:v>
      </ns0:c>
      <ns0:c r="E101" s="105" t="n">
        <ns0:v>100</ns0:v>
      </ns0:c>
      <ns0:c r="F101" s="105" t="n">
        <ns0:v>100</ns0:v>
      </ns0:c>
      <ns0:c r="G101" s="106" t="n">
        <ns0:v>0.01308195459792228</ns0:v>
      </ns0:c>
      <ns0:c r="H101" s="106" t="n">
        <ns0:v>0.7352941176470589</ns0:v>
      </ns0:c>
      <ns0:c r="I101" s="106" t="n">
        <ns0:v>1</ns0:v>
      </ns0:c>
      <ns0:c r="J101" s="105" t="n">
        <ns0:v>69</ns0:v>
      </ns0:c>
      <ns0:c r="K101" s="96" t="inlineStr">
        <ns0:is>
          <ns0:t>4 / 11</ns0:t>
        </ns0:is>
      </ns0:c>
      <ns0:c r="L101" s="96" t="inlineStr">
        <ns0:is>
          <ns0:t>strict 0.5 下 final/processed=100%，主损失在更早期</ns0:t>
        </ns0:is>
      </ns0:c>
    </ns0:row>
    <ns0:row r="102" ht="34" customHeight="1" s="2">
      <ns0:c r="A102" s="97" t="inlineStr">
        <ns0:is>
          <ns0:t>room0</ns0:t>
        </ns0:is>
      </ns0:c>
      <ns0:c r="B102" s="111" t="n">
        <ns0:v>0.7</ns0:v>
      </ns0:c>
      <ns0:c r="C102" s="107" t="n">
        <ns0:v>10396</ns0:v>
      </ns0:c>
      <ns0:c r="D102" s="107" t="n">
        <ns0:v>13</ns0:v>
      </ns0:c>
      <ns0:c r="E102" s="107" t="n">
        <ns0:v>11</ns0:v>
      </ns0:c>
      <ns0:c r="F102" s="107" t="n">
        <ns0:v>11</ns0:v>
      </ns0:c>
      <ns0:c r="G102" s="108" t="n">
        <ns0:v>0.001250480954213159</ns0:v>
      </ns0:c>
      <ns0:c r="H102" s="108" t="n">
        <ns0:v>0.8461538461538461</ns0:v>
      </ns0:c>
      <ns0:c r="I102" s="108" t="n">
        <ns0:v>1</ns0:v>
      </ns0:c>
      <ns0:c r="J102" s="107" t="n">
        <ns0:v>80</ns0:v>
      </ns0:c>
      <ns0:c r="K102" s="97" t="inlineStr">
        <ns0:is>
          <ns0:t>2 / 2</ns0:t>
        </ns0:is>
      </ns0:c>
      <ns0:c r="L102" s="97" t="inlineStr">
        <ns0:is>
          <ns0:t>strict 0.5 下 final/processed=100%，主损失在更早期</ns0:t>
        </ns0:is>
      </ns0:c>
    </ns0:row>
    <ns0:row r="103" ht="34" customHeight="1" s="2">
      <ns0:c r="A103" s="96" t="inlineStr">
        <ns0:is>
          <ns0:t>office0</ns0:t>
        </ns0:is>
      </ns0:c>
      <ns0:c r="B103" s="112" t="n">
        <ns0:v>0.3</ns0:v>
      </ns0:c>
      <ns0:c r="C103" s="105" t="n">
        <ns0:v>4371</ns0:v>
      </ns0:c>
      <ns0:c r="D103" s="105" t="n">
        <ns0:v>694</ns0:v>
      </ns0:c>
      <ns0:c r="E103" s="105" t="n">
        <ns0:v>375</ns0:v>
      </ns0:c>
      <ns0:c r="F103" s="105" t="n">
        <ns0:v>375</ns0:v>
      </ns0:c>
      <ns0:c r="G103" s="106" t="n">
        <ns0:v>0.1587737359871883</ns0:v>
      </ns0:c>
      <ns0:c r="H103" s="106" t="n">
        <ns0:v>0.5403458213256485</ns0:v>
      </ns0:c>
      <ns0:c r="I103" s="106" t="n">
        <ns0:v>1</ns0:v>
      </ns0:c>
      <ns0:c r="J103" s="105" t="n">
        <ns0:v>31</ns0:v>
      </ns0:c>
      <ns0:c r="K103" s="96" t="inlineStr">
        <ns0:is>
          <ns0:t>3 / 11</ns0:t>
        </ns0:is>
      </ns0:c>
      <ns0:c r="L103" s="96" t="inlineStr">
        <ns0:is>
          <ns0:t>strict 0.5 下 final/processed=100%，主损失在更早期</ns0:t>
        </ns0:is>
      </ns0:c>
    </ns0:row>
    <ns0:row r="104" ht="34" customHeight="1" s="2">
      <ns0:c r="A104" s="97" t="inlineStr">
        <ns0:is>
          <ns0:t>office0</ns0:t>
        </ns0:is>
      </ns0:c>
      <ns0:c r="B104" s="111" t="n">
        <ns0:v>0.5</ns0:v>
      </ns0:c>
      <ns0:c r="C104" s="107" t="n">
        <ns0:v>4371</ns0:v>
      </ns0:c>
      <ns0:c r="D104" s="107" t="n">
        <ns0:v>128</ns0:v>
      </ns0:c>
      <ns0:c r="E104" s="107" t="n">
        <ns0:v>57</ns0:v>
      </ns0:c>
      <ns0:c r="F104" s="107" t="n">
        <ns0:v>57</ns0:v>
      </ns0:c>
      <ns0:c r="G104" s="108" t="n">
        <ns0:v>0.02928391672386182</ns0:v>
      </ns0:c>
      <ns0:c r="H104" s="108" t="n">
        <ns0:v>0.4453125</ns0:v>
      </ns0:c>
      <ns0:c r="I104" s="108" t="n">
        <ns0:v>1</ns0:v>
      </ns0:c>
      <ns0:c r="J104" s="107" t="n">
        <ns0:v>35</ns0:v>
      </ns0:c>
      <ns0:c r="K104" s="97" t="inlineStr">
        <ns0:is>
          <ns0:t>3 / 7</ns0:t>
        </ns0:is>
      </ns0:c>
      <ns0:c r="L104" s="97" t="inlineStr">
        <ns0:is>
          <ns0:t>strict 0.5 下 final/processed=100%，主损失在更早期</ns0:t>
        </ns0:is>
      </ns0:c>
    </ns0:row>
    <ns0:row r="105" ht="34" customHeight="1" s="2">
      <ns0:c r="A105" s="96" t="inlineStr">
        <ns0:is>
          <ns0:t>office0</ns0:t>
        </ns0:is>
      </ns0:c>
      <ns0:c r="B105" s="112" t="n">
        <ns0:v>0.7</ns0:v>
      </ns0:c>
      <ns0:c r="C105" s="105" t="n">
        <ns0:v>4371</ns0:v>
      </ns0:c>
      <ns0:c r="D105" s="105" t="n">
        <ns0:v>17</ns0:v>
      </ns0:c>
      <ns0:c r="E105" s="105" t="n">
        <ns0:v>7</ns0:v>
      </ns0:c>
      <ns0:c r="F105" s="105" t="n">
        <ns0:v>7</ns0:v>
      </ns0:c>
      <ns0:c r="G105" s="106" t="n">
        <ns0:v>0.003889270189887897</ns0:v>
      </ns0:c>
      <ns0:c r="H105" s="106" t="n">
        <ns0:v>0.4117647058823529</ns0:v>
      </ns0:c>
      <ns0:c r="I105" s="106" t="n">
        <ns0:v>1</ns0:v>
      </ns0:c>
      <ns0:c r="J105" s="105" t="n">
        <ns0:v>39</ns0:v>
      </ns0:c>
      <ns0:c r="K105" s="96" t="inlineStr">
        <ns0:is>
          <ns0:t>2 / 4</ns0:t>
        </ns0:is>
      </ns0:c>
      <ns0:c r="L105" s="96" t="inlineStr">
        <ns0:is>
          <ns0:t>strict 0.5 下 final/processed=100%，主损失在更早期</ns0:t>
        </ns0:is>
      </ns0:c>
    </ns0:row>
    <ns0:row r="106"/>
    <ns0:row r="107" ht="24" customHeight="1" s="2">
      <ns0:c r="A107" s="91" t="inlineStr">
        <ns0:is>
          <ns0:t>F. 严格语义、标签本体与下游代理</ns0:t>
        </ns0:is>
      </ns0:c>
      <ns0:c r="B107" s="120" t="n"/>
      <ns0:c r="C107" s="120" t="n"/>
      <ns0:c r="D107" s="120" t="n"/>
      <ns0:c r="E107" s="120" t="n"/>
      <ns0:c r="F107" s="120" t="n"/>
      <ns0:c r="G107" s="120" t="n"/>
      <ns0:c r="H107" s="120" t="n"/>
      <ns0:c r="I107" s="120" t="n"/>
      <ns0:c r="J107" s="120" t="n"/>
      <ns0:c r="K107" s="120" t="n"/>
      <ns0:c r="L107" s="120" t="n"/>
    </ns0:row>
    <ns0:row r="108" ht="30" customHeight="1" s="2">
      <ns0:c r="A108" s="92" t="inlineStr">
        <ns0:is>
          <ns0:t>场景</ns0:t>
        </ns0:is>
      </ns0:c>
      <ns0:c r="B108" s="92" t="inlineStr">
        <ns0:is>
          <ns0:t>语义实验</ns0:t>
        </ns0:is>
      </ns0:c>
      <ns0:c r="C108" s="92" t="inlineStr">
        <ns0:is>
          <ns0:t>Hungarian匹配</ns0:t>
        </ns0:is>
      </ns0:c>
      <ns0:c r="D108" s="92" t="inlineStr">
        <ns0:is>
          <ns0:t>严格匹配</ns0:t>
        </ns0:is>
      </ns0:c>
      <ns0:c r="E108" s="92" t="inlineStr">
        <ns0:is>
          <ns0:t>严格错标签</ns0:t>
        </ns0:is>
      </ns0:c>
      <ns0:c r="F108" s="92" t="inlineStr">
        <ns0:is>
          <ns0:t>弱匹配错标签</ns0:t>
        </ns0:is>
      </ns0:c>
      <ns0:c r="G108" s="92" t="inlineStr">
        <ns0:is>
          <ns0:t>几何/溯源未变</ns0:t>
        </ns0:is>
      </ns0:c>
      <ns0:c r="H108" s="92" t="inlineStr"/>
      <ns0:c r="I108" s="92" t="inlineStr"/>
      <ns0:c r="J108" s="92" t="inlineStr"/>
      <ns0:c r="K108" s="92" t="inlineStr"/>
      <ns0:c r="L108" s="92" t="inlineStr">
        <ns0:is>
          <ns0:t>结论</ns0:t>
        </ns0:is>
      </ns0:c>
    </ns0:row>
    <ns0:row r="109">
      <ns0:c r="A109" s="100" t="inlineStr">
        <ns0:is>
          <ns0:t>room0</ns0:t>
        </ns0:is>
      </ns0:c>
      <ns0:c r="B109" s="100" t="inlineStr">
        <ns0:is>
          <ns0:t>OS_strict</ns0:t>
        </ns0:is>
      </ns0:c>
      <ns0:c r="C109" s="113" t="n">
        <ns0:v>8</ns0:v>
      </ns0:c>
      <ns0:c r="D109" s="113" t="n">
        <ns0:v>0</ns0:v>
      </ns0:c>
      <ns0:c r="E109" s="113" t="n">
        <ns0:v>0</ns0:v>
      </ns0:c>
      <ns0:c r="F109" s="113" t="n">
        <ns0:v>6</ns0:v>
      </ns0:c>
      <ns0:c r="G109" s="100" t="inlineStr">
        <ns0:is>
          <ns0:t>是</ns0:t>
        </ns0:is>
      </ns0:c>
      <ns0:c r="H109" s="100" t="inlineStr"/>
      <ns0:c r="I109" s="100" t="inlineStr"/>
      <ns0:c r="J109" s="100" t="inlineStr"/>
      <ns0:c r="K109" s="100" t="inlineStr"/>
      <ns0:c r="L109" s="100" t="inlineStr">
        <ns0:is>
          <ns0:t>strict cohort=0，纯语义收益未识别</ns0:t>
        </ns0:is>
      </ns0:c>
    </ns0:row>
    <ns0:row r="110">
      <ns0:c r="A110" s="100" t="inlineStr">
        <ns0:is>
          <ns0:t>office0</ns0:t>
        </ns0:is>
      </ns0:c>
      <ns0:c r="B110" s="100" t="inlineStr">
        <ns0:is>
          <ns0:t>OS_strict</ns0:t>
        </ns0:is>
      </ns0:c>
      <ns0:c r="C110" s="113" t="n">
        <ns0:v>1</ns0:v>
      </ns0:c>
      <ns0:c r="D110" s="113" t="n">
        <ns0:v>0</ns0:v>
      </ns0:c>
      <ns0:c r="E110" s="113" t="n">
        <ns0:v>0</ns0:v>
      </ns0:c>
      <ns0:c r="F110" s="113" t="n">
        <ns0:v>0</ns0:v>
      </ns0:c>
      <ns0:c r="G110" s="100" t="inlineStr">
        <ns0:is>
          <ns0:t>是</ns0:t>
        </ns0:is>
      </ns0:c>
      <ns0:c r="H110" s="100" t="inlineStr"/>
      <ns0:c r="I110" s="100" t="inlineStr"/>
      <ns0:c r="J110" s="100" t="inlineStr"/>
      <ns0:c r="K110" s="100" t="inlineStr"/>
      <ns0:c r="L110" s="100" t="inlineStr">
        <ns0:is>
          <ns0:t>strict cohort=0，纯语义收益未识别</ns0:t>
        </ns0:is>
      </ns0:c>
    </ns0:row>
    <ns0:row r="111"/>
    <ns0:row r="112" ht="30" customHeight="1" s="2">
      <ns0:c r="A112" s="92" t="inlineStr">
        <ns0:is>
          <ns0:t>场景</ns0:t>
        </ns0:is>
      </ns0:c>
      <ns0:c r="B112" s="92" t="inlineStr">
        <ns0:is>
          <ns0:t>标签映射</ns0:t>
        </ns0:is>
      </ns0:c>
      <ns0:c r="C112" s="92" t="inlineStr">
        <ns0:is>
          <ns0:t>条件</ns0:t>
        </ns0:is>
      </ns0:c>
      <ns0:c r="D112" s="92" t="inlineStr">
        <ns0:is>
          <ns0:t>Class-conditioned F1</ns0:t>
        </ns0:is>
      </ns0:c>
      <ns0:c r="E112" s="92" t="inlineStr">
        <ns0:is>
          <ns0:t>Class count MAE</ns0:t>
        </ns0:is>
      </ns0:c>
      <ns0:c r="F112" s="92" t="inlineStr">
        <ns0:is>
          <ns0:t>查询数</ns0:t>
        </ns0:is>
      </ns0:c>
      <ns0:c r="G112" s="92" t="inlineStr">
        <ns0:is>
          <ns0:t>Top1</ns0:t>
        </ns0:is>
      </ns0:c>
      <ns0:c r="H112" s="92" t="inlineStr">
        <ns0:is>
          <ns0:t>Top3</ns0:t>
        </ns0:is>
      </ns0:c>
      <ns0:c r="I112" s="92" t="inlineStr">
        <ns0:is>
          <ns0:t>Top1且≤1m</ns0:t>
        </ns0:is>
      </ns0:c>
      <ns0:c r="J112" s="92" t="inlineStr">
        <ns0:is>
          <ns0:t>候选覆盖</ns0:t>
        </ns0:is>
      </ns0:c>
      <ns0:c r="K112" s="92" t="inlineStr"/>
      <ns0:c r="L112" s="92" t="inlineStr">
        <ns0:is>
          <ns0:t>用途</ns0:t>
        </ns0:is>
      </ns0:c>
    </ns0:row>
    <ns0:row r="113">
      <ns0:c r="A113" s="96" t="inlineStr">
        <ns0:is>
          <ns0:t>room0</ns0:t>
        </ns0:is>
      </ns0:c>
      <ns0:c r="B113" s="96" t="inlineStr">
        <ns0:is>
          <ns0:t>official_only</ns0:t>
        </ns0:is>
      </ns0:c>
      <ns0:c r="C113" s="96" t="inlineStr">
        <ns0:is>
          <ns0:t>B0</ns0:t>
        </ns0:is>
      </ns0:c>
      <ns0:c r="D113" s="106" t="n">
        <ns0:v>0.04040404040404041</ns0:v>
      </ns0:c>
      <ns0:c r="E113" s="114" t="n">
        <ns0:v>2.647058823529412</ns0:v>
      </ns0:c>
      <ns0:c r="F113" s="105" t="n">
        <ns0:v>8</ns0:v>
      </ns0:c>
      <ns0:c r="G113" s="106" t="n">
        <ns0:v>0</ns0:v>
      </ns0:c>
      <ns0:c r="H113" s="106" t="n">
        <ns0:v>0</ns0:v>
      </ns0:c>
      <ns0:c r="I113" s="106" t="n">
        <ns0:v>0</ns0:v>
      </ns0:c>
      <ns0:c r="J113" s="106" t="n">
        <ns0:v>0.125</ns0:v>
      </ns0:c>
      <ns0:c r="K113" s="96" t="inlineStr"/>
      <ns0:c r="L113" s="96" t="inlineStr">
        <ns0:is>
          <ns0:t>official_only 为主，其余为敏感性</ns0:t>
        </ns0:is>
      </ns0:c>
    </ns0:row>
    <ns0:row r="114">
      <ns0:c r="A114" s="97" t="inlineStr">
        <ns0:is>
          <ns0:t>room0</ns0:t>
        </ns0:is>
      </ns0:c>
      <ns0:c r="B114" s="97" t="inlineStr">
        <ns0:is>
          <ns0:t>official_only</ns0:t>
        </ns0:is>
      </ns0:c>
      <ns0:c r="C114" s="97" t="inlineStr">
        <ns0:is>
          <ns0:t>OM_all</ns0:t>
        </ns0:is>
      </ns0:c>
      <ns0:c r="D114" s="108" t="n">
        <ns0:v>0.02597402597402597</ns0:v>
      </ns0:c>
      <ns0:c r="E114" s="115" t="n">
        <ns0:v>3</ns0:v>
      </ns0:c>
      <ns0:c r="F114" s="107" t="n">
        <ns0:v>8</ns0:v>
      </ns0:c>
      <ns0:c r="G114" s="108" t="n">
        <ns0:v>0</ns0:v>
      </ns0:c>
      <ns0:c r="H114" s="108" t="n">
        <ns0:v>0</ns0:v>
      </ns0:c>
      <ns0:c r="I114" s="108" t="n">
        <ns0:v>0</ns0:v>
      </ns0:c>
      <ns0:c r="J114" s="108" t="n">
        <ns0:v>0.125</ns0:v>
      </ns0:c>
      <ns0:c r="K114" s="97" t="inlineStr"/>
      <ns0:c r="L114" s="97" t="inlineStr">
        <ns0:is>
          <ns0:t>official_only 为主，其余为敏感性</ns0:t>
        </ns0:is>
      </ns0:c>
    </ns0:row>
    <ns0:row r="115">
      <ns0:c r="A115" s="96" t="inlineStr">
        <ns0:is>
          <ns0:t>room0</ns0:t>
        </ns0:is>
      </ns0:c>
      <ns0:c r="B115" s="96" t="inlineStr">
        <ns0:is>
          <ns0:t>official_only</ns0:t>
        </ns0:is>
      </ns0:c>
      <ns0:c r="C115" s="96" t="inlineStr">
        <ns0:is>
          <ns0:t>OG</ns0:t>
        </ns0:is>
      </ns0:c>
      <ns0:c r="D115" s="106" t="n">
        <ns0:v>1</ns0:v>
      </ns0:c>
      <ns0:c r="E115" s="114" t="n">
        <ns0:v>0</ns0:v>
      </ns0:c>
      <ns0:c r="F115" s="105" t="n">
        <ns0:v>8</ns0:v>
      </ns0:c>
      <ns0:c r="G115" s="106" t="n">
        <ns0:v>1</ns0:v>
      </ns0:c>
      <ns0:c r="H115" s="106" t="n">
        <ns0:v>1</ns0:v>
      </ns0:c>
      <ns0:c r="I115" s="106" t="n">
        <ns0:v>1</ns0:v>
      </ns0:c>
      <ns0:c r="J115" s="106" t="n">
        <ns0:v>1</ns0:v>
      </ns0:c>
      <ns0:c r="K115" s="96" t="inlineStr"/>
      <ns0:c r="L115" s="96" t="inlineStr">
        <ns0:is>
          <ns0:t>official_only 为主，其余为敏感性</ns0:t>
        </ns0:is>
      </ns0:c>
    </ns0:row>
    <ns0:row r="116">
      <ns0:c r="A116" s="97" t="inlineStr">
        <ns0:is>
          <ns0:t>room0</ns0:t>
        </ns0:is>
      </ns0:c>
      <ns0:c r="B116" s="97" t="inlineStr">
        <ns0:is>
          <ns0:t>current_aliases</ns0:t>
        </ns0:is>
      </ns0:c>
      <ns0:c r="C116" s="97" t="inlineStr">
        <ns0:is>
          <ns0:t>B0</ns0:t>
        </ns0:is>
      </ns0:c>
      <ns0:c r="D116" s="108" t="n">
        <ns0:v>0.03389830508474576</ns0:v>
      </ns0:c>
      <ns0:c r="E116" s="115" t="n">
        <ns0:v>2.444444444444445</ns0:v>
      </ns0:c>
      <ns0:c r="F116" s="107" t="n">
        <ns0:v>8</ns0:v>
      </ns0:c>
      <ns0:c r="G116" s="108" t="n">
        <ns0:v>0</ns0:v>
      </ns0:c>
      <ns0:c r="H116" s="108" t="n">
        <ns0:v>0</ns0:v>
      </ns0:c>
      <ns0:c r="I116" s="108" t="n">
        <ns0:v>0</ns0:v>
      </ns0:c>
      <ns0:c r="J116" s="108" t="n">
        <ns0:v>0.375</ns0:v>
      </ns0:c>
      <ns0:c r="K116" s="97" t="inlineStr"/>
      <ns0:c r="L116" s="97" t="inlineStr">
        <ns0:is>
          <ns0:t>official_only 为主，其余为敏感性</ns0:t>
        </ns0:is>
      </ns0:c>
    </ns0:row>
    <ns0:row r="117">
      <ns0:c r="A117" s="96" t="inlineStr">
        <ns0:is>
          <ns0:t>room0</ns0:t>
        </ns0:is>
      </ns0:c>
      <ns0:c r="B117" s="96" t="inlineStr">
        <ns0:is>
          <ns0:t>current_aliases</ns0:t>
        </ns0:is>
      </ns0:c>
      <ns0:c r="C117" s="96" t="inlineStr">
        <ns0:is>
          <ns0:t>OM_all</ns0:t>
        </ns0:is>
      </ns0:c>
      <ns0:c r="D117" s="106" t="n">
        <ns0:v>0.07272727272727274</ns0:v>
      </ns0:c>
      <ns0:c r="E117" s="114" t="n">
        <ns0:v>4.4</ns0:v>
      </ns0:c>
      <ns0:c r="F117" s="105" t="n">
        <ns0:v>8</ns0:v>
      </ns0:c>
      <ns0:c r="G117" s="106" t="n">
        <ns0:v>0</ns0:v>
      </ns0:c>
      <ns0:c r="H117" s="106" t="n">
        <ns0:v>0</ns0:v>
      </ns0:c>
      <ns0:c r="I117" s="106" t="n">
        <ns0:v>0</ns0:v>
      </ns0:c>
      <ns0:c r="J117" s="106" t="n">
        <ns0:v>0.25</ns0:v>
      </ns0:c>
      <ns0:c r="K117" s="96" t="inlineStr"/>
      <ns0:c r="L117" s="96" t="inlineStr">
        <ns0:is>
          <ns0:t>official_only 为主，其余为敏感性</ns0:t>
        </ns0:is>
      </ns0:c>
    </ns0:row>
    <ns0:row r="118">
      <ns0:c r="A118" s="97" t="inlineStr">
        <ns0:is>
          <ns0:t>room0</ns0:t>
        </ns0:is>
      </ns0:c>
      <ns0:c r="B118" s="97" t="inlineStr">
        <ns0:is>
          <ns0:t>current_aliases</ns0:t>
        </ns0:is>
      </ns0:c>
      <ns0:c r="C118" s="97" t="inlineStr">
        <ns0:is>
          <ns0:t>OG</ns0:t>
        </ns0:is>
      </ns0:c>
      <ns0:c r="D118" s="108" t="n">
        <ns0:v>1</ns0:v>
      </ns0:c>
      <ns0:c r="E118" s="115" t="n">
        <ns0:v>0</ns0:v>
      </ns0:c>
      <ns0:c r="F118" s="107" t="n">
        <ns0:v>8</ns0:v>
      </ns0:c>
      <ns0:c r="G118" s="108" t="n">
        <ns0:v>1</ns0:v>
      </ns0:c>
      <ns0:c r="H118" s="108" t="n">
        <ns0:v>1</ns0:v>
      </ns0:c>
      <ns0:c r="I118" s="108" t="n">
        <ns0:v>1</ns0:v>
      </ns0:c>
      <ns0:c r="J118" s="108" t="n">
        <ns0:v>1</ns0:v>
      </ns0:c>
      <ns0:c r="K118" s="97" t="inlineStr"/>
      <ns0:c r="L118" s="97" t="inlineStr">
        <ns0:is>
          <ns0:t>official_only 为主，其余为敏感性</ns0:t>
        </ns0:is>
      </ns0:c>
    </ns0:row>
    <ns0:row r="119">
      <ns0:c r="A119" s="96" t="inlineStr">
        <ns0:is>
          <ns0:t>room0</ns0:t>
        </ns0:is>
      </ns0:c>
      <ns0:c r="B119" s="96" t="inlineStr">
        <ns0:is>
          <ns0:t>reviewed_lamp_aliases</ns0:t>
        </ns0:is>
      </ns0:c>
      <ns0:c r="C119" s="96" t="inlineStr">
        <ns0:is>
          <ns0:t>B0</ns0:t>
        </ns0:is>
      </ns0:c>
      <ns0:c r="D119" s="106" t="n">
        <ns0:v>0.03361344537815127</ns0:v>
      </ns0:c>
      <ns0:c r="E119" s="114" t="n">
        <ns0:v>2.5</ns0:v>
      </ns0:c>
      <ns0:c r="F119" s="105" t="n">
        <ns0:v>8</ns0:v>
      </ns0:c>
      <ns0:c r="G119" s="106" t="n">
        <ns0:v>0</ns0:v>
      </ns0:c>
      <ns0:c r="H119" s="106" t="n">
        <ns0:v>0</ns0:v>
      </ns0:c>
      <ns0:c r="I119" s="106" t="n">
        <ns0:v>0</ns0:v>
      </ns0:c>
      <ns0:c r="J119" s="106" t="n">
        <ns0:v>0.375</ns0:v>
      </ns0:c>
      <ns0:c r="K119" s="96" t="inlineStr"/>
      <ns0:c r="L119" s="96" t="inlineStr">
        <ns0:is>
          <ns0:t>official_only 为主，其余为敏感性</ns0:t>
        </ns0:is>
      </ns0:c>
    </ns0:row>
    <ns0:row r="120">
      <ns0:c r="A120" s="97" t="inlineStr">
        <ns0:is>
          <ns0:t>room0</ns0:t>
        </ns0:is>
      </ns0:c>
      <ns0:c r="B120" s="97" t="inlineStr">
        <ns0:is>
          <ns0:t>reviewed_lamp_aliases</ns0:t>
        </ns0:is>
      </ns0:c>
      <ns0:c r="C120" s="97" t="inlineStr">
        <ns0:is>
          <ns0:t>OM_all</ns0:t>
        </ns0:is>
      </ns0:c>
      <ns0:c r="D120" s="108" t="n">
        <ns0:v>0.07272727272727274</ns0:v>
      </ns0:c>
      <ns0:c r="E120" s="115" t="n">
        <ns0:v>4.4</ns0:v>
      </ns0:c>
      <ns0:c r="F120" s="107" t="n">
        <ns0:v>8</ns0:v>
      </ns0:c>
      <ns0:c r="G120" s="108" t="n">
        <ns0:v>0</ns0:v>
      </ns0:c>
      <ns0:c r="H120" s="108" t="n">
        <ns0:v>0</ns0:v>
      </ns0:c>
      <ns0:c r="I120" s="108" t="n">
        <ns0:v>0</ns0:v>
      </ns0:c>
      <ns0:c r="J120" s="108" t="n">
        <ns0:v>0.25</ns0:v>
      </ns0:c>
      <ns0:c r="K120" s="97" t="inlineStr"/>
      <ns0:c r="L120" s="97" t="inlineStr">
        <ns0:is>
          <ns0:t>official_only 为主，其余为敏感性</ns0:t>
        </ns0:is>
      </ns0:c>
    </ns0:row>
    <ns0:row r="121">
      <ns0:c r="A121" s="96" t="inlineStr">
        <ns0:is>
          <ns0:t>room0</ns0:t>
        </ns0:is>
      </ns0:c>
      <ns0:c r="B121" s="96" t="inlineStr">
        <ns0:is>
          <ns0:t>reviewed_lamp_aliases</ns0:t>
        </ns0:is>
      </ns0:c>
      <ns0:c r="C121" s="96" t="inlineStr">
        <ns0:is>
          <ns0:t>OG</ns0:t>
        </ns0:is>
      </ns0:c>
      <ns0:c r="D121" s="106" t="n">
        <ns0:v>1</ns0:v>
      </ns0:c>
      <ns0:c r="E121" s="114" t="n">
        <ns0:v>0</ns0:v>
      </ns0:c>
      <ns0:c r="F121" s="105" t="n">
        <ns0:v>8</ns0:v>
      </ns0:c>
      <ns0:c r="G121" s="106" t="n">
        <ns0:v>1</ns0:v>
      </ns0:c>
      <ns0:c r="H121" s="106" t="n">
        <ns0:v>1</ns0:v>
      </ns0:c>
      <ns0:c r="I121" s="106" t="n">
        <ns0:v>1</ns0:v>
      </ns0:c>
      <ns0:c r="J121" s="106" t="n">
        <ns0:v>1</ns0:v>
      </ns0:c>
      <ns0:c r="K121" s="96" t="inlineStr"/>
      <ns0:c r="L121" s="96" t="inlineStr">
        <ns0:is>
          <ns0:t>official_only 为主，其余为敏感性</ns0:t>
        </ns0:is>
      </ns0:c>
    </ns0:row>
    <ns0:row r="122">
      <ns0:c r="A122" s="97" t="inlineStr">
        <ns0:is>
          <ns0:t>office0</ns0:t>
        </ns0:is>
      </ns0:c>
      <ns0:c r="B122" s="97" t="inlineStr">
        <ns0:is>
          <ns0:t>official_only</ns0:t>
        </ns0:is>
      </ns0:c>
      <ns0:c r="C122" s="97" t="inlineStr">
        <ns0:is>
          <ns0:t>B0</ns0:t>
        </ns0:is>
      </ns0:c>
      <ns0:c r="D122" s="108" t="n">
        <ns0:v>0</ns0:v>
      </ns0:c>
      <ns0:c r="E122" s="115" t="n">
        <ns0:v>1.384615384615385</ns0:v>
      </ns0:c>
      <ns0:c r="F122" s="107" t="n">
        <ns0:v>5</ns0:v>
      </ns0:c>
      <ns0:c r="G122" s="108" t="n">
        <ns0:v>0</ns0:v>
      </ns0:c>
      <ns0:c r="H122" s="108" t="n">
        <ns0:v>0</ns0:v>
      </ns0:c>
      <ns0:c r="I122" s="108" t="n">
        <ns0:v>0</ns0:v>
      </ns0:c>
      <ns0:c r="J122" s="108" t="n">
        <ns0:v>0</ns0:v>
      </ns0:c>
      <ns0:c r="K122" s="97" t="inlineStr"/>
      <ns0:c r="L122" s="97" t="inlineStr">
        <ns0:is>
          <ns0:t>official_only 为主，其余为敏感性</ns0:t>
        </ns0:is>
      </ns0:c>
    </ns0:row>
    <ns0:row r="123">
      <ns0:c r="A123" s="96" t="inlineStr">
        <ns0:is>
          <ns0:t>office0</ns0:t>
        </ns0:is>
      </ns0:c>
      <ns0:c r="B123" s="96" t="inlineStr">
        <ns0:is>
          <ns0:t>official_only</ns0:t>
        </ns0:is>
      </ns0:c>
      <ns0:c r="C123" s="96" t="inlineStr">
        <ns0:is>
          <ns0:t>OM_all</ns0:t>
        </ns0:is>
      </ns0:c>
      <ns0:c r="D123" s="106" t="n">
        <ns0:v>0</ns0:v>
      </ns0:c>
      <ns0:c r="E123" s="114" t="n">
        <ns0:v>1.909090909090909</ns0:v>
      </ns0:c>
      <ns0:c r="F123" s="105" t="n">
        <ns0:v>5</ns0:v>
      </ns0:c>
      <ns0:c r="G123" s="106" t="n">
        <ns0:v>0</ns0:v>
      </ns0:c>
      <ns0:c r="H123" s="106" t="n">
        <ns0:v>0</ns0:v>
      </ns0:c>
      <ns0:c r="I123" s="106" t="n">
        <ns0:v>0</ns0:v>
      </ns0:c>
      <ns0:c r="J123" s="106" t="n">
        <ns0:v>0</ns0:v>
      </ns0:c>
      <ns0:c r="K123" s="96" t="inlineStr"/>
      <ns0:c r="L123" s="96" t="inlineStr">
        <ns0:is>
          <ns0:t>official_only 为主，其余为敏感性</ns0:t>
        </ns0:is>
      </ns0:c>
    </ns0:row>
    <ns0:row r="124">
      <ns0:c r="A124" s="97" t="inlineStr">
        <ns0:is>
          <ns0:t>office0</ns0:t>
        </ns0:is>
      </ns0:c>
      <ns0:c r="B124" s="97" t="inlineStr">
        <ns0:is>
          <ns0:t>official_only</ns0:t>
        </ns0:is>
      </ns0:c>
      <ns0:c r="C124" s="97" t="inlineStr">
        <ns0:is>
          <ns0:t>OG</ns0:t>
        </ns0:is>
      </ns0:c>
      <ns0:c r="D124" s="108" t="n">
        <ns0:v>1</ns0:v>
      </ns0:c>
      <ns0:c r="E124" s="115" t="n">
        <ns0:v>0</ns0:v>
      </ns0:c>
      <ns0:c r="F124" s="107" t="n">
        <ns0:v>5</ns0:v>
      </ns0:c>
      <ns0:c r="G124" s="108" t="n">
        <ns0:v>1</ns0:v>
      </ns0:c>
      <ns0:c r="H124" s="108" t="n">
        <ns0:v>1</ns0:v>
      </ns0:c>
      <ns0:c r="I124" s="108" t="n">
        <ns0:v>1</ns0:v>
      </ns0:c>
      <ns0:c r="J124" s="108" t="n">
        <ns0:v>1</ns0:v>
      </ns0:c>
      <ns0:c r="K124" s="97" t="inlineStr"/>
      <ns0:c r="L124" s="97" t="inlineStr">
        <ns0:is>
          <ns0:t>official_only 为主，其余为敏感性</ns0:t>
        </ns0:is>
      </ns0:c>
    </ns0:row>
    <ns0:row r="125">
      <ns0:c r="A125" s="96" t="inlineStr">
        <ns0:is>
          <ns0:t>office0</ns0:t>
        </ns0:is>
      </ns0:c>
      <ns0:c r="B125" s="96" t="inlineStr">
        <ns0:is>
          <ns0:t>current_aliases</ns0:t>
        </ns0:is>
      </ns0:c>
      <ns0:c r="C125" s="96" t="inlineStr">
        <ns0:is>
          <ns0:t>B0</ns0:t>
        </ns0:is>
      </ns0:c>
      <ns0:c r="D125" s="106" t="n">
        <ns0:v>0.0625</ns0:v>
      </ns0:c>
      <ns0:c r="E125" s="114" t="n">
        <ns0:v>1.142857142857143</ns0:v>
      </ns0:c>
      <ns0:c r="F125" s="105" t="n">
        <ns0:v>5</ns0:v>
      </ns0:c>
      <ns0:c r="G125" s="106" t="n">
        <ns0:v>0.2</ns0:v>
      </ns0:c>
      <ns0:c r="H125" s="106" t="n">
        <ns0:v>0.2</ns0:v>
      </ns0:c>
      <ns0:c r="I125" s="106" t="n">
        <ns0:v>0.2</ns0:v>
      </ns0:c>
      <ns0:c r="J125" s="106" t="n">
        <ns0:v>0.6</ns0:v>
      </ns0:c>
      <ns0:c r="K125" s="96" t="inlineStr"/>
      <ns0:c r="L125" s="96" t="inlineStr">
        <ns0:is>
          <ns0:t>official_only 为主，其余为敏感性</ns0:t>
        </ns0:is>
      </ns0:c>
    </ns0:row>
    <ns0:row r="126">
      <ns0:c r="A126" s="97" t="inlineStr">
        <ns0:is>
          <ns0:t>office0</ns0:t>
        </ns0:is>
      </ns0:c>
      <ns0:c r="B126" s="97" t="inlineStr">
        <ns0:is>
          <ns0:t>current_aliases</ns0:t>
        </ns0:is>
      </ns0:c>
      <ns0:c r="C126" s="97" t="inlineStr">
        <ns0:is>
          <ns0:t>OM_all</ns0:t>
        </ns0:is>
      </ns0:c>
      <ns0:c r="D126" s="108" t="n">
        <ns0:v>0.2051282051282051</ns0:v>
      </ns0:c>
      <ns0:c r="E126" s="115" t="n">
        <ns0:v>2.636363636363636</ns0:v>
      </ns0:c>
      <ns0:c r="F126" s="107" t="n">
        <ns0:v>5</ns0:v>
      </ns0:c>
      <ns0:c r="G126" s="108" t="n">
        <ns0:v>0</ns0:v>
      </ns0:c>
      <ns0:c r="H126" s="108" t="n">
        <ns0:v>0.2</ns0:v>
      </ns0:c>
      <ns0:c r="I126" s="108" t="n">
        <ns0:v>0.2</ns0:v>
      </ns0:c>
      <ns0:c r="J126" s="108" t="n">
        <ns0:v>0.2</ns0:v>
      </ns0:c>
      <ns0:c r="K126" s="97" t="inlineStr"/>
      <ns0:c r="L126" s="97" t="inlineStr">
        <ns0:is>
          <ns0:t>official_only 为主，其余为敏感性</ns0:t>
        </ns0:is>
      </ns0:c>
    </ns0:row>
    <ns0:row r="127">
      <ns0:c r="A127" s="96" t="inlineStr">
        <ns0:is>
          <ns0:t>office0</ns0:t>
        </ns0:is>
      </ns0:c>
      <ns0:c r="B127" s="96" t="inlineStr">
        <ns0:is>
          <ns0:t>current_aliases</ns0:t>
        </ns0:is>
      </ns0:c>
      <ns0:c r="C127" s="96" t="inlineStr">
        <ns0:is>
          <ns0:t>OG</ns0:t>
        </ns0:is>
      </ns0:c>
      <ns0:c r="D127" s="106" t="n">
        <ns0:v>1</ns0:v>
      </ns0:c>
      <ns0:c r="E127" s="114" t="n">
        <ns0:v>0</ns0:v>
      </ns0:c>
      <ns0:c r="F127" s="105" t="n">
        <ns0:v>5</ns0:v>
      </ns0:c>
      <ns0:c r="G127" s="106" t="n">
        <ns0:v>1</ns0:v>
      </ns0:c>
      <ns0:c r="H127" s="106" t="n">
        <ns0:v>1</ns0:v>
      </ns0:c>
      <ns0:c r="I127" s="106" t="n">
        <ns0:v>1</ns0:v>
      </ns0:c>
      <ns0:c r="J127" s="106" t="n">
        <ns0:v>1</ns0:v>
      </ns0:c>
      <ns0:c r="K127" s="96" t="inlineStr"/>
      <ns0:c r="L127" s="96" t="inlineStr">
        <ns0:is>
          <ns0:t>official_only 为主，其余为敏感性</ns0:t>
        </ns0:is>
      </ns0:c>
    </ns0:row>
    <ns0:row r="128">
      <ns0:c r="A128" s="97" t="inlineStr">
        <ns0:is>
          <ns0:t>office0</ns0:t>
        </ns0:is>
      </ns0:c>
      <ns0:c r="B128" s="97" t="inlineStr">
        <ns0:is>
          <ns0:t>reviewed_lamp_aliases</ns0:t>
        </ns0:is>
      </ns0:c>
      <ns0:c r="C128" s="97" t="inlineStr">
        <ns0:is>
          <ns0:t>B0</ns0:t>
        </ns0:is>
      </ns0:c>
      <ns0:c r="D128" s="108" t="n">
        <ns0:v>0.0625</ns0:v>
      </ns0:c>
      <ns0:c r="E128" s="115" t="n">
        <ns0:v>1.142857142857143</ns0:v>
      </ns0:c>
      <ns0:c r="F128" s="107" t="n">
        <ns0:v>5</ns0:v>
      </ns0:c>
      <ns0:c r="G128" s="108" t="n">
        <ns0:v>0.2</ns0:v>
      </ns0:c>
      <ns0:c r="H128" s="108" t="n">
        <ns0:v>0.2</ns0:v>
      </ns0:c>
      <ns0:c r="I128" s="108" t="n">
        <ns0:v>0.2</ns0:v>
      </ns0:c>
      <ns0:c r="J128" s="108" t="n">
        <ns0:v>0.6</ns0:v>
      </ns0:c>
      <ns0:c r="K128" s="97" t="inlineStr"/>
      <ns0:c r="L128" s="97" t="inlineStr">
        <ns0:is>
          <ns0:t>official_only 为主，其余为敏感性</ns0:t>
        </ns0:is>
      </ns0:c>
    </ns0:row>
    <ns0:row r="129">
      <ns0:c r="A129" s="96" t="inlineStr">
        <ns0:is>
          <ns0:t>office0</ns0:t>
        </ns0:is>
      </ns0:c>
      <ns0:c r="B129" s="96" t="inlineStr">
        <ns0:is>
          <ns0:t>reviewed_lamp_aliases</ns0:t>
        </ns0:is>
      </ns0:c>
      <ns0:c r="C129" s="96" t="inlineStr">
        <ns0:is>
          <ns0:t>OM_all</ns0:t>
        </ns0:is>
      </ns0:c>
      <ns0:c r="D129" s="106" t="n">
        <ns0:v>0.2051282051282051</ns0:v>
      </ns0:c>
      <ns0:c r="E129" s="114" t="n">
        <ns0:v>2.636363636363636</ns0:v>
      </ns0:c>
      <ns0:c r="F129" s="105" t="n">
        <ns0:v>5</ns0:v>
      </ns0:c>
      <ns0:c r="G129" s="106" t="n">
        <ns0:v>0</ns0:v>
      </ns0:c>
      <ns0:c r="H129" s="106" t="n">
        <ns0:v>0.2</ns0:v>
      </ns0:c>
      <ns0:c r="I129" s="106" t="n">
        <ns0:v>0.2</ns0:v>
      </ns0:c>
      <ns0:c r="J129" s="106" t="n">
        <ns0:v>0.2</ns0:v>
      </ns0:c>
      <ns0:c r="K129" s="96" t="inlineStr"/>
      <ns0:c r="L129" s="96" t="inlineStr">
        <ns0:is>
          <ns0:t>official_only 为主，其余为敏感性</ns0:t>
        </ns0:is>
      </ns0:c>
    </ns0:row>
    <ns0:row r="130">
      <ns0:c r="A130" s="97" t="inlineStr">
        <ns0:is>
          <ns0:t>office0</ns0:t>
        </ns0:is>
      </ns0:c>
      <ns0:c r="B130" s="97" t="inlineStr">
        <ns0:is>
          <ns0:t>reviewed_lamp_aliases</ns0:t>
        </ns0:is>
      </ns0:c>
      <ns0:c r="C130" s="97" t="inlineStr">
        <ns0:is>
          <ns0:t>OG</ns0:t>
        </ns0:is>
      </ns0:c>
      <ns0:c r="D130" s="108" t="n">
        <ns0:v>1</ns0:v>
      </ns0:c>
      <ns0:c r="E130" s="115" t="n">
        <ns0:v>0</ns0:v>
      </ns0:c>
      <ns0:c r="F130" s="107" t="n">
        <ns0:v>5</ns0:v>
      </ns0:c>
      <ns0:c r="G130" s="108" t="n">
        <ns0:v>1</ns0:v>
      </ns0:c>
      <ns0:c r="H130" s="108" t="n">
        <ns0:v>1</ns0:v>
      </ns0:c>
      <ns0:c r="I130" s="108" t="n">
        <ns0:v>1</ns0:v>
      </ns0:c>
      <ns0:c r="J130" s="108" t="n">
        <ns0:v>1</ns0:v>
      </ns0:c>
      <ns0:c r="K130" s="97" t="inlineStr"/>
      <ns0:c r="L130" s="97" t="inlineStr">
        <ns0:is>
          <ns0:t>official_only 为主，其余为敏感性</ns0:t>
        </ns0:is>
      </ns0:c>
    </ns0:row>
    <ns0:row r="131"/>
    <ns0:row r="132" ht="24" customHeight="1" s="2">
      <ns0:c r="A132" s="91" t="inlineStr">
        <ns0:is>
          <ns0:t>G. GPT-5.6-terra vs LLaVA caption 消融</ns0:t>
        </ns0:is>
      </ns0:c>
      <ns0:c r="B132" s="120" t="n"/>
      <ns0:c r="C132" s="120" t="n"/>
      <ns0:c r="D132" s="120" t="n"/>
      <ns0:c r="E132" s="120" t="n"/>
      <ns0:c r="F132" s="120" t="n"/>
      <ns0:c r="G132" s="120" t="n"/>
      <ns0:c r="H132" s="120" t="n"/>
      <ns0:c r="I132" s="120" t="n"/>
      <ns0:c r="J132" s="120" t="n"/>
      <ns0:c r="K132" s="120" t="n"/>
      <ns0:c r="L132" s="120" t="n"/>
    </ns0:row>
    <ns0:row r="133" ht="30" customHeight="1" s="2">
      <ns0:c r="A133" s="92" t="inlineStr">
        <ns0:is>
          <ns0:t>场景</ns0:t>
        </ns0:is>
      </ns0:c>
      <ns0:c r="B133" s="92" t="inlineStr">
        <ns0:is>
          <ns0:t>分支</ns0:t>
        </ns0:is>
      </ns0:c>
      <ns0:c r="C133" s="92" t="inlineStr">
        <ns0:is>
          <ns0:t>任务</ns0:t>
        </ns0:is>
      </ns0:c>
      <ns0:c r="D133" s="92" t="inlineStr">
        <ns0:is>
          <ns0:t>完成</ns0:t>
        </ns0:is>
      </ns0:c>
      <ns0:c r="E133" s="92" t="inlineStr">
        <ns0:is>
          <ns0:t>失败</ns0:t>
        </ns0:is>
      </ns0:c>
      <ns0:c r="F133" s="92" t="inlineStr">
        <ns0:is>
          <ns0:t>预测数</ns0:t>
        </ns0:is>
      </ns0:c>
      <ns0:c r="G133" s="92" t="inlineStr">
        <ns0:is>
          <ns0:t>model-covered 正确/分母</ns0:t>
        </ns0:is>
      </ns0:c>
      <ns0:c r="H133" s="92" t="inlineStr">
        <ns0:is>
          <ns0:t>fallback 后正确/分母</ns0:t>
        </ns0:is>
      </ns0:c>
      <ns0:c r="I133" s="92" t="inlineStr">
        <ns0:is>
          <ns0:t>tokens</ns0:t>
        </ns0:is>
      </ns0:c>
      <ns0:c r="J133" s="92" t="inlineStr">
        <ns0:is>
          <ns0:t>墙钟时间s</ns0:t>
        </ns0:is>
      </ns0:c>
      <ns0:c r="K133" s="92" t="inlineStr">
        <ns0:is>
          <ns0:t>模型</ns0:t>
        </ns0:is>
      </ns0:c>
      <ns0:c r="L133" s="92" t="inlineStr">
        <ns0:is>
          <ns0:t>结论</ns0:t>
        </ns0:is>
      </ns0:c>
    </ns0:row>
    <ns0:row r="134" ht="36" customHeight="1" s="2">
      <ns0:c r="A134" s="97" t="inlineStr">
        <ns0:is>
          <ns0:t>room0</ns0:t>
        </ns0:is>
      </ns0:c>
      <ns0:c r="B134" s="97" t="inlineStr">
        <ns0:is>
          <ns0:t>gpt_vision</ns0:t>
        </ns0:is>
      </ns0:c>
      <ns0:c r="C134" s="107" t="n">
        <ns0:v>96</ns0:v>
      </ns0:c>
      <ns0:c r="D134" s="107" t="n">
        <ns0:v>94</ns0:v>
      </ns0:c>
      <ns0:c r="E134" s="107" t="n">
        <ns0:v>2</ns0:v>
      </ns0:c>
      <ns0:c r="F134" s="107" t="n">
        <ns0:v>48</ns0:v>
      </ns0:c>
      <ns0:c r="G134" s="97" t="inlineStr">
        <ns0:is>
          <ns0:t>0/16</ns0:t>
        </ns0:is>
      </ns0:c>
      <ns0:c r="H134" s="97" t="inlineStr">
        <ns0:is>
          <ns0:t>1/18</ns0:t>
        </ns0:is>
      </ns0:c>
      <ns0:c r="I134" s="107" t="n">
        <ns0:v>283347</ns0:v>
      </ns0:c>
      <ns0:c r="J134" s="115" t="n">
        <ns0:v>345.941</ns0:v>
      </ns0:c>
      <ns0:c r="K134" s="97" t="inlineStr">
        <ns0:is>
          <ns0:t>gpt-5.6-terra</ns0:t>
        </ns0:is>
      </ns0:c>
      <ns0:c r="L134" s="97" t="inlineStr">
        <ns0:is>
          <ns0:t>两支均无 model-covered 正确增益</ns0:t>
        </ns0:is>
      </ns0:c>
    </ns0:row>
    <ns0:row r="135" ht="36" customHeight="1" s="2">
      <ns0:c r="A135" s="96" t="inlineStr">
        <ns0:is>
          <ns0:t>room0</ns0:t>
        </ns0:is>
      </ns0:c>
      <ns0:c r="B135" s="96" t="inlineStr">
        <ns0:is>
          <ns0:t>llava_caption_gpt_text</ns0:t>
        </ns0:is>
      </ns0:c>
      <ns0:c r="C135" s="105" t="n">
        <ns0:v>96</ns0:v>
      </ns0:c>
      <ns0:c r="D135" s="105" t="n">
        <ns0:v>94</ns0:v>
      </ns0:c>
      <ns0:c r="E135" s="105" t="n">
        <ns0:v>2</ns0:v>
      </ns0:c>
      <ns0:c r="F135" s="105" t="n">
        <ns0:v>46</ns0:v>
      </ns0:c>
      <ns0:c r="G135" s="96" t="inlineStr">
        <ns0:is>
          <ns0:t>0/15</ns0:t>
        </ns0:is>
      </ns0:c>
      <ns0:c r="H135" s="96" t="inlineStr">
        <ns0:is>
          <ns0:t>1/18</ns0:t>
        </ns0:is>
      </ns0:c>
      <ns0:c r="I135" s="105" t="n">
        <ns0:v>258412</ns0:v>
      </ns0:c>
      <ns0:c r="J135" s="114" t="n">
        <ns0:v>345.941</ns0:v>
      </ns0:c>
      <ns0:c r="K135" s="96" t="inlineStr">
        <ns0:is>
          <ns0:t>gpt-5.6-terra</ns0:t>
        </ns0:is>
      </ns0:c>
      <ns0:c r="L135" s="96" t="inlineStr">
        <ns0:is>
          <ns0:t>两支均无 model-covered 正确增益</ns0:t>
        </ns0:is>
      </ns0:c>
    </ns0:row>
    <ns0:row r="136" ht="36" customHeight="1" s="2">
      <ns0:c r="A136" s="97" t="inlineStr">
        <ns0:is>
          <ns0:t>office0</ns0:t>
        </ns0:is>
      </ns0:c>
      <ns0:c r="B136" s="97" t="inlineStr">
        <ns0:is>
          <ns0:t>gpt_vision</ns0:t>
        </ns0:is>
      </ns0:c>
      <ns0:c r="C136" s="107" t="n">
        <ns0:v>62</ns0:v>
      </ns0:c>
      <ns0:c r="D136" s="107" t="n">
        <ns0:v>62</ns0:v>
      </ns0:c>
      <ns0:c r="E136" s="107" t="n">
        <ns0:v>0</ns0:v>
      </ns0:c>
      <ns0:c r="F136" s="107" t="n">
        <ns0:v>31</ns0:v>
      </ns0:c>
      <ns0:c r="G136" s="97" t="inlineStr">
        <ns0:is>
          <ns0:t>0/7</ns0:t>
        </ns0:is>
      </ns0:c>
      <ns0:c r="H136" s="97" t="inlineStr">
        <ns0:is>
          <ns0:t>0/8</ns0:t>
        </ns0:is>
      </ns0:c>
      <ns0:c r="I136" s="107" t="n">
        <ns0:v>182960</ns0:v>
      </ns0:c>
      <ns0:c r="J136" s="115" t="n">
        <ns0:v>360.306</ns0:v>
      </ns0:c>
      <ns0:c r="K136" s="97" t="inlineStr">
        <ns0:is>
          <ns0:t>gpt-5.6-terra</ns0:t>
        </ns0:is>
      </ns0:c>
      <ns0:c r="L136" s="97" t="inlineStr">
        <ns0:is>
          <ns0:t>两支均无 model-covered 正确增益</ns0:t>
        </ns0:is>
      </ns0:c>
    </ns0:row>
    <ns0:row r="137" ht="36" customHeight="1" s="2">
      <ns0:c r="A137" s="96" t="inlineStr">
        <ns0:is>
          <ns0:t>office0</ns0:t>
        </ns0:is>
      </ns0:c>
      <ns0:c r="B137" s="96" t="inlineStr">
        <ns0:is>
          <ns0:t>llava_caption_gpt_text</ns0:t>
        </ns0:is>
      </ns0:c>
      <ns0:c r="C137" s="105" t="n">
        <ns0:v>62</ns0:v>
      </ns0:c>
      <ns0:c r="D137" s="105" t="n">
        <ns0:v>62</ns0:v>
      </ns0:c>
      <ns0:c r="E137" s="105" t="n">
        <ns0:v>0</ns0:v>
      </ns0:c>
      <ns0:c r="F137" s="105" t="n">
        <ns0:v>31</ns0:v>
      </ns0:c>
      <ns0:c r="G137" s="96" t="inlineStr">
        <ns0:is>
          <ns0:t>0/7</ns0:t>
        </ns0:is>
      </ns0:c>
      <ns0:c r="H137" s="96" t="inlineStr">
        <ns0:is>
          <ns0:t>0/8</ns0:t>
        </ns0:is>
      </ns0:c>
      <ns0:c r="I137" s="105" t="n">
        <ns0:v>173857</ns0:v>
      </ns0:c>
      <ns0:c r="J137" s="114" t="n">
        <ns0:v>360.306</ns0:v>
      </ns0:c>
      <ns0:c r="K137" s="96" t="inlineStr">
        <ns0:is>
          <ns0:t>gpt-5.6-terra</ns0:t>
        </ns0:is>
      </ns0:c>
      <ns0:c r="L137" s="96" t="inlineStr">
        <ns0:is>
          <ns0:t>两支均无 model-covered 正确增益</ns0:t>
        </ns0:is>
      </ns0:c>
    </ns0:row>
    <ns0:row r="138">
      <ns0:c r="A138" s="93" t="inlineStr">
        <ns0:is>
          <ns0:t>合计</ns0:t>
        </ns0:is>
      </ns0:c>
      <ns0:c r="B138" s="93" t="inlineStr">
        <ns0:is>
          <ns0:t>formal</ns0:t>
        </ns0:is>
      </ns0:c>
      <ns0:c r="C138" s="116" t="n">
        <ns0:v>158</ns0:v>
      </ns0:c>
      <ns0:c r="D138" s="116" t="n">
        <ns0:v>156</ns0:v>
      </ns0:c>
      <ns0:c r="E138" s="116" t="n">
        <ns0:v>2</ns0:v>
      </ns0:c>
      <ns0:c r="F138" s="93" t="inlineStr"/>
      <ns0:c r="G138" s="93" t="inlineStr"/>
      <ns0:c r="H138" s="93" t="inlineStr"/>
      <ns0:c r="I138" s="116" t="n">
        <ns0:v>898576</ns0:v>
      </ns0:c>
      <ns0:c r="J138" s="93" t="inlineStr"/>
      <ns0:c r="K138" s="93" t="inlineStr">
        <ns0:is>
          <ns0:t>gpt-5.6-terra</ns0:t>
        </ns0:is>
      </ns0:c>
      <ns0:c r="L138" s="93" t="inlineStr">
        <ns0:is>
          <ns0:t>含 smoke 总 tokens=910,045；端点未提供价格，不估计金额</ns0:t>
        </ns0:is>
      </ns0:c>
    </ns0:row>
    <ns0:row r="139"/>
    <ns0:row r="140" ht="24" customHeight="1" s="2">
      <ns0:c r="A140" s="91" t="inlineStr">
        <ns0:is>
          <ns0:t>H. 真实 replay：候选挖掘、微型案例和实现缺口</ns0:t>
        </ns0:is>
      </ns0:c>
      <ns0:c r="B140" s="120" t="n"/>
      <ns0:c r="C140" s="120" t="n"/>
      <ns0:c r="D140" s="120" t="n"/>
      <ns0:c r="E140" s="120" t="n"/>
      <ns0:c r="F140" s="120" t="n"/>
      <ns0:c r="G140" s="120" t="n"/>
      <ns0:c r="H140" s="120" t="n"/>
      <ns0:c r="I140" s="120" t="n"/>
      <ns0:c r="J140" s="120" t="n"/>
      <ns0:c r="K140" s="120" t="n"/>
      <ns0:c r="L140" s="120" t="n"/>
    </ns0:row>
    <ns0:row r="141" ht="30" customHeight="1" s="2">
      <ns0:c r="A141" s="92" t="inlineStr">
        <ns0:is>
          <ns0:t>场景</ns0:t>
        </ns0:is>
      </ns0:c>
      <ns0:c r="B141" s="92" t="inlineStr">
        <ns0:is>
          <ns0:t>扫描观测</ns0:t>
        </ns0:is>
      </ns0:c>
      <ns0:c r="C141" s="92" t="inlineStr">
        <ns0:is>
          <ns0:t>阈值</ns0:t>
        </ns0:is>
      </ns0:c>
      <ns0:c r="D141" s="92" t="inlineStr">
        <ns0:is>
          <ns0:t>候选观测</ns0:t>
        </ns0:is>
      </ns0:c>
      <ns0:c r="E141" s="92" t="inlineStr">
        <ns0:is>
          <ns0:t>帧数</ns0:t>
        </ns0:is>
      </ns0:c>
      <ns0:c r="F141" s="92" t="inlineStr">
        <ns0:is>
          <ns0:t>GT对象数</ns0:t>
        </ns0:is>
      </ns0:c>
      <ns0:c r="G141" s="92" t="inlineStr">
        <ns0:is>
          <ns0:t>前景观测</ns0:t>
        </ns0:is>
      </ns0:c>
      <ns0:c r="H141" s="92" t="inlineStr">
        <ns0:is>
          <ns0:t>前景GT对象</ns0:t>
        </ns0:is>
      </ns0:c>
      <ns0:c r="I141" s="92" t="inlineStr"/>
      <ns0:c r="J141" s="92" t="inlineStr"/>
      <ns0:c r="K141" s="92" t="inlineStr"/>
      <ns0:c r="L141" s="92" t="inlineStr">
        <ns0:is>
          <ns0:t>说明</ns0:t>
        </ns0:is>
      </ns0:c>
    </ns0:row>
    <ns0:row r="142">
      <ns0:c r="A142" s="97" t="inlineStr">
        <ns0:is>
          <ns0:t>room0</ns0:t>
        </ns0:is>
      </ns0:c>
      <ns0:c r="B142" s="107" t="n">
        <ns0:v>3779</ns0:v>
      </ns0:c>
      <ns0:c r="C142" s="107" t="n">
        <ns0:v>0.3</ns0:v>
      </ns0:c>
      <ns0:c r="D142" s="107" t="n">
        <ns0:v>45</ns0:v>
      </ns0:c>
      <ns0:c r="E142" s="107" t="n">
        <ns0:v>39</ns0:v>
      </ns0:c>
      <ns0:c r="F142" s="107" t="n">
        <ns0:v>7</ns0:v>
      </ns0:c>
      <ns0:c r="G142" s="107" t="n">
        <ns0:v>11</ns0:v>
      </ns0:c>
      <ns0:c r="H142" s="107" t="n">
        <ns0:v>3</ns0:v>
      </ns0:c>
      <ns0:c r="I142" s="97" t="inlineStr"/>
      <ns0:c r="J142" s="97" t="inlineStr"/>
      <ns0:c r="K142" s="97" t="inlineStr"/>
      <ns0:c r="L142" s="97" t="inlineStr">
        <ns0:is>
          <ns0:t>0.5 是严格候选阈值</ns0:t>
        </ns0:is>
      </ns0:c>
    </ns0:row>
    <ns0:row r="143">
      <ns0:c r="A143" s="96" t="inlineStr">
        <ns0:is>
          <ns0:t>room0</ns0:t>
        </ns0:is>
      </ns0:c>
      <ns0:c r="B143" s="105" t="n">
        <ns0:v>3779</ns0:v>
      </ns0:c>
      <ns0:c r="C143" s="105" t="n">
        <ns0:v>0.5</ns0:v>
      </ns0:c>
      <ns0:c r="D143" s="105" t="n">
        <ns0:v>10</ns0:v>
      </ns0:c>
      <ns0:c r="E143" s="105" t="n">
        <ns0:v>10</ns0:v>
      </ns0:c>
      <ns0:c r="F143" s="105" t="n">
        <ns0:v>4</ns0:v>
      </ns0:c>
      <ns0:c r="G143" s="105" t="n">
        <ns0:v>10</ns0:v>
      </ns0:c>
      <ns0:c r="H143" s="105" t="n">
        <ns0:v>4</ns0:v>
      </ns0:c>
      <ns0:c r="I143" s="96" t="inlineStr"/>
      <ns0:c r="J143" s="96" t="inlineStr"/>
      <ns0:c r="K143" s="96" t="inlineStr"/>
      <ns0:c r="L143" s="96" t="inlineStr">
        <ns0:is>
          <ns0:t>0.5 是严格候选阈值</ns0:t>
        </ns0:is>
      </ns0:c>
    </ns0:row>
    <ns0:row r="144">
      <ns0:c r="A144" s="97" t="inlineStr">
        <ns0:is>
          <ns0:t>room0</ns0:t>
        </ns0:is>
      </ns0:c>
      <ns0:c r="B144" s="107" t="n">
        <ns0:v>3779</ns0:v>
      </ns0:c>
      <ns0:c r="C144" s="107" t="n">
        <ns0:v>0.7</ns0:v>
      </ns0:c>
      <ns0:c r="D144" s="107" t="n">
        <ns0:v>0</ns0:v>
      </ns0:c>
      <ns0:c r="E144" s="107" t="n">
        <ns0:v>0</ns0:v>
      </ns0:c>
      <ns0:c r="F144" s="107" t="n">
        <ns0:v>0</ns0:v>
      </ns0:c>
      <ns0:c r="G144" s="107" t="n">
        <ns0:v>0</ns0:v>
      </ns0:c>
      <ns0:c r="H144" s="107" t="n">
        <ns0:v>0</ns0:v>
      </ns0:c>
      <ns0:c r="I144" s="97" t="inlineStr"/>
      <ns0:c r="J144" s="97" t="inlineStr"/>
      <ns0:c r="K144" s="97" t="inlineStr"/>
      <ns0:c r="L144" s="97" t="inlineStr">
        <ns0:is>
          <ns0:t>0.5 是严格候选阈值</ns0:t>
        </ns0:is>
      </ns0:c>
    </ns0:row>
    <ns0:row r="145">
      <ns0:c r="A145" s="96" t="inlineStr">
        <ns0:is>
          <ns0:t>office0</ns0:t>
        </ns0:is>
      </ns0:c>
      <ns0:c r="B145" s="105" t="n">
        <ns0:v>1560</ns0:v>
      </ns0:c>
      <ns0:c r="C145" s="105" t="n">
        <ns0:v>0.3</ns0:v>
      </ns0:c>
      <ns0:c r="D145" s="105" t="n">
        <ns0:v>12</ns0:v>
      </ns0:c>
      <ns0:c r="E145" s="105" t="n">
        <ns0:v>10</ns0:v>
      </ns0:c>
      <ns0:c r="F145" s="105" t="n">
        <ns0:v>5</ns0:v>
      </ns0:c>
      <ns0:c r="G145" s="105" t="n">
        <ns0:v>10</ns0:v>
      </ns0:c>
      <ns0:c r="H145" s="105" t="n">
        <ns0:v>3</ns0:v>
      </ns0:c>
      <ns0:c r="I145" s="96" t="inlineStr"/>
      <ns0:c r="J145" s="96" t="inlineStr"/>
      <ns0:c r="K145" s="96" t="inlineStr"/>
      <ns0:c r="L145" s="96" t="inlineStr">
        <ns0:is>
          <ns0:t>0.5 是严格候选阈值</ns0:t>
        </ns0:is>
      </ns0:c>
    </ns0:row>
    <ns0:row r="146">
      <ns0:c r="A146" s="97" t="inlineStr">
        <ns0:is>
          <ns0:t>office0</ns0:t>
        </ns0:is>
      </ns0:c>
      <ns0:c r="B146" s="107" t="n">
        <ns0:v>1560</ns0:v>
      </ns0:c>
      <ns0:c r="C146" s="107" t="n">
        <ns0:v>0.5</ns0:v>
      </ns0:c>
      <ns0:c r="D146" s="107" t="n">
        <ns0:v>0</ns0:v>
      </ns0:c>
      <ns0:c r="E146" s="107" t="n">
        <ns0:v>0</ns0:v>
      </ns0:c>
      <ns0:c r="F146" s="107" t="n">
        <ns0:v>0</ns0:v>
      </ns0:c>
      <ns0:c r="G146" s="107" t="n">
        <ns0:v>0</ns0:v>
      </ns0:c>
      <ns0:c r="H146" s="107" t="n">
        <ns0:v>0</ns0:v>
      </ns0:c>
      <ns0:c r="I146" s="97" t="inlineStr"/>
      <ns0:c r="J146" s="97" t="inlineStr"/>
      <ns0:c r="K146" s="97" t="inlineStr"/>
      <ns0:c r="L146" s="97" t="inlineStr">
        <ns0:is>
          <ns0:t>0.5 是严格候选阈值</ns0:t>
        </ns0:is>
      </ns0:c>
    </ns0:row>
    <ns0:row r="147">
      <ns0:c r="A147" s="96" t="inlineStr">
        <ns0:is>
          <ns0:t>office0</ns0:t>
        </ns0:is>
      </ns0:c>
      <ns0:c r="B147" s="105" t="n">
        <ns0:v>1560</ns0:v>
      </ns0:c>
      <ns0:c r="C147" s="105" t="n">
        <ns0:v>0.7</ns0:v>
      </ns0:c>
      <ns0:c r="D147" s="105" t="n">
        <ns0:v>0</ns0:v>
      </ns0:c>
      <ns0:c r="E147" s="105" t="n">
        <ns0:v>0</ns0:v>
      </ns0:c>
      <ns0:c r="F147" s="105" t="n">
        <ns0:v>0</ns0:v>
      </ns0:c>
      <ns0:c r="G147" s="105" t="n">
        <ns0:v>0</ns0:v>
      </ns0:c>
      <ns0:c r="H147" s="105" t="n">
        <ns0:v>0</ns0:v>
      </ns0:c>
      <ns0:c r="I147" s="96" t="inlineStr"/>
      <ns0:c r="J147" s="96" t="inlineStr"/>
      <ns0:c r="K147" s="96" t="inlineStr"/>
      <ns0:c r="L147" s="96" t="inlineStr">
        <ns0:is>
          <ns0:t>0.5 是严格候选阈值</ns0:t>
        </ns0:is>
      </ns0:c>
    </ns0:row>
    <ns0:row r="148"/>
    <ns0:row r="149" ht="30" customHeight="1" s="2">
      <ns0:c r="A149" s="92" t="inlineStr">
        <ns0:is>
          <ns0:t>案例</ns0:t>
        </ns0:is>
      </ns0:c>
      <ns0:c r="B149" s="92" t="inlineStr">
        <ns0:is>
          <ns0:t>角色</ns0:t>
        </ns0:is>
      </ns0:c>
      <ns0:c r="C149" s="92" t="inlineStr">
        <ns0:is>
          <ns0:t>raw purity</ns0:t>
        </ns0:is>
      </ns0:c>
      <ns0:c r="D149" s="92" t="inlineStr">
        <ns0:is>
          <ns0:t>raw recall</ns0:t>
        </ns0:is>
      </ns0:c>
      <ns0:c r="E149" s="92" t="inlineStr">
        <ns0:is>
          <ns0:t>原点数</ns0:t>
        </ns0:is>
      </ns0:c>
      <ns0:c r="F149" s="92" t="inlineStr">
        <ns0:is>
          <ns0:t>恢复点数</ns0:t>
        </ns0:is>
      </ns0:c>
      <ns0:c r="G149" s="92" t="inlineStr">
        <ns0:is>
          <ns0:t>支持增益</ns0:t>
        </ns0:is>
      </ns0:c>
      <ns0:c r="H149" s="92" t="inlineStr">
        <ns0:is>
          <ns0:t>association改变</ns0:t>
        </ns0:is>
      </ns0:c>
      <ns0:c r="I149" s="92" t="inlineStr">
        <ns0:is>
          <ns0:t>local</ns0:t>
        </ns0:is>
      </ns0:c>
      <ns0:c r="J149" s="92" t="inlineStr">
        <ns0:is>
          <ns0:t>global parity</ns0:t>
        </ns0:is>
      </ns0:c>
      <ns0:c r="K149" s="92" t="inlineStr">
        <ns0:is>
          <ns0:t>closure</ns0:t>
        </ns0:is>
      </ns0:c>
      <ns0:c r="L149" s="92" t="inlineStr">
        <ns0:is>
          <ns0:t>结论</ns0:t>
        </ns0:is>
      </ns0:c>
    </ns0:row>
    <ns0:row r="150" ht="38" customHeight="1" s="2">
      <ns0:c r="A150" s="97" t="inlineStr">
        <ns0:is>
          <ns0:t>room0_strict</ns0:t>
        </ns0:is>
      </ns0:c>
      <ns0:c r="B150" s="97" t="inlineStr">
        <ns0:is>
          <ns0:t>严格开发</ns0:t>
        </ns0:is>
      </ns0:c>
      <ns0:c r="C150" s="108" t="n">
        <ns0:v>0.9787870159453302</ns0:v>
      </ns0:c>
      <ns0:c r="D150" s="108" t="n">
        <ns0:v>0.6831958660439232</ns0:v>
      </ns0:c>
      <ns0:c r="E150" s="107" t="n">
        <ns0:v>17</ns0:v>
      </ns0:c>
      <ns0:c r="F150" s="107" t="n">
        <ns0:v>2716</ns0:v>
      </ns0:c>
      <ns0:c r="G150" s="117" t="n">
        <ns0:v>159.7647058823529</ns0:v>
      </ns0:c>
      <ns0:c r="H150" s="97" t="inlineStr">
        <ns0:is>
          <ns0:t>否</ns0:t>
        </ns0:is>
      </ns0:c>
      <ns0:c r="I150" s="97" t="inlineStr">
        <ns0:is>
          <ns0:t>是</ns0:t>
        </ns0:is>
      </ns0:c>
      <ns0:c r="J150" s="97" t="inlineStr">
        <ns0:is>
          <ns0:t>是</ns0:t>
        </ns0:is>
      </ns0:c>
      <ns0:c r="K150" s="97" t="inlineStr">
        <ns0:is>
          <ns0:t>3779/3779 场景全覆盖</ns0:t>
        </ns0:is>
      </ns0:c>
      <ns0:c r="L150" s="97" t="inlineStr">
        <ns0:is>
          <ns0:t>机制/parity 通过，不是修复成功率证据</ns0:t>
        </ns0:is>
      </ns0:c>
    </ns0:row>
    <ns0:row r="151" ht="38" customHeight="1" s="2">
      <ns0:c r="A151" s="96" t="inlineStr">
        <ns0:is>
          <ns0:t>office0_relaxed</ns0:t>
        </ns0:is>
      </ns0:c>
      <ns0:c r="B151" s="96" t="inlineStr">
        <ns0:is>
          <ns0:t>宽松探索</ns0:t>
        </ns0:is>
      </ns0:c>
      <ns0:c r="C151" s="106" t="n">
        <ns0:v>0.516</ns0:v>
      </ns0:c>
      <ns0:c r="D151" s="106" t="n">
        <ns0:v>0.475</ns0:v>
      </ns0:c>
      <ns0:c r="E151" s="105" t="n">
        <ns0:v>168</ns0:v>
      </ns0:c>
      <ns0:c r="F151" s="105" t="n">
        <ns0:v>26223</ns0:v>
      </ns0:c>
      <ns0:c r="G151" s="118" t="n">
        <ns0:v>156.0892857142857</ns0:v>
      </ns0:c>
      <ns0:c r="H151" s="96" t="inlineStr">
        <ns0:is>
          <ns0:t>否</ns0:t>
        </ns0:is>
      </ns0:c>
      <ns0:c r="I151" s="96" t="inlineStr">
        <ns0:is>
          <ns0:t>是</ns0:t>
        </ns0:is>
      </ns0:c>
      <ns0:c r="J151" s="96" t="inlineStr">
        <ns0:is>
          <ns0:t>是</ns0:t>
        </ns0:is>
      </ns0:c>
      <ns0:c r="K151" s="96" t="inlineStr">
        <ns0:is>
          <ns0:t>1560/1560 场景全覆盖</ns0:t>
        </ns0:is>
      </ns0:c>
      <ns0:c r="L151" s="96" t="inlineStr">
        <ns0:is>
          <ns0:t>机制/parity 通过，不是修复成功率证据</ns0:t>
        </ns0:is>
      </ns0:c>
    </ns0:row>
    <ns0:row r="152"/>
    <ns0:row r="153" ht="48" customHeight="1" s="2">
      <ns0:c r="A153" s="119" t="inlineStr">
        <ns0:is>
          <ns0:t>实现缺口</ns0:t>
        </ns0:is>
      </ns0:c>
      <ns0:c r="B153" s="119" t="inlineStr">
        <ns0:is>
          <ns0:t>PARTITION_OBSERVATION</ns0:t>
        </ns0:is>
      </ns0:c>
      <ns0:c r="C153" s="119" t="inlineStr">
        <ns0:is>
          <ns0:t>是</ns0:t>
        </ns0:is>
      </ns0:c>
      <ns0:c r="D153" s="119" t="inlineStr">
        <ns0:is>
          <ns0:t>是</ns0:t>
        </ns0:is>
      </ns0:c>
      <ns0:c r="E153" s="119" t="inlineStr">
        <ns0:is>
          <ns0:t>DEFER</ns0:t>
        </ns0:is>
      </ns0:c>
      <ns0:c r="F153" s="119" t="inlineStr">
        <ns0:is>
          <ns0:t>否</ns0:t>
        </ns0:is>
      </ns0:c>
      <ns0:c r="G153" s="119" t="inlineStr"/>
      <ns0:c r="H153" s="119" t="inlineStr"/>
      <ns0:c r="I153" s="119" t="inlineStr"/>
      <ns0:c r="J153" s="119" t="inlineStr"/>
      <ns0:c r="K153" s="119" t="inlineStr"/>
      <ns0:c r="L153" s="119" t="inlineStr">
        <ns0:is>
          <ns0:t>约束契约和纯执行已有，但未集成到关联前稀疏 replay；这是当前最关键的实现阻塞。</ns0:t>
        </ns0:is>
      </ns0:c>
    </ns0:row>
    <ns0:row r="154"/>
    <ns0:row r="155" ht="24" customHeight="1" s="2">
      <ns0:c r="A155" s="91" t="inlineStr">
        <ns0:is>
          <ns0:t>I. 运行时间、资源和保留产物</ns0:t>
        </ns0:is>
      </ns0:c>
      <ns0:c r="B155" s="120" t="n"/>
      <ns0:c r="C155" s="120" t="n"/>
      <ns0:c r="D155" s="120" t="n"/>
      <ns0:c r="E155" s="120" t="n"/>
      <ns0:c r="F155" s="120" t="n"/>
      <ns0:c r="G155" s="120" t="n"/>
      <ns0:c r="H155" s="120" t="n"/>
      <ns0:c r="I155" s="120" t="n"/>
      <ns0:c r="J155" s="120" t="n"/>
      <ns0:c r="K155" s="120" t="n"/>
      <ns0:c r="L155" s="120" t="n"/>
    </ns0:row>
    <ns0:row r="156" ht="30" customHeight="1" s="2">
      <ns0:c r="A156" s="92" t="inlineStr">
        <ns0:is>
          <ns0:t>场景</ns0:t>
        </ns0:is>
      </ns0:c>
      <ns0:c r="B156" s="92" t="inlineStr">
        <ns0:is>
          <ns0:t>条件</ns0:t>
        </ns0:is>
      </ns0:c>
      <ns0:c r="C156" s="92" t="inlineStr">
        <ns0:is>
          <ns0:t>帧数</ns0:t>
        </ns0:is>
      </ns0:c>
      <ns0:c r="D156" s="92" t="inlineStr">
        <ns0:is>
          <ns0:t>观测数</ns0:t>
        </ns0:is>
      </ns0:c>
      <ns0:c r="E156" s="92" t="inlineStr">
        <ns0:is>
          <ns0:t>节点数</ns0:t>
        </ns0:is>
      </ns0:c>
      <ns0:c r="F156" s="92" t="inlineStr">
        <ns0:is>
          <ns0:t>用时s</ns0:t>
        </ns0:is>
      </ns0:c>
      <ns0:c r="G156" s="92" t="inlineStr">
        <ns0:is>
          <ns0:t>峰值RSS MB</ns0:t>
        </ns0:is>
      </ns0:c>
      <ns0:c r="H156" s="92" t="inlineStr">
        <ns0:is>
          <ns0:t>从空图</ns0:t>
        </ns0:is>
      </ns0:c>
      <ns0:c r="I156" s="92" t="inlineStr">
        <ns0:is>
          <ns0:t>未来lineage</ns0:t>
        </ns0:is>
      </ns0:c>
      <ns0:c r="J156" s="92" t="inlineStr"/>
      <ns0:c r="K156" s="92" t="inlineStr"/>
      <ns0:c r="L156" s="92" t="inlineStr">
        <ns0:is>
          <ns0:t>模式定义</ns0:t>
        </ns0:is>
      </ns0:c>
    </ns0:row>
    <ns0:row r="157" ht="54" customHeight="1" s="2">
      <ns0:c r="A157" s="96" t="inlineStr">
        <ns0:is>
          <ns0:t>room0</ns0:t>
        </ns0:is>
      </ns0:c>
      <ns0:c r="B157" s="96" t="inlineStr">
        <ns0:is>
          <ns0:t>OA_online</ns0:t>
        </ns0:is>
      </ns0:c>
      <ns0:c r="C157" s="105" t="n">
        <ns0:v>400</ns0:v>
      </ns0:c>
      <ns0:c r="D157" s="105" t="n">
        <ns0:v>7507</ns0:v>
      </ns0:c>
      <ns0:c r="E157" s="105" t="n">
        <ns0:v>65</ns0:v>
      </ns0:c>
      <ns0:c r="F157" s="114" t="n">
        <ns0:v>716.3235821546987</ns0:v>
      </ns0:c>
      <ns0:c r="G157" s="112" t="n">
        <ns0:v>25607.62890625</ns0:v>
      </ns0:c>
      <ns0:c r="H157" s="96" t="inlineStr">
        <ns0:is>
          <ns0:t>是</ns0:t>
        </ns0:is>
      </ns0:c>
      <ns0:c r="I157" s="96" t="inlineStr">
        <ns0:is>
          <ns0:t>否</ns0:t>
        </ns0:is>
      </ns0:c>
      <ns0:c r="J157" s="96" t="inlineStr"/>
      <ns0:c r="K157" s="96" t="inlineStr"/>
      <ns0:c r="L157" s="96" t="inlineStr">
        <ns0:is>
          <ns0:t>Normal filtered 3D observations; GT identity is forced only for masks whose dominant-instance purity passes the gate. Unassigned detections are associated online in an isolated native map.</ns0:t>
        </ns0:is>
      </ns0:c>
    </ns0:row>
    <ns0:row r="158" ht="54" customHeight="1" s="2">
      <ns0:c r="A158" s="97" t="inlineStr">
        <ns0:is>
          <ns0:t>room0</ns0:t>
        </ns0:is>
      </ns0:c>
      <ns0:c r="B158" s="97" t="inlineStr">
        <ns0:is>
          <ns0:t>OP_raw</ns0:t>
        </ns0:is>
      </ns0:c>
      <ns0:c r="C158" s="107" t="n">
        <ns0:v>400</ns0:v>
      </ns0:c>
      <ns0:c r="D158" s="107" t="n">
        <ns0:v>8903</ns0:v>
      </ns0:c>
      <ns0:c r="E158" s="107" t="n">
        <ns0:v>72</ns0:v>
      </ns0:c>
      <ns0:c r="F158" s="115" t="n">
        <ns0:v>875.9032171955332</ns0:v>
      </ns0:c>
      <ns0:c r="G158" s="111" t="n">
        <ns0:v>27935.8515625</ns0:v>
      </ns0:c>
      <ns0:c r="H158" s="97" t="inlineStr">
        <ns0:is>
          <ns0:t>是</ns0:t>
        </ns0:is>
      </ns0:c>
      <ns0:c r="I158" s="97" t="inlineStr">
        <ns0:is>
          <ns0:t>否</ns0:t>
        </ns0:is>
      </ns0:c>
      <ns0:c r="J158" s="97" t="inlineStr"/>
      <ns0:c r="K158" s="97" t="inlineStr"/>
      <ns0:c r="L158" s="97" t="inlineStr">
        <ns0:is>
          <ns0:t>OA plus a per-frame union of raw proposals that failed to become a valid filtered observation and whose dominant-instance purity passes the gate.</ns0:t>
        </ns0:is>
      </ns0:c>
    </ns0:row>
    <ns0:row r="159" ht="54" customHeight="1" s="2">
      <ns0:c r="A159" s="96" t="inlineStr">
        <ns0:is>
          <ns0:t>room0</ns0:t>
        </ns0:is>
      </ns0:c>
      <ns0:c r="B159" s="96" t="inlineStr">
        <ns0:is>
          <ns0:t>OM_pure</ns0:t>
        </ns0:is>
      </ns0:c>
      <ns0:c r="C159" s="105" t="n">
        <ns0:v>400</ns0:v>
      </ns0:c>
      <ns0:c r="D159" s="105" t="n">
        <ns0:v>2153</ns0:v>
      </ns0:c>
      <ns0:c r="E159" s="105" t="n">
        <ns0:v>35</ns0:v>
      </ns0:c>
      <ns0:c r="F159" s="114" t="n">
        <ns0:v>289.8451550435275</ns0:v>
      </ns0:c>
      <ns0:c r="G159" s="112" t="n">
        <ns0:v>4700.87109375</ns0:v>
      </ns0:c>
      <ns0:c r="H159" s="96" t="inlineStr">
        <ns0:is>
          <ns0:t>是</ns0:t>
        </ns0:is>
      </ns0:c>
      <ns0:c r="I159" s="96" t="inlineStr">
        <ns0:is>
          <ns0:t>否</ns0:t>
        </ns0:is>
      </ns0:c>
      <ns0:c r="J159" s="96" t="inlineStr"/>
      <ns0:c r="K159" s="96" t="inlineStr"/>
      <ns0:c r="L159" s="96" t="inlineStr">
        <ns0:is>
          <ns0:t>One GT-clipped per-frame union from owner-identifiable raw proposals. Uses only pixels present in raw masks; removes contamination and residual FPs.</ns0:t>
        </ns0:is>
      </ns0:c>
    </ns0:row>
    <ns0:row r="160" ht="54" customHeight="1" s="2">
      <ns0:c r="A160" s="97" t="inlineStr">
        <ns0:is>
          <ns0:t>room0</ns0:t>
        </ns0:is>
      </ns0:c>
      <ns0:c r="B160" s="97" t="inlineStr">
        <ns0:is>
          <ns0:t>OM_all</ns0:t>
        </ns0:is>
      </ns0:c>
      <ns0:c r="C160" s="107" t="n">
        <ns0:v>400</ns0:v>
      </ns0:c>
      <ns0:c r="D160" s="107" t="n">
        <ns0:v>10792</ns0:v>
      </ns0:c>
      <ns0:c r="E160" s="107" t="n">
        <ns0:v>91</ns0:v>
      </ns0:c>
      <ns0:c r="F160" s="115" t="n">
        <ns0:v>775.4242952819914</ns0:v>
      </ns0:c>
      <ns0:c r="G160" s="111" t="n">
        <ns0:v>19101.296875</ns0:v>
      </ns0:c>
      <ns0:c r="H160" s="97" t="inlineStr">
        <ns0:is>
          <ns0:t>是</ns0:t>
        </ns0:is>
      </ns0:c>
      <ns0:c r="I160" s="97" t="inlineStr">
        <ns0:is>
          <ns0:t>否</ns0:t>
        </ns0:is>
      </ns0:c>
      <ns0:c r="J160" s="97" t="inlineStr"/>
      <ns0:c r="K160" s="97" t="inlineStr"/>
      <ns0:c r="L160" s="97" t="inlineStr">
        <ns0:is>
          <ns0:t>One GT-clipped per-frame union from any overlapping raw proposal. Uses only raw-mask support but is a maximal partition plus FP-suppression ceiling.</ns0:t>
        </ns0:is>
      </ns0:c>
    </ns0:row>
    <ns0:row r="161" ht="54" customHeight="1" s="2">
      <ns0:c r="A161" s="96" t="inlineStr">
        <ns0:is>
          <ns0:t>office0</ns0:t>
        </ns0:is>
      </ns0:c>
      <ns0:c r="B161" s="96" t="inlineStr">
        <ns0:is>
          <ns0:t>OA_online</ns0:t>
        </ns0:is>
      </ns0:c>
      <ns0:c r="C161" s="105" t="n">
        <ns0:v>400</ns0:v>
      </ns0:c>
      <ns0:c r="D161" s="105" t="n">
        <ns0:v>3106</ns0:v>
      </ns0:c>
      <ns0:c r="E161" s="105" t="n">
        <ns0:v>34</ns0:v>
      </ns0:c>
      <ns0:c r="F161" s="114" t="n">
        <ns0:v>315.1050399113446</ns0:v>
      </ns0:c>
      <ns0:c r="G161" s="112" t="n">
        <ns0:v>11185.34375</ns0:v>
      </ns0:c>
      <ns0:c r="H161" s="96" t="inlineStr">
        <ns0:is>
          <ns0:t>是</ns0:t>
        </ns0:is>
      </ns0:c>
      <ns0:c r="I161" s="96" t="inlineStr">
        <ns0:is>
          <ns0:t>否</ns0:t>
        </ns0:is>
      </ns0:c>
      <ns0:c r="J161" s="96" t="inlineStr"/>
      <ns0:c r="K161" s="96" t="inlineStr"/>
      <ns0:c r="L161" s="96" t="inlineStr">
        <ns0:is>
          <ns0:t>Normal filtered 3D observations; GT identity is forced only for masks whose dominant-instance purity passes the gate. Unassigned detections are associated online in an isolated native map.</ns0:t>
        </ns0:is>
      </ns0:c>
    </ns0:row>
    <ns0:row r="162" ht="54" customHeight="1" s="2">
      <ns0:c r="A162" s="97" t="inlineStr">
        <ns0:is>
          <ns0:t>office0</ns0:t>
        </ns0:is>
      </ns0:c>
      <ns0:c r="B162" s="97" t="inlineStr">
        <ns0:is>
          <ns0:t>OP_raw</ns0:t>
        </ns0:is>
      </ns0:c>
      <ns0:c r="C162" s="107" t="n">
        <ns0:v>400</ns0:v>
      </ns0:c>
      <ns0:c r="D162" s="107" t="n">
        <ns0:v>4054</ns0:v>
      </ns0:c>
      <ns0:c r="E162" s="107" t="n">
        <ns0:v>37</ns0:v>
      </ns0:c>
      <ns0:c r="F162" s="115" t="n">
        <ns0:v>506.0503797316924</ns0:v>
      </ns0:c>
      <ns0:c r="G162" s="111" t="n">
        <ns0:v>12913.63671875</ns0:v>
      </ns0:c>
      <ns0:c r="H162" s="97" t="inlineStr">
        <ns0:is>
          <ns0:t>是</ns0:t>
        </ns0:is>
      </ns0:c>
      <ns0:c r="I162" s="97" t="inlineStr">
        <ns0:is>
          <ns0:t>否</ns0:t>
        </ns0:is>
      </ns0:c>
      <ns0:c r="J162" s="97" t="inlineStr"/>
      <ns0:c r="K162" s="97" t="inlineStr"/>
      <ns0:c r="L162" s="97" t="inlineStr">
        <ns0:is>
          <ns0:t>OA plus a per-frame union of raw proposals that failed to become a valid filtered observation and whose dominant-instance purity passes the gate.</ns0:t>
        </ns0:is>
      </ns0:c>
    </ns0:row>
    <ns0:row r="163" ht="54" customHeight="1" s="2">
      <ns0:c r="A163" s="96" t="inlineStr">
        <ns0:is>
          <ns0:t>office0</ns0:t>
        </ns0:is>
      </ns0:c>
      <ns0:c r="B163" s="96" t="inlineStr">
        <ns0:is>
          <ns0:t>OM_pure</ns0:t>
        </ns0:is>
      </ns0:c>
      <ns0:c r="C163" s="105" t="n">
        <ns0:v>400</ns0:v>
      </ns0:c>
      <ns0:c r="D163" s="105" t="n">
        <ns0:v>1337</ns0:v>
      </ns0:c>
      <ns0:c r="E163" s="105" t="n">
        <ns0:v>19</ns0:v>
      </ns0:c>
      <ns0:c r="F163" s="114" t="n">
        <ns0:v>198.4368459628895</ns0:v>
      </ns0:c>
      <ns0:c r="G163" s="112" t="n">
        <ns0:v>3276.48046875</ns0:v>
      </ns0:c>
      <ns0:c r="H163" s="96" t="inlineStr">
        <ns0:is>
          <ns0:t>是</ns0:t>
        </ns0:is>
      </ns0:c>
      <ns0:c r="I163" s="96" t="inlineStr">
        <ns0:is>
          <ns0:t>否</ns0:t>
        </ns0:is>
      </ns0:c>
      <ns0:c r="J163" s="96" t="inlineStr"/>
      <ns0:c r="K163" s="96" t="inlineStr"/>
      <ns0:c r="L163" s="96" t="inlineStr">
        <ns0:is>
          <ns0:t>One GT-clipped per-frame union from owner-identifiable raw proposals. Uses only pixels present in raw masks; removes contamination and residual FPs.</ns0:t>
        </ns0:is>
      </ns0:c>
    </ns0:row>
    <ns0:row r="164" ht="54" customHeight="1" s="2">
      <ns0:c r="A164" s="97" t="inlineStr">
        <ns0:is>
          <ns0:t>office0</ns0:t>
        </ns0:is>
      </ns0:c>
      <ns0:c r="B164" s="97" t="inlineStr">
        <ns0:is>
          <ns0:t>OM_all</ns0:t>
        </ns0:is>
      </ns0:c>
      <ns0:c r="C164" s="107" t="n">
        <ns0:v>400</ns0:v>
      </ns0:c>
      <ns0:c r="D164" s="107" t="n">
        <ns0:v>4440</ns0:v>
      </ns0:c>
      <ns0:c r="E164" s="107" t="n">
        <ns0:v>50</ns0:v>
      </ns0:c>
      <ns0:c r="F164" s="115" t="n">
        <ns0:v>355.0841145813465</ns0:v>
      </ns0:c>
      <ns0:c r="G164" s="111" t="n">
        <ns0:v>8435.5234375</ns0:v>
      </ns0:c>
      <ns0:c r="H164" s="97" t="inlineStr">
        <ns0:is>
          <ns0:t>是</ns0:t>
        </ns0:is>
      </ns0:c>
      <ns0:c r="I164" s="97" t="inlineStr">
        <ns0:is>
          <ns0:t>否</ns0:t>
        </ns0:is>
      </ns0:c>
      <ns0:c r="J164" s="97" t="inlineStr"/>
      <ns0:c r="K164" s="97" t="inlineStr"/>
      <ns0:c r="L164" s="97" t="inlineStr">
        <ns0:is>
          <ns0:t>One GT-clipped per-frame union from any overlapping raw proposal. Uses only raw-mask support but is a maximal partition plus FP-suppression ceiling.</ns0:t>
        </ns0:is>
      </ns0:c>
    </ns0:row>
    <ns0:row r="165"/>
    <ns0:row r="166" ht="24" customHeight="1" s="2">
      <ns0:c r="A166" s="91" t="inlineStr">
        <ns0:is>
          <ns0:t>J. 局限、失败和原始路径</ns0:t>
        </ns0:is>
      </ns0:c>
      <ns0:c r="B166" s="120" t="n"/>
      <ns0:c r="C166" s="120" t="n"/>
      <ns0:c r="D166" s="120" t="n"/>
      <ns0:c r="E166" s="120" t="n"/>
      <ns0:c r="F166" s="120" t="n"/>
      <ns0:c r="G166" s="120" t="n"/>
      <ns0:c r="H166" s="120" t="n"/>
      <ns0:c r="I166" s="120" t="n"/>
      <ns0:c r="J166" s="120" t="n"/>
      <ns0:c r="K166" s="120" t="n"/>
      <ns0:c r="L166" s="120" t="n"/>
    </ns0:row>
    <ns0:row r="167" ht="30" customHeight="1" s="2">
      <ns0:c r="A167" s="92" t="inlineStr">
        <ns0:is>
          <ns0:t>编号</ns0:t>
        </ns0:is>
      </ns0:c>
      <ns0:c r="B167" s="92" t="inlineStr">
        <ns0:is>
          <ns0:t>局限/失败</ns0:t>
        </ns0:is>
      </ns0:c>
      <ns0:c r="C167" s="92" t="inlineStr">
        <ns0:is>
          <ns0:t>影响</ns0:t>
        </ns0:is>
      </ns0:c>
      <ns0:c r="D167" s="92" t="inlineStr">
        <ns0:is>
          <ns0:t>当前处理</ns0:t>
        </ns0:is>
      </ns0:c>
      <ns0:c r="E167" s="92" t="inlineStr"/>
      <ns0:c r="F167" s="92" t="inlineStr"/>
      <ns0:c r="G167" s="92" t="inlineStr"/>
      <ns0:c r="H167" s="92" t="inlineStr"/>
      <ns0:c r="I167" s="92" t="inlineStr"/>
      <ns0:c r="J167" s="92" t="inlineStr"/>
      <ns0:c r="K167" s="92" t="inlineStr"/>
      <ns0:c r="L167" s="92" t="inlineStr">
        <ns0:is>
          <ns0:t>是否阻塞方向决策</ns0:t>
        </ns0:is>
      </ns0:c>
    </ns0:row>
    <ns0:row r="168" ht="45" customHeight="1" s="2">
      <ns0:c r="A168" s="107" t="n">
        <ns0:v>1</ns0:v>
      </ns0:c>
      <ns0:c r="B168" s="97" t="inlineStr">
        <ns0:is>
          <ns0:t>Only two scenes were run by explicit user constraint; no population confidence interval or scene bootstrap is valid.</ns0:t>
        </ns0:is>
      </ns0:c>
      <ns0:c r="C168" s="97" t="inlineStr">
        <ns0:is>
          <ns0:t>限制外推或因果强度</ns0:t>
        </ns0:is>
      </ns0:c>
      <ns0:c r="D168" s="97" t="inlineStr">
        <ns0:is>
          <ns0:t>在总结中显式保留</ns0:t>
        </ns0:is>
      </ns0:c>
      <ns0:c r="E168" s="97" t="inlineStr"/>
      <ns0:c r="F168" s="97" t="inlineStr"/>
      <ns0:c r="G168" s="97" t="inlineStr"/>
      <ns0:c r="H168" s="97" t="inlineStr"/>
      <ns0:c r="I168" s="97" t="inlineStr"/>
      <ns0:c r="J168" s="97" t="inlineStr"/>
      <ns0:c r="K168" s="97" t="inlineStr"/>
      <ns0:c r="L168" s="97" t="inlineStr">
        <ns0:is>
          <ns0:t>否</ns0:t>
        </ns0:is>
      </ns0:c>
    </ns0:row>
    <ns0:row r="169" ht="45" customHeight="1" s="2">
      <ns0:c r="A169" s="105" t="n">
        <ns0:v>2</ns0:v>
      </ns0:c>
      <ns0:c r="B169" s="96" t="inlineStr">
        <ns0:is>
          <ns0:t>room0 B0 parity against the frozen reference was verified; office0 was freshly built online from empty but has no independent frozen B0 reference for a parity claim.</ns0:t>
        </ns0:is>
      </ns0:c>
      <ns0:c r="C169" s="96" t="inlineStr">
        <ns0:is>
          <ns0:t>限制外推或因果强度</ns0:t>
        </ns0:is>
      </ns0:c>
      <ns0:c r="D169" s="96" t="inlineStr">
        <ns0:is>
          <ns0:t>在总结中显式保留</ns0:t>
        </ns0:is>
      </ns0:c>
      <ns0:c r="E169" s="96" t="inlineStr"/>
      <ns0:c r="F169" s="96" t="inlineStr"/>
      <ns0:c r="G169" s="96" t="inlineStr"/>
      <ns0:c r="H169" s="96" t="inlineStr"/>
      <ns0:c r="I169" s="96" t="inlineStr"/>
      <ns0:c r="J169" s="96" t="inlineStr"/>
      <ns0:c r="K169" s="96" t="inlineStr"/>
      <ns0:c r="L169" s="96" t="inlineStr">
        <ns0:is>
          <ns0:t>否</ns0:t>
        </ns0:is>
      </ns0:c>
    </ns0:row>
    <ns0:row r="170" ht="45" customHeight="1" s="2">
      <ns0:c r="A170" s="107" t="n">
        <ns0:v>3</ns0:v>
      </ns0:c>
      <ns0:c r="B170" s="97" t="inlineStr">
        <ns0:is>
          <ns0:t>OM_pure/OM_all/OG use GT only as Oracle capabilities and are not deployable methods.</ns0:t>
        </ns0:is>
      </ns0:c>
      <ns0:c r="C170" s="97" t="inlineStr">
        <ns0:is>
          <ns0:t>限制外推或因果强度</ns0:t>
        </ns0:is>
      </ns0:c>
      <ns0:c r="D170" s="97" t="inlineStr">
        <ns0:is>
          <ns0:t>在总结中显式保留</ns0:t>
        </ns0:is>
      </ns0:c>
      <ns0:c r="E170" s="97" t="inlineStr"/>
      <ns0:c r="F170" s="97" t="inlineStr"/>
      <ns0:c r="G170" s="97" t="inlineStr"/>
      <ns0:c r="H170" s="97" t="inlineStr"/>
      <ns0:c r="I170" s="97" t="inlineStr"/>
      <ns0:c r="J170" s="97" t="inlineStr"/>
      <ns0:c r="K170" s="97" t="inlineStr"/>
      <ns0:c r="L170" s="97" t="inlineStr">
        <ns0:is>
          <ns0:t>否</ns0:t>
        </ns0:is>
      </ns0:c>
    </ns0:row>
    <ns0:row r="171" ht="45" customHeight="1" s="2">
      <ns0:c r="A171" s="105" t="n">
        <ns0:v>4</ns0:v>
      </ns0:c>
      <ns0:c r="B171" s="96" t="inlineStr">
        <ns0:is>
          <ns0:t>The strict semantic cohort is empty in both scenes, so pure semantic benefit is unidentified.</ns0:t>
        </ns0:is>
      </ns0:c>
      <ns0:c r="C171" s="96" t="inlineStr">
        <ns0:is>
          <ns0:t>限制外推或因果强度</ns0:t>
        </ns0:is>
      </ns0:c>
      <ns0:c r="D171" s="96" t="inlineStr">
        <ns0:is>
          <ns0:t>在总结中显式保留</ns0:t>
        </ns0:is>
      </ns0:c>
      <ns0:c r="E171" s="96" t="inlineStr"/>
      <ns0:c r="F171" s="96" t="inlineStr"/>
      <ns0:c r="G171" s="96" t="inlineStr"/>
      <ns0:c r="H171" s="96" t="inlineStr"/>
      <ns0:c r="I171" s="96" t="inlineStr"/>
      <ns0:c r="J171" s="96" t="inlineStr"/>
      <ns0:c r="K171" s="96" t="inlineStr"/>
      <ns0:c r="L171" s="96" t="inlineStr">
        <ns0:is>
          <ns0:t>阻塞方法成功声称</ns0:t>
        </ns0:is>
      </ns0:c>
    </ns0:row>
    <ns0:row r="172" ht="45" customHeight="1" s="2">
      <ns0:c r="A172" s="107" t="n">
        <ns0:v>5</ns0:v>
      </ns0:c>
      <ns0:c r="B172" s="97" t="inlineStr">
        <ns0:is>
          <ns0:t>The real micro-pilot has one strict room0 positive and one relaxed office0 exploratory case, not a repair success-rate estimate.</ns0:t>
        </ns0:is>
      </ns0:c>
      <ns0:c r="C172" s="97" t="inlineStr">
        <ns0:is>
          <ns0:t>限制外推或因果强度</ns0:t>
        </ns0:is>
      </ns0:c>
      <ns0:c r="D172" s="97" t="inlineStr">
        <ns0:is>
          <ns0:t>在总结中显式保留</ns0:t>
        </ns0:is>
      </ns0:c>
      <ns0:c r="E172" s="97" t="inlineStr"/>
      <ns0:c r="F172" s="97" t="inlineStr"/>
      <ns0:c r="G172" s="97" t="inlineStr"/>
      <ns0:c r="H172" s="97" t="inlineStr"/>
      <ns0:c r="I172" s="97" t="inlineStr"/>
      <ns0:c r="J172" s="97" t="inlineStr"/>
      <ns0:c r="K172" s="97" t="inlineStr"/>
      <ns0:c r="L172" s="97" t="inlineStr">
        <ns0:is>
          <ns0:t>阻塞方法成功声称</ns0:t>
        </ns0:is>
      </ns0:c>
    </ns0:row>
    <ns0:row r="173" ht="45" customHeight="1" s="2">
      <ns0:c r="A173" s="105" t="n">
        <ns0:v>6</ns0:v>
      </ns0:c>
      <ns0:c r="B173" s="96" t="inlineStr">
        <ns0:is>
          <ns0:t>Both real micro-pilot dependency closures cover their whole scene, making outside-closure safety vacuous for both cases.</ns0:t>
        </ns0:is>
      </ns0:c>
      <ns0:c r="C173" s="96" t="inlineStr">
        <ns0:is>
          <ns0:t>限制外推或因果强度</ns0:t>
        </ns0:is>
      </ns0:c>
      <ns0:c r="D173" s="96" t="inlineStr">
        <ns0:is>
          <ns0:t>在总结中显式保留</ns0:t>
        </ns0:is>
      </ns0:c>
      <ns0:c r="E173" s="96" t="inlineStr"/>
      <ns0:c r="F173" s="96" t="inlineStr"/>
      <ns0:c r="G173" s="96" t="inlineStr"/>
      <ns0:c r="H173" s="96" t="inlineStr"/>
      <ns0:c r="I173" s="96" t="inlineStr"/>
      <ns0:c r="J173" s="96" t="inlineStr"/>
      <ns0:c r="K173" s="96" t="inlineStr"/>
      <ns0:c r="L173" s="96" t="inlineStr">
        <ns0:is>
          <ns0:t>阻塞方法成功声称</ns0:t>
        </ns0:is>
      </ns0:c>
    </ns0:row>
    <ns0:row r="174" ht="45" customHeight="1" s="2">
      <ns0:c r="A174" s="107" t="n">
        <ns0:v>7</ns0:v>
      </ns0:c>
      <ns0:c r="B174" s="97" t="inlineStr">
        <ns0:is>
          <ns0:t>Clean objects were not run through a reliable automatic diagnosis path; exact no-op executor controls pass, but diagnostic false-mutation rate remains unmeasured.</ns0:t>
        </ns0:is>
      </ns0:c>
      <ns0:c r="C174" s="97" t="inlineStr">
        <ns0:is>
          <ns0:t>限制外推或因果强度</ns0:t>
        </ns0:is>
      </ns0:c>
      <ns0:c r="D174" s="97" t="inlineStr">
        <ns0:is>
          <ns0:t>在总结中显式保留</ns0:t>
        </ns0:is>
      </ns0:c>
      <ns0:c r="E174" s="97" t="inlineStr"/>
      <ns0:c r="F174" s="97" t="inlineStr"/>
      <ns0:c r="G174" s="97" t="inlineStr"/>
      <ns0:c r="H174" s="97" t="inlineStr"/>
      <ns0:c r="I174" s="97" t="inlineStr"/>
      <ns0:c r="J174" s="97" t="inlineStr"/>
      <ns0:c r="K174" s="97" t="inlineStr"/>
      <ns0:c r="L174" s="97" t="inlineStr">
        <ns0:is>
          <ns0:t>阻塞方法成功声称</ns0:t>
        </ns0:is>
      </ns0:c>
    </ns0:row>
    <ns0:row r="175" ht="45" customHeight="1" s="2">
      <ns0:c r="A175" s="105" t="n">
        <ns0:v>8</ns0:v>
      </ns0:c>
      <ns0:c r="B175" s="96" t="inlineStr">
        <ns0:is>
          <ns0:t>Relation metrics were excluded because the prior relation comparison mixed models/candidate sets.</ns0:t>
        </ns0:is>
      </ns0:c>
      <ns0:c r="C175" s="96" t="inlineStr">
        <ns0:is>
          <ns0:t>限制外推或因果强度</ns0:t>
        </ns0:is>
      </ns0:c>
      <ns0:c r="D175" s="96" t="inlineStr">
        <ns0:is>
          <ns0:t>在总结中显式保留</ns0:t>
        </ns0:is>
      </ns0:c>
      <ns0:c r="E175" s="96" t="inlineStr"/>
      <ns0:c r="F175" s="96" t="inlineStr"/>
      <ns0:c r="G175" s="96" t="inlineStr"/>
      <ns0:c r="H175" s="96" t="inlineStr"/>
      <ns0:c r="I175" s="96" t="inlineStr"/>
      <ns0:c r="J175" s="96" t="inlineStr"/>
      <ns0:c r="K175" s="96" t="inlineStr"/>
      <ns0:c r="L175" s="96" t="inlineStr">
        <ns0:is>
          <ns0:t>否</ns0:t>
        </ns0:is>
      </ns0:c>
    </ns0:row>
    <ns0:row r="176" ht="45" customHeight="1" s="2">
      <ns0:c r="A176" s="107" t="n">
        <ns0:v>9</ns0:v>
      </ns0:c>
      <ns0:c r="B176" s="97" t="inlineStr">
        <ns0:is>
          <ns0:t>FROSS-style correspondence is a sensitivity audit adapted to dense points, not the official FROSS benchmark pipeline.</ns0:t>
        </ns0:is>
      </ns0:c>
      <ns0:c r="C176" s="97" t="inlineStr">
        <ns0:is>
          <ns0:t>限制外推或因果强度</ns0:t>
        </ns0:is>
      </ns0:c>
      <ns0:c r="D176" s="97" t="inlineStr">
        <ns0:is>
          <ns0:t>在总结中显式保留</ns0:t>
        </ns0:is>
      </ns0:c>
      <ns0:c r="E176" s="97" t="inlineStr"/>
      <ns0:c r="F176" s="97" t="inlineStr"/>
      <ns0:c r="G176" s="97" t="inlineStr"/>
      <ns0:c r="H176" s="97" t="inlineStr"/>
      <ns0:c r="I176" s="97" t="inlineStr"/>
      <ns0:c r="J176" s="97" t="inlineStr"/>
      <ns0:c r="K176" s="97" t="inlineStr"/>
      <ns0:c r="L176" s="97" t="inlineStr">
        <ns0:is>
          <ns0:t>否</ns0:t>
        </ns0:is>
      </ns0:c>
    </ns0:row>
    <ns0:row r="177" ht="45" customHeight="1" s="2">
      <ns0:c r="A177" s="105" t="n">
        <ns0:v>10</ns0:v>
      </ns0:c>
      <ns0:c r="B177" s="96" t="inlineStr">
        <ns0:is>
          <ns0:t>ReplicaSSG-to-Visual-Genome mapping intentionally collapses some classes (for example sofa to chair); expanded compound aliases are sensitivity results, not annotation truth.</ns0:t>
        </ns0:is>
      </ns0:c>
      <ns0:c r="C177" s="96" t="inlineStr">
        <ns0:is>
          <ns0:t>限制外推或因果强度</ns0:t>
        </ns0:is>
      </ns0:c>
      <ns0:c r="D177" s="96" t="inlineStr">
        <ns0:is>
          <ns0:t>在总结中显式保留</ns0:t>
        </ns0:is>
      </ns0:c>
      <ns0:c r="E177" s="96" t="inlineStr"/>
      <ns0:c r="F177" s="96" t="inlineStr"/>
      <ns0:c r="G177" s="96" t="inlineStr"/>
      <ns0:c r="H177" s="96" t="inlineStr"/>
      <ns0:c r="I177" s="96" t="inlineStr"/>
      <ns0:c r="J177" s="96" t="inlineStr"/>
      <ns0:c r="K177" s="96" t="inlineStr"/>
      <ns0:c r="L177" s="96" t="inlineStr">
        <ns0:is>
          <ns0:t>否</ns0:t>
        </ns0:is>
      </ns0:c>
    </ns0:row>
    <ns0:row r="178" ht="45" customHeight="1" s="2">
      <ns0:c r="A178" s="107" t="n">
        <ns0:v>11</ns0:v>
      </ns0:c>
      <ns0:c r="B178" s="97" t="inlineStr">
        <ns0:is>
          <ns0:t>The apparent OM_all-minus-B0 class-F1 delta is not ontology-robust: it is positive under the frozen aliases but zero/negative under official-only mapping, so it is not used as quantitative evidence for semantic benefit.</ns0:t>
        </ns0:is>
      </ns0:c>
      <ns0:c r="C178" s="97" t="inlineStr">
        <ns0:is>
          <ns0:t>限制外推或因果强度</ns0:t>
        </ns0:is>
      </ns0:c>
      <ns0:c r="D178" s="97" t="inlineStr">
        <ns0:is>
          <ns0:t>在总结中显式保留</ns0:t>
        </ns0:is>
      </ns0:c>
      <ns0:c r="E178" s="97" t="inlineStr"/>
      <ns0:c r="F178" s="97" t="inlineStr"/>
      <ns0:c r="G178" s="97" t="inlineStr"/>
      <ns0:c r="H178" s="97" t="inlineStr"/>
      <ns0:c r="I178" s="97" t="inlineStr"/>
      <ns0:c r="J178" s="97" t="inlineStr"/>
      <ns0:c r="K178" s="97" t="inlineStr"/>
      <ns0:c r="L178" s="97" t="inlineStr">
        <ns0:is>
          <ns0:t>否</ns0:t>
        </ns0:is>
      </ns0:c>
    </ns0:row>
    <ns0:row r="179" ht="45" customHeight="1" s="2">
      <ns0:c r="A179" s="105" t="n">
        <ns0:v>12</ns0:v>
      </ns0:c>
      <ns0:c r="B179" s="96" t="inlineStr">
        <ns0:is>
          <ns0:t>The frozen office0 config contains a room0 render-camera metadata path, but vis_render=false; RGB/depth/pose selection and depth alignment independently verify office0 data use.</ns0:t>
        </ns0:is>
      </ns0:c>
      <ns0:c r="C179" s="96" t="inlineStr">
        <ns0:is>
          <ns0:t>限制外推或因果强度</ns0:t>
        </ns0:is>
      </ns0:c>
      <ns0:c r="D179" s="96" t="inlineStr">
        <ns0:is>
          <ns0:t>在总结中显式保留</ns0:t>
        </ns0:is>
      </ns0:c>
      <ns0:c r="E179" s="96" t="inlineStr"/>
      <ns0:c r="F179" s="96" t="inlineStr"/>
      <ns0:c r="G179" s="96" t="inlineStr"/>
      <ns0:c r="H179" s="96" t="inlineStr"/>
      <ns0:c r="I179" s="96" t="inlineStr"/>
      <ns0:c r="J179" s="96" t="inlineStr"/>
      <ns0:c r="K179" s="96" t="inlineStr"/>
      <ns0:c r="L179" s="96" t="inlineStr">
        <ns0:is>
          <ns0:t>否</ns0:t>
        </ns0:is>
      </ns0:c>
    </ns0:row>
    <ns0:row r="180"/>
    <ns0:row r="181" ht="30" customHeight="1" s="2">
      <ns0:c r="A181" s="92" t="inlineStr">
        <ns0:is>
          <ns0:t>类型</ns0:t>
        </ns0:is>
      </ns0:c>
      <ns0:c r="B181" s="92" t="inlineStr">
        <ns0:is>
          <ns0:t>路径/链接</ns0:t>
        </ns0:is>
      </ns0:c>
      <ns0:c r="C181" s="92" t="inlineStr">
        <ns0:is>
          <ns0:t>SHA/commit</ns0:t>
        </ns0:is>
      </ns0:c>
      <ns0:c r="D181" s="92" t="inlineStr"/>
      <ns0:c r="E181" s="92" t="inlineStr"/>
      <ns0:c r="F181" s="92" t="inlineStr"/>
      <ns0:c r="G181" s="92" t="inlineStr"/>
      <ns0:c r="H181" s="92" t="inlineStr"/>
      <ns0:c r="I181" s="92" t="inlineStr"/>
      <ns0:c r="J181" s="92" t="inlineStr"/>
      <ns0:c r="K181" s="92" t="inlineStr"/>
      <ns0:c r="L181" s="92" t="inlineStr">
        <ns0:is>
          <ns0:t>说明</ns0:t>
        </ns0:is>
      </ns0:c>
    </ns0:row>
    <ns0:row r="182" ht="34" customHeight="1" s="2">
      <ns0:c r="A182" s="97" t="inlineStr">
        <ns0:is>
          <ns0:t>本地数据源</ns0:t>
        </ns0:is>
      </ns0:c>
      <ns0:c r="B182" s="97" t="inlineStr">
        <ns0:is>
          <ns0:t>D:\Users\刘雯静\Downloads\Conceptgraphs\results\repairability_validation_20260830\final_summary\repairability_decision.json</ns0:t>
        </ns0:is>
      </ns0:c>
      <ns0:c r="C182" s="97" t="inlineStr">
        <ns0:is>
          <ns0:t>8645722c7f287f3e9496ca13033ea524a412122eb182751b8ff3978948919d70</ns0:t>
        </ns0:is>
      </ns0:c>
      <ns0:c r="D182" s="97" t="inlineStr"/>
      <ns0:c r="E182" s="97" t="inlineStr"/>
      <ns0:c r="F182" s="97" t="inlineStr"/>
      <ns0:c r="G182" s="97" t="inlineStr"/>
      <ns0:c r="H182" s="97" t="inlineStr"/>
      <ns0:c r="I182" s="97" t="inlineStr"/>
      <ns0:c r="J182" s="97" t="inlineStr"/>
      <ns0:c r="K182" s="97" t="inlineStr"/>
      <ns0:c r="L182" s="97" t="inlineStr">
        <ns0:is>
          <ns0:t>本次 Excel 同步数据源</ns0:t>
        </ns0:is>
      </ns0:c>
    </ns0:row>
    <ns0:row r="183" ht="34" customHeight="1" s="2">
      <ns0:c r="A183" s="96" t="inlineStr">
        <ns0:is>
          <ns0:t>GitHub 总结</ns0:t>
        </ns0:is>
      </ns0:c>
      <ns0:c r="B183" s="104" t="inlineStr">
        <ns0:is>
          <ns0:t>https://github.com/liuwenjing613-maker/concept-graphs/blob/contrary/artifacts/repairability_validation_20260830/REPAIRABILITY_DECISION.md</ns0:t>
        </ns0:is>
      </ns0:c>
      <ns0:c r="C183" s="96" t="inlineStr">
        <ns0:is>
          <ns0:t>71fab57ef4768a6539b1e7d40485056ac9a55d1e</ns0:t>
        </ns0:is>
      </ns0:c>
      <ns0:c r="D183" s="96" t="inlineStr"/>
      <ns0:c r="E183" s="96" t="inlineStr"/>
      <ns0:c r="F183" s="96" t="inlineStr"/>
      <ns0:c r="G183" s="96" t="inlineStr"/>
      <ns0:c r="H183" s="96" t="inlineStr"/>
      <ns0:c r="I183" s="96" t="inlineStr"/>
      <ns0:c r="J183" s="96" t="inlineStr"/>
      <ns0:c r="K183" s="96" t="inlineStr"/>
      <ns0:c r="L183" s="96" t="inlineStr">
        <ns0:is>
          <ns0:t>contrary 分支</ns0:t>
        </ns0:is>
      </ns0:c>
    </ns0:row>
    <ns0:row r="184" ht="34" customHeight="1" s="2">
      <ns0:c r="A184" s="97" t="inlineStr">
        <ns0:is>
          <ns0:t>GitHub JSON</ns0:t>
        </ns0:is>
      </ns0:c>
      <ns0:c r="B184" s="103" t="inlineStr">
        <ns0:is>
          <ns0:t>https://github.com/liuwenjing613-maker/concept-graphs/blob/contrary/artifacts/repairability_validation_20260830/repairability_decision.json</ns0:t>
        </ns0:is>
      </ns0:c>
      <ns0:c r="C184" s="97" t="inlineStr">
        <ns0:is>
          <ns0:t>71fab57ef4768a6539b1e7d40485056ac9a55d1e</ns0:t>
        </ns0:is>
      </ns0:c>
      <ns0:c r="D184" s="97" t="inlineStr"/>
      <ns0:c r="E184" s="97" t="inlineStr"/>
      <ns0:c r="F184" s="97" t="inlineStr"/>
      <ns0:c r="G184" s="97" t="inlineStr"/>
      <ns0:c r="H184" s="97" t="inlineStr"/>
      <ns0:c r="I184" s="97" t="inlineStr"/>
      <ns0:c r="J184" s="97" t="inlineStr"/>
      <ns0:c r="K184" s="97" t="inlineStr"/>
      <ns0:c r="L184" s="97" t="inlineStr">
        <ns0:is>
          <ns0:t>机读副本</ns0:t>
        </ns0:is>
      </ns0:c>
    </ns0:row>
    <ns0:row r="185" ht="34" customHeight="1" s="2">
      <ns0:c r="A185" s="96" t="inlineStr">
        <ns0:is>
          <ns0:t>服务器原始产物</ns0:t>
        </ns0:is>
      </ns0:c>
      <ns0:c r="B185" s="96" t="inlineStr">
        <ns0:is>
          <ns0:t>/home/chenkejun/beauty/conceptgraphs/results/experiments/repairability_validation_20260830</ns0:t>
        </ns0:is>
      </ns0:c>
      <ns0:c r="C185" s="96" t="inlineStr"/>
      <ns0:c r="D185" s="96" t="inlineStr"/>
      <ns0:c r="E185" s="96" t="inlineStr"/>
      <ns0:c r="F185" s="96" t="inlineStr"/>
      <ns0:c r="G185" s="96" t="inlineStr"/>
      <ns0:c r="H185" s="96" t="inlineStr"/>
      <ns0:c r="I185" s="96" t="inlineStr"/>
      <ns0:c r="J185" s="96" t="inlineStr"/>
      <ns0:c r="K185" s="96" t="inlineStr"/>
      <ns0:c r="L185" s="96" t="inlineStr">
        <ns0:is>
          <ns0:t>含 manifest/raw metrics/timing/failures</ns0:t>
        </ns0:is>
      </ns0:c>
    </ns0:row>
  </ns0:sheetData>
  <ns0:mergeCells count="12">
    <ns0:mergeCell ref="A78:L78"/>
    <ns0:mergeCell ref="A2:L2"/>
    <ns0:mergeCell ref="A15:L15"/>
    <ns0:mergeCell ref="A166:L166"/>
    <ns0:mergeCell ref="A98:L98"/>
    <ns0:mergeCell ref="A107:L107"/>
    <ns0:mergeCell ref="A1:L1"/>
    <ns0:mergeCell ref="A132:L132"/>
    <ns0:mergeCell ref="A155:L155"/>
    <ns0:mergeCell ref="A140:L140"/>
    <ns0:mergeCell ref="A83:L83"/>
    <ns0:mergeCell ref="A4:L4"/>
  </ns0:mergeCells>
  <ns0:hyperlinks>
    <ns0:hyperlink ref="B183" ns1:id="rId1"/>
    <ns0:hyperlink ref="B184" ns1:id="rId2"/>
  </ns0:hyperlinks>
  <ns0:pageMargins left="0.7" right="0.7" top="0.75" bottom="0.75" header="0.3" footer="0.3"/>
</ns0:worksheet>
</file>

<file path=xl/worksheets/sheet15.xml><?xml version="1.0" encoding="utf-8"?>
<ns0:worksheet xmlns:ns0="http://schemas.openxmlformats.org/spreadsheetml/2006/main" xmlns:ns1="http://schemas.openxmlformats.org/officeDocument/2006/relationships">
  <ns0:sheetPr>
    <ns0:tabColor rgb="FF70AD47"/>
    <ns0:outlinePr summaryBelow="1" summaryRight="1"/>
    <ns0:pageSetUpPr/>
  </ns0:sheetPr>
  <ns0:dimension ref="A1:J48"/>
  <ns0:sheetViews>
    <ns0:sheetView showGridLines="0" workbookViewId="0">
      <ns0:pane ySplit="4" topLeftCell="A5" activePane="bottomLeft" state="frozen"/>
      <ns0:selection activeCell="A1" sqref="A1"/>
    </ns0:sheetView>
  </ns0:sheetViews>
  <ns0:sheetFormatPr baseColWidth="8" defaultRowHeight="15"/>
  <ns0:cols>
    <ns0:col width="20" customWidth="1" style="2" min="1" max="1"/>
    <ns0:col width="38" customWidth="1" style="2" min="2" max="2"/>
    <ns0:col width="14" customWidth="1" style="2" min="3" max="3"/>
    <ns0:col width="14" customWidth="1" style="2" min="4" max="4"/>
    <ns0:col width="14" customWidth="1" style="2" min="5" max="5"/>
    <ns0:col width="14" customWidth="1" style="2" min="6" max="6"/>
    <ns0:col width="14" customWidth="1" style="2" min="7" max="7"/>
    <ns0:col width="14" customWidth="1" style="2" min="8" max="8"/>
    <ns0:col width="15" customWidth="1" style="2" min="9" max="9"/>
    <ns0:col width="48" customWidth="1" style="2" min="10" max="10"/>
  </ns0:cols>
  <ns0:sheetData>
    <ns0:row r="1" ht="30" customHeight="1" s="2">
      <ns0:c r="A1" s="121" t="inlineStr">
        <ns0:is>
          <ns0:t>Mask 前置累积顺序实验：最终方向判断</ns0:t>
        </ns0:is>
      </ns0:c>
      <ns0:c r="B1" s="158" t="n"/>
      <ns0:c r="C1" s="158" t="n"/>
      <ns0:c r="D1" s="158" t="n"/>
      <ns0:c r="E1" s="158" t="n"/>
      <ns0:c r="F1" s="158" t="n"/>
      <ns0:c r="G1" s="158" t="n"/>
      <ns0:c r="H1" s="158" t="n"/>
      <ns0:c r="I1" s="158" t="n"/>
      <ns0:c r="J1" s="159" t="n"/>
    </ns0:row>
    <ns0:row r="2" ht="36" customHeight="1" s="2">
      <ns0:c r="A2" s="122" t="inlineStr">
        <ns0:is>
          <ns0:t>2026-08-30；Replica room0 + office0；每场景 400 帧；新建图均从空图按时间在线构建。主结论使用类别无关结构指标，不受 desk lamp/lamp 别名影响。</ns0:t>
        </ns0:is>
      </ns0:c>
      <ns0:c r="B2" s="158" t="n"/>
      <ns0:c r="C2" s="158" t="n"/>
      <ns0:c r="D2" s="158" t="n"/>
      <ns0:c r="E2" s="158" t="n"/>
      <ns0:c r="F2" s="158" t="n"/>
      <ns0:c r="G2" s="158" t="n"/>
      <ns0:c r="H2" s="158" t="n"/>
      <ns0:c r="I2" s="158" t="n"/>
      <ns0:c r="J2" s="159" t="n"/>
    </ns0:row>
    <ns0:row r="3"/>
    <ns0:row r="4" ht="24" customHeight="1" s="2">
      <ns0:c r="A4" s="123" t="inlineStr">
        <ns0:is>
          <ns0:t>A. 结论先行</ns0:t>
        </ns0:is>
      </ns0:c>
      <ns0:c r="B4" s="158" t="n"/>
      <ns0:c r="C4" s="158" t="n"/>
      <ns0:c r="D4" s="158" t="n"/>
      <ns0:c r="E4" s="158" t="n"/>
      <ns0:c r="F4" s="158" t="n"/>
      <ns0:c r="G4" s="158" t="n"/>
      <ns0:c r="H4" s="158" t="n"/>
      <ns0:c r="I4" s="158" t="n"/>
      <ns0:c r="J4" s="159" t="n"/>
    </ns0:row>
    <ns0:row r="5" ht="30" customHeight="1" s="2">
      <ns0:c r="A5" s="92" t="inlineStr">
        <ns0:is>
          <ns0:t>问题</ns0:t>
        </ns0:is>
      </ns0:c>
      <ns0:c r="B5" s="92" t="inlineStr">
        <ns0:is>
          <ns0:t>回答</ns0:t>
        </ns0:is>
      </ns0:c>
      <ns0:c r="C5" s="92" t="inlineStr">
        <ns0:is>
          <ns0:t>两场景平均核心数据</ns0:t>
        </ns0:is>
      </ns0:c>
      <ns0:c r="D5" s="92" t="inlineStr">
        <ns0:is>
          <ns0:t>room0</ns0:t>
        </ns0:is>
      </ns0:c>
      <ns0:c r="E5" s="92" t="inlineStr">
        <ns0:is>
          <ns0:t>office0</ns0:t>
        </ns0:is>
      </ns0:c>
      <ns0:c r="F5" s="92" t="inlineStr">
        <ns0:is>
          <ns0:t>证据</ns0:t>
        </ns0:is>
      </ns0:c>
      <ns0:c r="G5" s="92" t="inlineStr"/>
      <ns0:c r="H5" s="92" t="inlineStr"/>
      <ns0:c r="I5" s="92" t="inlineStr"/>
      <ns0:c r="J5" s="92" t="inlineStr">
        <ns0:is>
          <ns0:t>边界</ns0:t>
        </ns0:is>
      </ns0:c>
    </ns0:row>
    <ns0:row r="6" ht="52" customHeight="1" s="2">
      <ns0:c r="A6" s="124" t="inlineStr">
        <ns0:is>
          <ns0:t>Mask 应不应该放在关联前？</ns0:t>
        </ns0:is>
      </ns0:c>
      <ns0:c r="B6" s="124" t="inlineStr">
        <ns0:is>
          <ns0:t>应该先做完整 partition/去污染，但不能只修 mask</ns0:t>
        </ns0:is>
      </ns0:c>
      <ns0:c r="C6" s="124" t="inlineStr">
        <ns0:is>
          <ns0:t>5cm AP：B0 0.013 → OM_all(native) 0.149</ns0:t>
        </ns0:is>
      </ns0:c>
      <ns0:c r="D6" s="124" t="inlineStr">
        <ns0:is>
          <ns0:t>0.022→0.190</ns0:t>
        </ns0:is>
      </ns0:c>
      <ns0:c r="E6" s="124" t="inlineStr">
        <ns0:is>
          <ns0:t>0.005→0.107</ns0:t>
        </ns0:is>
      </ns0:c>
      <ns0:c r="F6" s="124" t="inlineStr">
        <ns0:is>
          <ns0:t>2.5/5/10cm 同方向</ns0:t>
        </ns0:is>
      </ns0:c>
      <ns0:c r="G6" s="124" t="inlineStr"/>
      <ns0:c r="H6" s="124" t="inlineStr"/>
      <ns0:c r="I6" s="124" t="inlineStr"/>
      <ns0:c r="J6" s="124" t="inlineStr">
        <ns0:is>
          <ns0:t>OM_all 使用 GT Oracle，只测上限，不是已实现方法。</ns0:t>
        </ns0:is>
      </ns0:c>
    </ns0:row>
    <ns0:row r="7" ht="52" customHeight="1" s="2">
      <ns0:c r="A7" s="125" t="inlineStr">
        <ns0:is>
          <ns0:t>高质量 mask 后 OA 还有没有价值？</ns0:t>
        </ns0:is>
      </ns0:c>
      <ns0:c r="B7" s="125" t="inlineStr">
        <ns0:is>
          <ns0:t>有，而且是最大单步增量；关联仍是主要限制</ns0:t>
        </ns0:is>
      </ns0:c>
      <ns0:c r="C7" s="125" t="inlineStr">
        <ns0:is>
          <ns0:t>OM_all(native)→+OA：AP +0.508</ns0:t>
        </ns0:is>
      </ns0:c>
      <ns0:c r="D7" s="125" t="inlineStr">
        <ns0:is>
          <ns0:t>0.190→0.677</ns0:t>
        </ns0:is>
      </ns0:c>
      <ns0:c r="E7" s="125" t="inlineStr">
        <ns0:is>
          <ns0:t>0.107→0.636</ns0:t>
        </ns0:is>
      </ns0:c>
      <ns0:c r="F7" s="125" t="inlineStr">
        <ns0:is>
          <ns0:t>两场景 + FROSS 同方向</ns0:t>
        </ns0:is>
      </ns0:c>
      <ns0:c r="G7" s="125" t="inlineStr"/>
      <ns0:c r="H7" s="125" t="inlineStr"/>
      <ns0:c r="I7" s="125" t="inlineStr"/>
      <ns0:c r="J7" s="125" t="inlineStr">
        <ns0:is>
          <ns0:t>mask 与关联存在强交互，不能解释为独立可加主效应。</ns0:t>
        </ns0:is>
      </ns0:c>
    </ns0:row>
    <ns0:row r="8" ht="52" customHeight="1" s="2">
      <ns0:c r="A8" s="126" t="inlineStr">
        <ns0:is>
          <ns0:t>OP 单独恢复 rejected mask 是否可靠？</ns0:t>
        </ns0:is>
      </ns0:c>
      <ns0:c r="B8" s="126" t="inlineStr">
        <ns0:is>
          <ns0:t>不稳定，不能成为独立主方向</ns0:t>
        </ns0:is>
      </ns0:c>
      <ns0:c r="C8" s="126" t="inlineStr">
        <ns0:is>
          <ns0:t>5cm 平均略升，但 FROSS room0 0.184→0.147</ns0:t>
        </ns0:is>
      </ns0:c>
      <ns0:c r="D8" s="126" t="inlineStr">
        <ns0:is>
          <ns0:t>FROSS 退化</ns0:t>
        </ns0:is>
      </ns0:c>
      <ns0:c r="E8" s="126" t="inlineStr">
        <ns0:is>
          <ns0:t>FROSS 改善</ns0:t>
        </ns0:is>
      </ns0:c>
      <ns0:c r="F8" s="126" t="inlineStr">
        <ns0:is>
          <ns0:t>明确保留反例</ns0:t>
        </ns0:is>
      </ns0:c>
      <ns0:c r="G8" s="126" t="inlineStr"/>
      <ns0:c r="H8" s="126" t="inlineStr"/>
      <ns0:c r="I8" s="126" t="inlineStr"/>
      <ns0:c r="J8" s="126" t="inlineStr">
        <ns0:is>
          <ns0:t>恢复更多观测可能同时增加污染/错误关联。</ns0:t>
        </ns0:is>
      </ns0:c>
    </ns0:row>
    <ns0:row r="9" ht="52" customHeight="1" s="2">
      <ns0:c r="A9" s="127" t="inlineStr">
        <ns0:is>
          <ns0:t>推荐修复顺序</ns0:t>
        </ns0:is>
      </ns0:c>
      <ns0:c r="B9" s="127" t="inlineStr">
        <ns0:is>
          <ns0:t>mask partition/去污染 → association/replay → semantic verification</ns0:t>
        </ns0:is>
      </ns0:c>
      <ns0:c r="C9" s="127" t="inlineStr">
        <ns0:is>
          <ns0:t>OM_all(native) 仅恢复 13.7% AP 差距；+OA 后累计 65.2%</ns0:t>
        </ns0:is>
      </ns0:c>
      <ns0:c r="D9" s="127" t="inlineStr"/>
      <ns0:c r="E9" s="127" t="inlineStr"/>
      <ns0:c r="F9" s="127" t="inlineStr">
        <ns0:is>
          <ns0:t>正式方向</ns0:t>
        </ns0:is>
      </ns0:c>
      <ns0:c r="G9" s="127" t="inlineStr"/>
      <ns0:c r="H9" s="127" t="inlineStr"/>
      <ns0:c r="I9" s="127" t="inlineStr"/>
      <ns0:c r="J9" s="127" t="inlineStr">
        <ns0:is>
          <ns0:t>语义分母小且本体敏感，本轮不以语义数值决定顺序。</ns0:t>
        </ns0:is>
      </ns0:c>
    </ns0:row>
    <ns0:row r="10"/>
    <ns0:row r="11" ht="24" customHeight="1" s="2">
      <ns0:c r="A11" s="123" t="inlineStr">
        <ns0:is>
          <ns0:t>B. 5 cm 主评测（类别无关）</ns0:t>
        </ns0:is>
      </ns0:c>
      <ns0:c r="B11" s="158" t="n"/>
      <ns0:c r="C11" s="158" t="n"/>
      <ns0:c r="D11" s="158" t="n"/>
      <ns0:c r="E11" s="158" t="n"/>
      <ns0:c r="F11" s="158" t="n"/>
      <ns0:c r="G11" s="158" t="n"/>
      <ns0:c r="H11" s="158" t="n"/>
      <ns0:c r="I11" s="158" t="n"/>
      <ns0:c r="J11" s="159" t="n"/>
    </ns0:row>
    <ns0:row r="12" ht="30" customHeight="1" s="2">
      <ns0:c r="A12" s="92" t="inlineStr">
        <ns0:is>
          <ns0:t>阶段</ns0:t>
        </ns0:is>
      </ns0:c>
      <ns0:c r="B12" s="92" t="inlineStr">
        <ns0:is>
          <ns0:t>实现含义</ns0:t>
        </ns0:is>
      </ns0:c>
      <ns0:c r="C12" s="92" t="inlineStr">
        <ns0:is>
          <ns0:t>room AP</ns0:t>
        </ns0:is>
      </ns0:c>
      <ns0:c r="D12" s="92" t="inlineStr">
        <ns0:is>
          <ns0:t>office AP</ns0:t>
        </ns0:is>
      </ns0:c>
      <ns0:c r="E12" s="92" t="inlineStr">
        <ns0:is>
          <ns0:t>平均 AP</ns0:t>
        </ns0:is>
      </ns0:c>
      <ns0:c r="F12" s="92" t="inlineStr">
        <ns0:is>
          <ns0:t>room F1</ns0:t>
        </ns0:is>
      </ns0:c>
      <ns0:c r="G12" s="92" t="inlineStr">
        <ns0:is>
          <ns0:t>office F1</ns0:t>
        </ns0:is>
      </ns0:c>
      <ns0:c r="H12" s="92" t="inlineStr">
        <ns0:is>
          <ns0:t>平均 F1</ns0:t>
        </ns0:is>
      </ns0:c>
      <ns0:c r="I12" s="92" t="inlineStr">
        <ns0:is>
          <ns0:t>B0→OG差距恢复</ns0:t>
        </ns0:is>
      </ns0:c>
      <ns0:c r="J12" s="92" t="inlineStr">
        <ns0:is>
          <ns0:t>说明</ns0:t>
        </ns0:is>
      </ns0:c>
    </ns0:row>
    <ns0:row r="13" ht="40" customHeight="1" s="2">
      <ns0:c r="A13" s="128" t="inlineStr">
        <ns0:is>
          <ns0:t>B0</ns0:t>
        </ns0:is>
      </ns0:c>
      <ns0:c r="B13" s="128" t="inlineStr">
        <ns0:is>
          <ns0:t>当前基线</ns0:t>
        </ns0:is>
      </ns0:c>
      <ns0:c r="C13" s="114" t="n">
        <ns0:v>0.02232953862187838</ns0:v>
      </ns0:c>
      <ns0:c r="D13" s="114" t="n">
        <ns0:v>0.004530453045304531</ns0:v>
      </ns0:c>
      <ns0:c r="E13" s="114" t="n">
        <ns0:v>0.01342999583359146</ns0:v>
      </ns0:c>
      <ns0:c r="F13" s="114" t="n">
        <ns0:v>0.1104294478527607</ns0:v>
      </ns0:c>
      <ns0:c r="G13" s="114" t="n">
        <ns0:v>0.06896551724137931</ns0:v>
      </ns0:c>
      <ns0:c r="H13" s="114" t="n">
        <ns0:v>0.08969748254707002</ns0:v>
      </ns0:c>
      <ns0:c r="I13" s="129" t="n"/>
      <ns0:c r="J13" s="128" t="inlineStr">
        <ns0:is>
          <ns0:t>冻结基线</ns0:t>
        </ns0:is>
      </ns0:c>
    </ns0:row>
    <ns0:row r="14" ht="40" customHeight="1" s="2">
      <ns0:c r="A14" s="130" t="inlineStr">
        <ns0:is>
          <ns0:t>MF_OP</ns0:t>
        </ns0:is>
      </ns0:c>
      <ns0:c r="B14" s="130" t="inlineStr">
        <ns0:is>
          <ns0:t>先恢复可确定 owner 的 rejected mask；原生关联</ns0:t>
        </ns0:is>
      </ns0:c>
      <ns0:c r="C14" s="115" t="n">
        <ns0:v>0.02569428665973462</ns0:v>
      </ns0:c>
      <ns0:c r="D14" s="115" t="n">
        <ns0:v>0.01725601131541726</ns0:v>
      </ns0:c>
      <ns0:c r="E14" s="115" t="n">
        <ns0:v>0.02147514898757594</ns0:v>
      </ns0:c>
      <ns0:c r="F14" s="115" t="n">
        <ns0:v>0.1349693251533742</ns0:v>
      </ns0:c>
      <ns0:c r="G14" s="115" t="n">
        <ns0:v>0.1333333333333333</ns0:v>
      </ns0:c>
      <ns0:c r="H14" s="115" t="n">
        <ns0:v>0.1341513292433538</ns0:v>
      </ns0:c>
      <ns0:c r="I14" s="98" t="n">
        <ns0:v>0.008154670342711411</ns0:v>
      </ns0:c>
      <ns0:c r="J14" s="130" t="inlineStr">
        <ns0:is>
          <ns0:t>结构主指标均值小幅上升；敏感性有退化</ns0:t>
        </ns0:is>
      </ns0:c>
    </ns0:row>
    <ns0:row r="15" ht="40" customHeight="1" s="2">
      <ns0:c r="A15" s="128" t="inlineStr">
        <ns0:is>
          <ns0:t>MF_OM_pure</ns0:t>
        </ns0:is>
      </ns0:c>
      <ns0:c r="B15" s="128" t="inlineStr">
        <ns0:is>
          <ns0:t>OP 被吸收；按 owner 合成干净 mask；原生关联</ns0:t>
        </ns0:is>
      </ns0:c>
      <ns0:c r="C15" s="114" t="n">
        <ns0:v>0.04232863757516488</ns0:v>
      </ns0:c>
      <ns0:c r="D15" s="114" t="n">
        <ns0:v>0.01224023501251224</ns0:v>
      </ns0:c>
      <ns0:c r="E15" s="114" t="n">
        <ns0:v>0.02728443629383856</ns0:v>
      </ns0:c>
      <ns0:c r="F15" s="114" t="n">
        <ns0:v>0.2040816326530612</ns0:v>
      </ns0:c>
      <ns0:c r="G15" s="114" t="n">
        <ns0:v>0.08602150537634409</ns0:v>
      </ns0:c>
      <ns0:c r="H15" s="114" t="n">
        <ns0:v>0.1450515690147027</ns0:v>
      </ns0:c>
      <ns0:c r="I15" s="99" t="n">
        <ns0:v>0.01404303840755149</ns0:v>
      </ns0:c>
      <ns0:c r="J15" s="128" t="inlineStr">
        <ns0:is>
          <ns0:t>相对 B0 改善，但相对 OP 的增量不稳定</ns0:t>
        </ns0:is>
      </ns0:c>
    </ns0:row>
    <ns0:row r="16" ht="40" customHeight="1" s="2">
      <ns0:c r="A16" s="131" t="inlineStr">
        <ns0:is>
          <ns0:t>MF_OM_all_native</ns0:t>
        </ns0:is>
      </ns0:c>
      <ns0:c r="B16" s="131" t="inlineStr">
        <ns0:is>
          <ns0:t>完整 partition/去污染/FP 抑制；原生关联</ns0:t>
        </ns0:is>
      </ns0:c>
      <ns0:c r="C16" s="132" t="n">
        <ns0:v>0.1900532712639555</ns0:v>
      </ns0:c>
      <ns0:c r="D16" s="132" t="n">
        <ns0:v>0.1072669885584384</ns0:v>
      </ns0:c>
      <ns0:c r="E16" s="132" t="n">
        <ns0:v>0.1486601299111969</ns0:v>
      </ns0:c>
      <ns0:c r="F16" s="132" t="n">
        <ns0:v>0.4204545454545455</ns0:v>
      </ns0:c>
      <ns0:c r="G16" s="132" t="n">
        <ns0:v>0.2692307692307692</ns0:v>
      </ns0:c>
      <ns0:c r="H16" s="132" t="n">
        <ns0:v>0.3448426573426573</ns0:v>
      </ns0:c>
      <ns0:c r="I16" s="133" t="n">
        <ns0:v>0.1370709969961703</ns0:v>
      </ns0:c>
      <ns0:c r="J16" s="131" t="inlineStr">
        <ns0:is>
          <ns0:t>首次出现跨场景、跨尺度的大幅稳定提升</ns0:t>
        </ns0:is>
      </ns0:c>
    </ns0:row>
    <ns0:row r="17" ht="40" customHeight="1" s="2">
      <ns0:c r="A17" s="124" t="inlineStr">
        <ns0:is>
          <ns0:t>MF_OM_all_OA</ns0:t>
        </ns0:is>
      </ns0:c>
      <ns0:c r="B17" s="124" t="inlineStr">
        <ns0:is>
          <ns0:t>与上一步同一 mask 流；改为 GT identity 关联</ns0:t>
        </ns0:is>
      </ns0:c>
      <ns0:c r="C17" s="134" t="n">
        <ns0:v>0.6769744267843866</ns0:v>
      </ns0:c>
      <ns0:c r="D17" s="134" t="n">
        <ns0:v>0.6358061076922576</ns0:v>
      </ns0:c>
      <ns0:c r="E17" s="134" t="n">
        <ns0:v>0.6563902672383222</ns0:v>
      </ns0:c>
      <ns0:c r="F17" s="134" t="n">
        <ns0:v>0.8351648351648352</ns0:v>
      </ns0:c>
      <ns0:c r="G17" s="134" t="n">
        <ns0:v>0.8627450980392157</ns0:v>
      </ns0:c>
      <ns0:c r="H17" s="134" t="n">
        <ns0:v>0.8489549666020255</ns0:v>
      </ns0:c>
      <ns0:c r="I17" s="135" t="n">
        <ns0:v>0.6517127712067355</ns0:v>
      </ns0:c>
      <ns0:c r="J17" s="124" t="inlineStr">
        <ns0:is>
          <ns0:t>最大单步提升，表明关联仍是主要限制</ns0:t>
        </ns0:is>
      </ns0:c>
    </ns0:row>
    <ns0:row r="18" ht="40" customHeight="1" s="2">
      <ns0:c r="A18" s="130" t="inlineStr">
        <ns0:is>
          <ns0:t>OG</ns0:t>
        </ns0:is>
      </ns0:c>
      <ns0:c r="B18" s="130" t="inlineStr">
        <ns0:is>
          <ns0:t>可观测 GT 上限</ns0:t>
        </ns0:is>
      </ns0:c>
      <ns0:c r="C18" s="115" t="n">
        <ns0:v>1</ns0:v>
      </ns0:c>
      <ns0:c r="D18" s="115" t="n">
        <ns0:v>1</ns0:v>
      </ns0:c>
      <ns0:c r="E18" s="115" t="n">
        <ns0:v>1</ns0:v>
      </ns0:c>
      <ns0:c r="F18" s="115" t="n">
        <ns0:v>1</ns0:v>
      </ns0:c>
      <ns0:c r="G18" s="115" t="n">
        <ns0:v>1</ns0:v>
      </ns0:c>
      <ns0:c r="H18" s="115" t="n">
        <ns0:v>1</ns0:v>
      </ns0:c>
      <ns0:c r="I18" s="136" t="n"/>
      <ns0:c r="J18" s="130" t="inlineStr">
        <ns0:is>
          <ns0:t>定义上限，不是模型性能</ns0:t>
        </ns0:is>
      </ns0:c>
    </ns0:row>
    <ns0:row r="19"/>
    <ns0:row r="20" ht="24" customHeight="1" s="2">
      <ns0:c r="A20" s="123" t="inlineStr">
        <ns0:is>
          <ns0:t>C. FROSS-style 敏感性（5 mm 去重、0.1 m 对应）</ns0:t>
        </ns0:is>
      </ns0:c>
      <ns0:c r="B20" s="158" t="n"/>
      <ns0:c r="C20" s="158" t="n"/>
      <ns0:c r="D20" s="158" t="n"/>
      <ns0:c r="E20" s="158" t="n"/>
      <ns0:c r="F20" s="158" t="n"/>
      <ns0:c r="G20" s="158" t="n"/>
      <ns0:c r="H20" s="158" t="n"/>
      <ns0:c r="I20" s="158" t="n"/>
      <ns0:c r="J20" s="159" t="n"/>
    </ns0:row>
    <ns0:row r="21" ht="30" customHeight="1" s="2">
      <ns0:c r="A21" s="92" t="inlineStr">
        <ns0:is>
          <ns0:t>阶段</ns0:t>
        </ns0:is>
      </ns0:c>
      <ns0:c r="B21" s="92" t="inlineStr">
        <ns0:is>
          <ns0:t>room0 F1</ns0:t>
        </ns0:is>
      </ns0:c>
      <ns0:c r="C21" s="92" t="inlineStr">
        <ns0:is>
          <ns0:t>office0 F1</ns0:t>
        </ns0:is>
      </ns0:c>
      <ns0:c r="D21" s="92" t="inlineStr">
        <ns0:is>
          <ns0:t>平均 F1</ns0:t>
        </ns0:is>
      </ns0:c>
      <ns0:c r="E21" s="92" t="inlineStr">
        <ns0:is>
          <ns0:t>判断</ns0:t>
        </ns0:is>
      </ns0:c>
      <ns0:c r="F21" s="92" t="inlineStr"/>
      <ns0:c r="G21" s="92" t="inlineStr"/>
      <ns0:c r="H21" s="92" t="inlineStr"/>
      <ns0:c r="I21" s="92" t="inlineStr"/>
      <ns0:c r="J21" s="92" t="inlineStr">
        <ns0:is>
          <ns0:t>说明</ns0:t>
        </ns0:is>
      </ns0:c>
    </ns0:row>
    <ns0:row r="22">
      <ns0:c r="A22" s="130" t="inlineStr">
        <ns0:is>
          <ns0:t>B0</ns0:t>
        </ns0:is>
      </ns0:c>
      <ns0:c r="B22" s="115" t="n">
        <ns0:v>0.1840490797546012</ns0:v>
      </ns0:c>
      <ns0:c r="C22" s="115" t="n">
        <ns0:v>0.1379310344827586</ns0:v>
      </ns0:c>
      <ns0:c r="D22" s="115" t="n">
        <ns0:v>0.1609900571186799</ns0:v>
      </ns0:c>
      <ns0:c r="E22" s="130" t="inlineStr">
        <ns0:is>
          <ns0:t>参考</ns0:t>
        </ns0:is>
      </ns0:c>
      <ns0:c r="F22" s="130" t="inlineStr"/>
      <ns0:c r="G22" s="130" t="inlineStr"/>
      <ns0:c r="H22" s="130" t="inlineStr"/>
      <ns0:c r="I22" s="130" t="inlineStr"/>
      <ns0:c r="J22" s="130" t="inlineStr">
        <ns0:is>
          <ns0:t>非官方 FROSS benchmark；仅作指标敏感性。</ns0:t>
        </ns0:is>
      </ns0:c>
    </ns0:row>
    <ns0:row r="23">
      <ns0:c r="A23" s="137" t="inlineStr">
        <ns0:is>
          <ns0:t>MF_OP</ns0:t>
        </ns0:is>
      </ns0:c>
      <ns0:c r="B23" s="138" t="n">
        <ns0:v>0.147239263803681</ns0:v>
      </ns0:c>
      <ns0:c r="C23" s="138" t="n">
        <ns0:v>0.1777777777777778</ns0:v>
      </ns0:c>
      <ns0:c r="D23" s="138" t="n">
        <ns0:v>0.1625085207907294</ns0:v>
      </ns0:c>
      <ns0:c r="E23" s="137" t="inlineStr">
        <ns0:is>
          <ns0:t>退化反例</ns0:t>
        </ns0:is>
      </ns0:c>
      <ns0:c r="F23" s="137" t="inlineStr"/>
      <ns0:c r="G23" s="137" t="inlineStr"/>
      <ns0:c r="H23" s="137" t="inlineStr"/>
      <ns0:c r="I23" s="137" t="inlineStr"/>
      <ns0:c r="J23" s="137" t="inlineStr">
        <ns0:is>
          <ns0:t>非官方 FROSS benchmark；仅作指标敏感性。</ns0:t>
        </ns0:is>
      </ns0:c>
    </ns0:row>
    <ns0:row r="24">
      <ns0:c r="A24" s="130" t="inlineStr">
        <ns0:is>
          <ns0:t>MF_OM_pure</ns0:t>
        </ns0:is>
      </ns0:c>
      <ns0:c r="B24" s="115" t="n">
        <ns0:v>0.2448979591836735</ns0:v>
      </ns0:c>
      <ns0:c r="C24" s="115" t="n">
        <ns0:v>0.2580645161290323</ns0:v>
      </ns0:c>
      <ns0:c r="D24" s="115" t="n">
        <ns0:v>0.2514812376563529</ns0:v>
      </ns0:c>
      <ns0:c r="E24" s="130" t="inlineStr">
        <ns0:is>
          <ns0:t>参考</ns0:t>
        </ns0:is>
      </ns0:c>
      <ns0:c r="F24" s="130" t="inlineStr"/>
      <ns0:c r="G24" s="130" t="inlineStr"/>
      <ns0:c r="H24" s="130" t="inlineStr"/>
      <ns0:c r="I24" s="130" t="inlineStr"/>
      <ns0:c r="J24" s="130" t="inlineStr">
        <ns0:is>
          <ns0:t>非官方 FROSS benchmark；仅作指标敏感性。</ns0:t>
        </ns0:is>
      </ns0:c>
    </ns0:row>
    <ns0:row r="25">
      <ns0:c r="A25" s="128" t="inlineStr">
        <ns0:is>
          <ns0:t>MF_OM_all_native</ns0:t>
        </ns0:is>
      </ns0:c>
      <ns0:c r="B25" s="114" t="n">
        <ns0:v>0.3636363636363636</ns0:v>
      </ns0:c>
      <ns0:c r="C25" s="114" t="n">
        <ns0:v>0.3461538461538461</ns0:v>
      </ns0:c>
      <ns0:c r="D25" s="114" t="n">
        <ns0:v>0.3548951048951049</ns0:v>
      </ns0:c>
      <ns0:c r="E25" s="128" t="inlineStr">
        <ns0:is>
          <ns0:t>稳定大幅改善</ns0:t>
        </ns0:is>
      </ns0:c>
      <ns0:c r="F25" s="128" t="inlineStr"/>
      <ns0:c r="G25" s="128" t="inlineStr"/>
      <ns0:c r="H25" s="128" t="inlineStr"/>
      <ns0:c r="I25" s="128" t="inlineStr"/>
      <ns0:c r="J25" s="128" t="inlineStr">
        <ns0:is>
          <ns0:t>非官方 FROSS benchmark；仅作指标敏感性。</ns0:t>
        </ns0:is>
      </ns0:c>
    </ns0:row>
    <ns0:row r="26">
      <ns0:c r="A26" s="139" t="inlineStr">
        <ns0:is>
          <ns0:t>MF_OM_all_OA</ns0:t>
        </ns0:is>
      </ns0:c>
      <ns0:c r="B26" s="140" t="n">
        <ns0:v>0.6043956043956044</ns0:v>
      </ns0:c>
      <ns0:c r="C26" s="140" t="n">
        <ns0:v>0.5882352941176471</ns0:v>
      </ns0:c>
      <ns0:c r="D26" s="140" t="n">
        <ns0:v>0.5963154492566257</ns0:v>
      </ns0:c>
      <ns0:c r="E26" s="139" t="inlineStr">
        <ns0:is>
          <ns0:t>稳定大幅改善</ns0:t>
        </ns0:is>
      </ns0:c>
      <ns0:c r="F26" s="139" t="inlineStr"/>
      <ns0:c r="G26" s="139" t="inlineStr"/>
      <ns0:c r="H26" s="139" t="inlineStr"/>
      <ns0:c r="I26" s="139" t="inlineStr"/>
      <ns0:c r="J26" s="139" t="inlineStr">
        <ns0:is>
          <ns0:t>非官方 FROSS benchmark；仅作指标敏感性。</ns0:t>
        </ns0:is>
      </ns0:c>
    </ns0:row>
    <ns0:row r="27">
      <ns0:c r="A27" s="128" t="inlineStr">
        <ns0:is>
          <ns0:t>OG</ns0:t>
        </ns0:is>
      </ns0:c>
      <ns0:c r="B27" s="114" t="n">
        <ns0:v>0.9890109890109891</ns0:v>
      </ns0:c>
      <ns0:c r="C27" s="114" t="n">
        <ns0:v>1</ns0:v>
      </ns0:c>
      <ns0:c r="D27" s="114" t="n">
        <ns0:v>0.9945054945054945</ns0:v>
      </ns0:c>
      <ns0:c r="E27" s="128" t="inlineStr">
        <ns0:is>
          <ns0:t>参考</ns0:t>
        </ns0:is>
      </ns0:c>
      <ns0:c r="F27" s="128" t="inlineStr"/>
      <ns0:c r="G27" s="128" t="inlineStr"/>
      <ns0:c r="H27" s="128" t="inlineStr"/>
      <ns0:c r="I27" s="128" t="inlineStr"/>
      <ns0:c r="J27" s="128" t="inlineStr">
        <ns0:is>
          <ns0:t>非官方 FROSS benchmark；仅作指标敏感性。</ns0:t>
        </ns0:is>
      </ns0:c>
    </ns0:row>
    <ns0:row r="28"/>
    <ns0:row r="29" ht="24" customHeight="1" s="2">
      <ns0:c r="A29" s="123" t="inlineStr">
        <ns0:is>
          <ns0:t>D. 质量门、标签控制与产物</ns0:t>
        </ns0:is>
      </ns0:c>
      <ns0:c r="B29" s="158" t="n"/>
      <ns0:c r="C29" s="158" t="n"/>
      <ns0:c r="D29" s="158" t="n"/>
      <ns0:c r="E29" s="158" t="n"/>
      <ns0:c r="F29" s="158" t="n"/>
      <ns0:c r="G29" s="158" t="n"/>
      <ns0:c r="H29" s="158" t="n"/>
      <ns0:c r="I29" s="158" t="n"/>
      <ns0:c r="J29" s="159" t="n"/>
    </ns0:row>
    <ns0:row r="30" ht="30" customHeight="1" s="2">
      <ns0:c r="A30" s="92" t="inlineStr">
        <ns0:is>
          <ns0:t>检查项</ns0:t>
        </ns0:is>
      </ns0:c>
      <ns0:c r="B30" s="92" t="inlineStr">
        <ns0:is>
          <ns0:t>结果</ns0:t>
        </ns0:is>
      </ns0:c>
      <ns0:c r="C30" s="92" t="inlineStr">
        <ns0:is>
          <ns0:t>细节</ns0:t>
        </ns0:is>
      </ns0:c>
      <ns0:c r="D30" s="92" t="inlineStr"/>
      <ns0:c r="E30" s="92" t="inlineStr"/>
      <ns0:c r="F30" s="92" t="inlineStr"/>
      <ns0:c r="G30" s="92" t="inlineStr"/>
      <ns0:c r="H30" s="92" t="inlineStr"/>
      <ns0:c r="I30" s="92" t="inlineStr"/>
      <ns0:c r="J30" s="92" t="inlineStr">
        <ns0:is>
          <ns0:t>结论</ns0:t>
        </ns0:is>
      </ns0:c>
    </ns0:row>
    <ns0:row r="31" ht="34" customHeight="1" s="2">
      <ns0:c r="A31" s="139" t="inlineStr">
        <ns0:is>
          <ns0:t>在线重建</ns0:t>
        </ns0:is>
      </ns0:c>
      <ns0:c r="B31" s="139" t="inlineStr">
        <ns0:is>
          <ns0:t>通过</ns0:t>
        </ns0:is>
      </ns0:c>
      <ns0:c r="C31" s="139" t="inlineStr">
        <ns0:is>
          <ns0:t>6/6 READY；INCOMPLETE=0</ns0:t>
        </ns0:is>
      </ns0:c>
      <ns0:c r="D31" s="139" t="inlineStr"/>
      <ns0:c r="E31" s="139" t="inlineStr"/>
      <ns0:c r="F31" s="139" t="inlineStr"/>
      <ns0:c r="G31" s="139" t="inlineStr"/>
      <ns0:c r="H31" s="139" t="inlineStr"/>
      <ns0:c r="I31" s="139" t="inlineStr"/>
      <ns0:c r="J31" s="139" t="inlineStr">
        <ns0:is>
          <ns0:t>无未来图泄露</ns0:t>
        </ns0:is>
      </ns0:c>
    </ns0:row>
    <ns0:row r="32" ht="34" customHeight="1" s="2">
      <ns0:c r="A32" s="139" t="inlineStr">
        <ns0:is>
          <ns0:t>OP 溯源</ns0:t>
        </ns0:is>
      </ns0:c>
      <ns0:c r="B32" s="139" t="inlineStr">
        <ns0:is>
          <ns0:t>通过</ns0:t>
        </ns0:is>
      </ns0:c>
      <ns0:c r="C32" s="139" t="inlineStr">
        <ns0:is>
          <ns0:t>missing=0；unexpected=0</ns0:t>
        </ns0:is>
      </ns0:c>
      <ns0:c r="D32" s="139" t="inlineStr"/>
      <ns0:c r="E32" s="139" t="inlineStr"/>
      <ns0:c r="F32" s="139" t="inlineStr"/>
      <ns0:c r="G32" s="139" t="inlineStr"/>
      <ns0:c r="H32" s="139" t="inlineStr"/>
      <ns0:c r="I32" s="139" t="inlineStr"/>
      <ns0:c r="J32" s="139" t="inlineStr">
        <ns0:is>
          <ns0:t>观测集合一致</ns0:t>
        </ns0:is>
      </ns0:c>
    </ns0:row>
    <ns0:row r="33" ht="34" customHeight="1" s="2">
      <ns0:c r="A33" s="139" t="inlineStr">
        <ns0:is>
          <ns0:t>最终 +OA 复用</ns0:t>
        </ns0:is>
      </ns0:c>
      <ns0:c r="B33" s="139" t="inlineStr">
        <ns0:is>
          <ns0:t>通过</ns0:t>
        </ns0:is>
      </ns0:c>
      <ns0:c r="C33" s="139" t="inlineStr">
        <ns0:is>
          <ns0:t>room0/office0 均通过 10 帧 geometry/object/observation 精确 parity</ns0:t>
        </ns0:is>
      </ns0:c>
      <ns0:c r="D33" s="139" t="inlineStr"/>
      <ns0:c r="E33" s="139" t="inlineStr"/>
      <ns0:c r="F33" s="139" t="inlineStr"/>
      <ns0:c r="G33" s="139" t="inlineStr"/>
      <ns0:c r="H33" s="139" t="inlineStr"/>
      <ns0:c r="I33" s="139" t="inlineStr"/>
      <ns0:c r="J33" s="139" t="inlineStr">
        <ns0:is>
          <ns0:t>避免重复全量计算</ns0:t>
        </ns0:is>
      </ns0:c>
    </ns0:row>
    <ns0:row r="34" ht="34" customHeight="1" s="2">
      <ns0:c r="A34" s="139" t="inlineStr">
        <ns0:is>
          <ns0:t>数据集配对</ns0:t>
        </ns0:is>
      </ns0:c>
      <ns0:c r="B34" s="139" t="inlineStr">
        <ns0:is>
          <ns0:t>通过</ns0:t>
        </ns0:is>
      </ns0:c>
      <ns0:c r="C34" s="139" t="inlineStr">
        <ns0:is>
          <ns0:t>Replica/ReplicaSSG pairing audit pass</ns0:t>
        </ns0:is>
      </ns0:c>
      <ns0:c r="D34" s="139" t="inlineStr"/>
      <ns0:c r="E34" s="139" t="inlineStr"/>
      <ns0:c r="F34" s="139" t="inlineStr"/>
      <ns0:c r="G34" s="139" t="inlineStr"/>
      <ns0:c r="H34" s="139" t="inlineStr"/>
      <ns0:c r="I34" s="139" t="inlineStr"/>
      <ns0:c r="J34" s="139" t="inlineStr">
        <ns0:is>
          <ns0:t>room0 与 office0 数据未混用</ns0:t>
        </ns0:is>
      </ns0:c>
    </ns0:row>
    <ns0:row r="35" ht="34" customHeight="1" s="2">
      <ns0:c r="A35" s="141" t="inlineStr">
        <ns0:is>
          <ns0:t>标签本体</ns0:t>
        </ns0:is>
      </ns0:c>
      <ns0:c r="B35" s="141" t="inlineStr">
        <ns0:is>
          <ns0:t>隔离</ns0:t>
        </ns0:is>
      </ns0:c>
      <ns0:c r="C35" s="141" t="inlineStr">
        <ns0:is>
          <ns0:t>主结论类别无关；desk lamp 本轮未出现；ceiling light 仅 room0 出现</ns0:t>
        </ns0:is>
      </ns0:c>
      <ns0:c r="D35" s="141" t="inlineStr"/>
      <ns0:c r="E35" s="141" t="inlineStr"/>
      <ns0:c r="F35" s="141" t="inlineStr"/>
      <ns0:c r="G35" s="141" t="inlineStr"/>
      <ns0:c r="H35" s="141" t="inlineStr"/>
      <ns0:c r="I35" s="141" t="inlineStr"/>
      <ns0:c r="J35" s="141" t="inlineStr">
        <ns0:is>
          <ns0:t>语义不用于顺序定量判断</ns0:t>
        </ns0:is>
      </ns0:c>
    </ns0:row>
    <ns0:row r="36" ht="34" customHeight="1" s="2">
      <ns0:c r="A36" s="142" t="inlineStr">
        <ns0:is>
          <ns0:t>样本范围</ns0:t>
        </ns0:is>
      </ns0:c>
      <ns0:c r="B36" s="142" t="inlineStr">
        <ns0:is>
          <ns0:t>局限</ns0:t>
        </ns0:is>
      </ns0:c>
      <ns0:c r="C36" s="142" t="inlineStr">
        <ns0:is>
          <ns0:t>仅 2 场景</ns0:t>
        </ns0:is>
      </ns0:c>
      <ns0:c r="D36" s="142" t="inlineStr"/>
      <ns0:c r="E36" s="142" t="inlineStr"/>
      <ns0:c r="F36" s="142" t="inlineStr"/>
      <ns0:c r="G36" s="142" t="inlineStr"/>
      <ns0:c r="H36" s="142" t="inlineStr"/>
      <ns0:c r="I36" s="142" t="inlineStr"/>
      <ns0:c r="J36" s="142" t="inlineStr">
        <ns0:is>
          <ns0:t>不报告总体置信区间</ns0:t>
        </ns0:is>
      </ns0:c>
    </ns0:row>
    <ns0:row r="37"/>
    <ns0:row r="38">
      <ns0:c r="A38" s="130" t="inlineStr">
        <ns0:is>
          <ns0:t>GitHub</ns0:t>
        </ns0:is>
      </ns0:c>
      <ns0:c r="B38" s="130" t="inlineStr">
        <ns0:is>
          <ns0:t>contrary</ns0:t>
        </ns0:is>
      </ns0:c>
      <ns0:c r="C38" s="130" t="inlineStr">
        <ns0:is>
          <ns0:t>21cf3d6acb8db140b7953a0e7e60831874706a40</ns0:t>
        </ns0:is>
      </ns0:c>
      <ns0:c r="D38" s="130" t="inlineStr"/>
      <ns0:c r="E38" s="130" t="inlineStr"/>
      <ns0:c r="F38" s="130" t="inlineStr"/>
      <ns0:c r="G38" s="130" t="inlineStr"/>
      <ns0:c r="H38" s="130" t="inlineStr"/>
      <ns0:c r="I38" s="130" t="inlineStr"/>
      <ns0:c r="J38" s="143" t="inlineStr">
        <ns0:is>
          <ns0:t>https://github.com/liuwenjing613-maker/concept-graphs/blob/contrary/experiments/mask_first_order_20260830/README.md</ns0:t>
        </ns0:is>
      </ns0:c>
    </ns0:row>
    <ns0:row r="39" ht="38" customHeight="1" s="2">
      <ns0:c r="A39" s="130" t="inlineStr">
        <ns0:is>
          <ns0:t>服务器</ns0:t>
        </ns0:is>
      </ns0:c>
      <ns0:c r="B39" s="130" t="inlineStr">
        <ns0:is>
          <ns0:t>/home/chenkejun/beauty/conceptgraphs/results/experiments/mask_first_order_20260830</ns0:t>
        </ns0:is>
      </ns0:c>
      <ns0:c r="C39" s="130" t="inlineStr"/>
      <ns0:c r="D39" s="130" t="inlineStr"/>
      <ns0:c r="E39" s="130" t="inlineStr"/>
      <ns0:c r="F39" s="130" t="inlineStr"/>
      <ns0:c r="G39" s="130" t="inlineStr"/>
      <ns0:c r="H39" s="130" t="inlineStr"/>
      <ns0:c r="I39" s="130" t="inlineStr"/>
      <ns0:c r="J39" s="130" t="inlineStr">
        <ns0:is>
          <ns0:t>完整 maps 仅保留服务器；GitHub 保存指标、manifest、脚本和哈希。</ns0:t>
        </ns0:is>
      </ns0:c>
    </ns0:row>
    <ns0:row r="40"/>
    <ns0:row r="41" ht="24" customHeight="1" s="2">
      <ns0:c r="A41" s="152" t="inlineStr">
        <ns0:is>
          <ns0:t>E. OVI-MAP 同名 AP25/AP50 协议对照</ns0:t>
        </ns0:is>
      </ns0:c>
      <ns0:c r="B41" s="158" t="n"/>
      <ns0:c r="C41" s="158" t="n"/>
      <ns0:c r="D41" s="158" t="n"/>
      <ns0:c r="E41" s="158" t="n"/>
      <ns0:c r="F41" s="158" t="n"/>
      <ns0:c r="G41" s="158" t="n"/>
      <ns0:c r="H41" s="158" t="n"/>
      <ns0:c r="I41" s="158" t="n"/>
      <ns0:c r="J41" s="159" t="n"/>
    </ns0:row>
    <ns0:row r="42" ht="42" customHeight="1" s="2">
      <ns0:c r="A42" s="122" t="inlineStr">
        <ns0:is>
          <ns0:t>AP25/AP50 的阈值名称相同，但评测协议不同：本地为两场景可观测 O3 点图、5cm 体素 IoU、101-point AP；OVI-MAP 为 8 个 Replica 场景、每序列均匀 200 帧、重建图经固定距离 kNN 投影到 GT mesh 后逐顶点评测。只做量级参考，不允许直接排名。</ns0:t>
        </ns0:is>
      </ns0:c>
      <ns0:c r="B42" s="158" t="n"/>
      <ns0:c r="C42" s="158" t="n"/>
      <ns0:c r="D42" s="158" t="n"/>
      <ns0:c r="E42" s="158" t="n"/>
      <ns0:c r="F42" s="158" t="n"/>
      <ns0:c r="G42" s="158" t="n"/>
      <ns0:c r="H42" s="158" t="n"/>
      <ns0:c r="I42" s="158" t="n"/>
      <ns0:c r="J42" s="159" t="n"/>
    </ns0:row>
    <ns0:row r="43" ht="32" customHeight="1" s="2">
      <ns0:c r="A43" s="92" t="inlineStr">
        <ns0:is>
          <ns0:t>来源</ns0:t>
        </ns0:is>
      </ns0:c>
      <ns0:c r="B43" s="158" t="n"/>
      <ns0:c r="C43" s="158" t="n"/>
      <ns0:c r="D43" s="158" t="n"/>
      <ns0:c r="E43" s="158" t="n"/>
      <ns0:c r="F43" s="158" t="n"/>
      <ns0:c r="G43" s="158" t="n"/>
      <ns0:c r="H43" s="158" t="n"/>
      <ns0:c r="I43" s="158" t="n"/>
      <ns0:c r="J43" s="159" t="n"/>
    </ns0:row>
    <ns0:row r="44" ht="40" customHeight="1" s="2">
      <ns0:c r="A44" s="130" t="inlineStr">
        <ns0:is>
          <ns0:t>本地修复实验</ns0:t>
        </ns0:is>
      </ns0:c>
      <ns0:c r="B44" s="130" t="inlineStr">
        <ns0:is>
          <ns0:t>room0+office0</ns0:t>
        </ns0:is>
      </ns0:c>
      <ns0:c r="C44" s="130" t="inlineStr">
        <ns0:is>
          <ns0:t>B0</ns0:t>
        </ns0:is>
      </ns0:c>
      <ns0:c r="D44" s="98" t="n">
        <ns0:v>0.02630993666168237</ns0:v>
      </ns0:c>
      <ns0:c r="E44" s="98" t="n">
        <ns0:v>0.00055005500550055</ns0:v>
      </ns0:c>
      <ns0:c r="F44" s="130" t="inlineStr">
        <ns0:is>
          <ns0:t>是</ns0:t>
        </ns0:is>
      </ns0:c>
      <ns0:c r="G44" s="130" t="inlineStr">
        <ns0:is>
          <ns0:t>否</ns0:t>
        </ns0:is>
      </ns0:c>
      <ns0:c r="H44" s="130" t="inlineStr">
        <ns0:is>
          <ns0:t>否</ns0:t>
        </ns0:is>
      </ns0:c>
      <ns0:c r="I44" s="130" t="inlineStr">
        <ns0:is>
          <ns0:t>本工作簿正式 metrics</ns0:t>
        </ns0:is>
      </ns0:c>
      <ns0:c r="J44" s="130" t="inlineStr">
        <ns0:is>
          <ns0:t>相同 IoU 阈值名称；GT 表面、体素化、聚合范围均不同。</ns0:t>
        </ns0:is>
      </ns0:c>
    </ns0:row>
    <ns0:row r="45" ht="40" customHeight="1" s="2">
      <ns0:c r="A45" s="128" t="inlineStr">
        <ns0:is>
          <ns0:t>本地修复实验</ns0:t>
        </ns0:is>
      </ns0:c>
      <ns0:c r="B45" s="128" t="inlineStr">
        <ns0:is>
          <ns0:t>room0+office0</ns0:t>
        </ns0:is>
      </ns0:c>
      <ns0:c r="C45" s="128" t="inlineStr">
        <ns0:is>
          <ns0:t>MF_OM_all_native</ns0:t>
        </ns0:is>
      </ns0:c>
      <ns0:c r="D45" s="99" t="n">
        <ns0:v>0.1949651489560799</ns0:v>
      </ns0:c>
      <ns0:c r="E45" s="99" t="n">
        <ns0:v>0.102355110866314</ns0:v>
      </ns0:c>
      <ns0:c r="F45" s="128" t="inlineStr">
        <ns0:is>
          <ns0:t>是</ns0:t>
        </ns0:is>
      </ns0:c>
      <ns0:c r="G45" s="128" t="inlineStr">
        <ns0:is>
          <ns0:t>否</ns0:t>
        </ns0:is>
      </ns0:c>
      <ns0:c r="H45" s="128" t="inlineStr">
        <ns0:is>
          <ns0:t>否</ns0:t>
        </ns0:is>
      </ns0:c>
      <ns0:c r="I45" s="128" t="inlineStr">
        <ns0:is>
          <ns0:t>本工作簿正式 metrics</ns0:t>
        </ns0:is>
      </ns0:c>
      <ns0:c r="J45" s="128" t="inlineStr">
        <ns0:is>
          <ns0:t>相同 IoU 阈值名称；GT 表面、体素化、聚合范围均不同。</ns0:t>
        </ns0:is>
      </ns0:c>
    </ns0:row>
    <ns0:row r="46" ht="40" customHeight="1" s="2">
      <ns0:c r="A46" s="130" t="inlineStr">
        <ns0:is>
          <ns0:t>本地修复实验</ns0:t>
        </ns0:is>
      </ns0:c>
      <ns0:c r="B46" s="130" t="inlineStr">
        <ns0:is>
          <ns0:t>room0+office0</ns0:t>
        </ns0:is>
      </ns0:c>
      <ns0:c r="C46" s="130" t="inlineStr">
        <ns0:is>
          <ns0:t>MF_OM_all_OA</ns0:t>
        </ns0:is>
      </ns0:c>
      <ns0:c r="D46" s="98" t="n">
        <ns0:v>0.7453087373292983</ns0:v>
      </ns0:c>
      <ns0:c r="E46" s="98" t="n">
        <ns0:v>0.567471797147346</ns0:v>
      </ns0:c>
      <ns0:c r="F46" s="130" t="inlineStr">
        <ns0:is>
          <ns0:t>是</ns0:t>
        </ns0:is>
      </ns0:c>
      <ns0:c r="G46" s="130" t="inlineStr">
        <ns0:is>
          <ns0:t>否</ns0:t>
        </ns0:is>
      </ns0:c>
      <ns0:c r="H46" s="130" t="inlineStr">
        <ns0:is>
          <ns0:t>否</ns0:t>
        </ns0:is>
      </ns0:c>
      <ns0:c r="I46" s="130" t="inlineStr">
        <ns0:is>
          <ns0:t>本工作簿正式 metrics</ns0:t>
        </ns0:is>
      </ns0:c>
      <ns0:c r="J46" s="130" t="inlineStr">
        <ns0:is>
          <ns0:t>相同 IoU 阈值名称；GT 表面、体素化、聚合范围均不同。</ns0:t>
        </ns0:is>
      </ns0:c>
    </ns0:row>
    <ns0:row r="47" ht="40" customHeight="1" s="2">
      <ns0:c r="A47" s="125" t="inlineStr">
        <ns0:is>
          <ns0:t>OVI-MAP Table 2</ns0:t>
        </ns0:is>
      </ns0:c>
      <ns0:c r="B47" s="125" t="inlineStr">
        <ns0:is>
          <ns0:t>Replica 8 scenes</ns0:t>
        </ns0:is>
      </ns0:c>
      <ns0:c r="C47" s="125" t="inlineStr">
        <ns0:is>
          <ns0:t>在线完整处理</ns0:t>
        </ns0:is>
      </ns0:c>
      <ns0:c r="D47" s="160" t="n">
        <ns0:v>0.767</ns0:v>
      </ns0:c>
      <ns0:c r="E47" s="160" t="n">
        <ns0:v>0.508</ns0:v>
      </ns0:c>
      <ns0:c r="F47" s="125" t="inlineStr">
        <ns0:is>
          <ns0:t>是</ns0:t>
        </ns0:is>
      </ns0:c>
      <ns0:c r="G47" s="125" t="inlineStr">
        <ns0:is>
          <ns0:t>否</ns0:t>
        </ns0:is>
      </ns0:c>
      <ns0:c r="H47" s="125" t="inlineStr">
        <ns0:is>
          <ns0:t>否</ns0:t>
        </ns0:is>
      </ns0:c>
      <ns0:c r="I47" s="161" t="inlineStr">
        <ns0:is>
          <ns0:t>论文 Table 2</ns0:t>
        </ns0:is>
      </ns0:c>
      <ns0:c r="J47" s="125" t="inlineStr">
        <ns0:is>
          <ns0:t>OVI-MAP 自身结果，不是 ConceptGraphs 结果。</ns0:t>
        </ns0:is>
      </ns0:c>
    </ns0:row>
    <ns0:row r="48" ht="44" customHeight="1" s="2">
      <ns0:c r="A48" s="126" t="inlineStr">
        <ns0:is>
          <ns0:t>判断</ns0:t>
        </ns0:is>
      </ns0:c>
      <ns0:c r="B48" s="126" t="inlineStr"/>
      <ns0:c r="C48" s="126" t="inlineStr"/>
      <ns0:c r="D48" s="126" t="n"/>
      <ns0:c r="E48" s="126" t="n"/>
      <ns0:c r="F48" s="126" t="inlineStr">
        <ns0:is>
          <ns0:t>概念层同名</ns0:t>
        </ns0:is>
      </ns0:c>
      <ns0:c r="G48" s="126" t="inlineStr">
        <ns0:is>
          <ns0:t>不一致</ns0:t>
        </ns0:is>
      </ns0:c>
      <ns0:c r="H48" s="126" t="inlineStr">
        <ns0:is>
          <ns0:t>不可</ns0:t>
        </ns0:is>
      </ns0:c>
      <ns0:c r="I48" s="126" t="inlineStr"/>
      <ns0:c r="J48" s="126" t="inlineStr">
        <ns0:is>
          <ns0:t>如需论文级横向对比，必须按 OVI-MAP/Segment3D 的 GT-mesh 投影协议重跑本方法。</ns0:t>
        </ns0:is>
      </ns0:c>
    </ns0:row>
    <ns0:row r="49" ht="44" customHeight="1" s="2"/>
  </ns0:sheetData>
  <ns0:mergeCells count="9">
    <ns0:mergeCell ref="A1:J1"/>
    <ns0:mergeCell ref="A29:J29"/>
    <ns0:mergeCell ref="A4:J4"/>
    <ns0:mergeCell ref="A20:J20"/>
    <ns0:mergeCell ref="A43:J43"/>
    <ns0:mergeCell ref="A2:J2"/>
    <ns0:mergeCell ref="A42:J42"/>
    <ns0:mergeCell ref="A41:J41"/>
    <ns0:mergeCell ref="A11:J11"/>
  </ns0:mergeCells>
  <ns0:conditionalFormatting sqref="C13:H18">
    <ns0:cfRule type="colorScale" priority="1">
      <ns0:colorScale>
        <ns0:cfvo type="min"/>
        <ns0:cfvo type="percentile" val="50"/>
        <ns0:cfvo type="max"/>
        <ns0:color rgb="00F8696B"/>
        <ns0:color rgb="00FFEB84"/>
        <ns0:color rgb="0063BE7B"/>
      </ns0:colorScale>
    </ns0:cfRule>
  </ns0:conditionalFormatting>
  <ns0:hyperlinks>
    <ns0:hyperlink ref="J38" ns1:id="rId1"/>
    <ns0:hyperlink ref="I47" ns1:id="rId2"/>
  </ns0:hyperlinks>
  <ns0:pageMargins left="0.7" right="0.7" top="0.75" bottom="0.75" header="0.3" footer="0.3"/>
</ns0:worksheet>
</file>

<file path=xl/worksheets/sheet16.xml><?xml version="1.0" encoding="utf-8"?>
<ns0:worksheet xmlns:ns0="http://schemas.openxmlformats.org/spreadsheetml/2006/main" xmlns:ns1="http://schemas.openxmlformats.org/officeDocument/2006/relationships">
  <ns0:sheetPr>
    <ns0:tabColor rgb="FF2F75B5"/>
    <ns0:outlinePr summaryBelow="1" summaryRight="1"/>
    <ns0:pageSetUpPr/>
  </ns0:sheetPr>
  <ns0:dimension ref="A1:L60"/>
  <ns0:sheetViews>
    <ns0:sheetView showGridLines="0" workbookViewId="0">
      <ns0:pane ySplit="4" topLeftCell="A5" activePane="bottomLeft" state="frozen"/>
      <ns0:selection activeCell="A1" sqref="A1"/>
    </ns0:sheetView>
  </ns0:sheetViews>
  <ns0:sheetFormatPr baseColWidth="8" defaultRowHeight="15"/>
  <ns0:cols>
    <ns0:col width="12" customWidth="1" style="2" min="1" max="1"/>
    <ns0:col width="11" customWidth="1" style="2" min="2" max="2"/>
    <ns0:col width="20" customWidth="1" style="2" min="3" max="3"/>
    <ns0:col width="12" customWidth="1" style="2" min="4" max="4"/>
    <ns0:col width="12" customWidth="1" style="2" min="5" max="5"/>
    <ns0:col width="12" customWidth="1" style="2" min="6" max="6"/>
    <ns0:col width="12" customWidth="1" style="2" min="7" max="7"/>
    <ns0:col width="12" customWidth="1" style="2" min="8" max="8"/>
    <ns0:col width="12" customWidth="1" style="2" min="9" max="9"/>
    <ns0:col width="14" customWidth="1" style="2" min="10" max="10"/>
    <ns0:col width="14" customWidth="1" style="2" min="11" max="11"/>
    <ns0:col width="42" customWidth="1" style="2" min="12" max="12"/>
  </ns0:cols>
  <ns0:sheetData>
    <ns0:row r="1" ht="30" customHeight="1" s="2">
      <ns0:c r="A1" s="121" t="inlineStr">
        <ns0:is>
          <ns0:t>Mask 前置累积顺序实验：完整明细</ns0:t>
        </ns0:is>
      </ns0:c>
      <ns0:c r="B1" s="158" t="n"/>
      <ns0:c r="C1" s="158" t="n"/>
      <ns0:c r="D1" s="158" t="n"/>
      <ns0:c r="E1" s="158" t="n"/>
      <ns0:c r="F1" s="158" t="n"/>
      <ns0:c r="G1" s="158" t="n"/>
      <ns0:c r="H1" s="158" t="n"/>
      <ns0:c r="I1" s="158" t="n"/>
      <ns0:c r="J1" s="158" t="n"/>
      <ns0:c r="K1" s="158" t="n"/>
      <ns0:c r="L1" s="159" t="n"/>
    </ns0:row>
    <ns0:row r="2" ht="36" customHeight="1" s="2">
      <ns0:c r="A2" s="122" t="inlineStr">
        <ns0:is>
          <ns0:t>每一行来自服务器正式 metrics.json；结构指标为主，semantic 仅保留原始分母供审计。</ns0:t>
        </ns0:is>
      </ns0:c>
      <ns0:c r="B2" s="158" t="n"/>
      <ns0:c r="C2" s="158" t="n"/>
      <ns0:c r="D2" s="158" t="n"/>
      <ns0:c r="E2" s="158" t="n"/>
      <ns0:c r="F2" s="158" t="n"/>
      <ns0:c r="G2" s="158" t="n"/>
      <ns0:c r="H2" s="158" t="n"/>
      <ns0:c r="I2" s="158" t="n"/>
      <ns0:c r="J2" s="158" t="n"/>
      <ns0:c r="K2" s="158" t="n"/>
      <ns0:c r="L2" s="159" t="n"/>
    </ns0:row>
    <ns0:row r="3"/>
    <ns0:row r="4" ht="24" customHeight="1" s="2">
      <ns0:c r="A4" s="123" t="inlineStr">
        <ns0:is>
          <ns0:t>A. 三尺度结构与语义原始数值</ns0:t>
        </ns0:is>
      </ns0:c>
      <ns0:c r="B4" s="158" t="n"/>
      <ns0:c r="C4" s="158" t="n"/>
      <ns0:c r="D4" s="158" t="n"/>
      <ns0:c r="E4" s="158" t="n"/>
      <ns0:c r="F4" s="158" t="n"/>
      <ns0:c r="G4" s="158" t="n"/>
      <ns0:c r="H4" s="158" t="n"/>
      <ns0:c r="I4" s="158" t="n"/>
      <ns0:c r="J4" s="158" t="n"/>
      <ns0:c r="K4" s="158" t="n"/>
      <ns0:c r="L4" s="159" t="n"/>
    </ns0:row>
    <ns0:row r="5" ht="30" customHeight="1" s="2">
      <ns0:c r="A5" s="92" t="inlineStr">
        <ns0:is>
          <ns0:t>场景</ns0:t>
        </ns0:is>
      </ns0:c>
      <ns0:c r="B5" s="92" t="inlineStr">
        <ns0:is>
          <ns0:t>体素(m)</ns0:t>
        </ns0:is>
      </ns0:c>
      <ns0:c r="C5" s="92" t="inlineStr">
        <ns0:is>
          <ns0:t>阶段</ns0:t>
        </ns0:is>
      </ns0:c>
      <ns0:c r="D5" s="92" t="inlineStr">
        <ns0:is>
          <ns0:t>AP25</ns0:t>
        </ns0:is>
      </ns0:c>
      <ns0:c r="E5" s="92" t="inlineStr">
        <ns0:is>
          <ns0:t>AP50</ns0:t>
        </ns0:is>
      </ns0:c>
      <ns0:c r="F5" s="92" t="inlineStr">
        <ns0:is>
          <ns0:t>AP均值</ns0:t>
        </ns0:is>
      </ns0:c>
      <ns0:c r="G5" s="92" t="inlineStr">
        <ns0:is>
          <ns0:t>Node F1</ns0:t>
        </ns0:is>
      </ns0:c>
      <ns0:c r="H5" s="92" t="inlineStr">
        <ns0:is>
          <ns0:t>语义准确率</ns0:t>
        </ns0:is>
      </ns0:c>
      <ns0:c r="I5" s="92" t="inlineStr">
        <ns0:is>
          <ns0:t>语义分母</ns0:t>
        </ns0:is>
      </ns0:c>
      <ns0:c r="J5" s="92" t="inlineStr">
        <ns0:is>
          <ns0:t>预测节点</ns0:t>
        </ns0:is>
      </ns0:c>
      <ns0:c r="K5" s="92" t="inlineStr">
        <ns0:is>
          <ns0:t>Map SHA前12位</ns0:t>
        </ns0:is>
      </ns0:c>
      <ns0:c r="L5" s="92" t="inlineStr">
        <ns0:is>
          <ns0:t>备注</ns0:t>
        </ns0:is>
      </ns0:c>
    </ns0:row>
    <ns0:row r="6">
      <ns0:c r="A6" s="130" t="inlineStr">
        <ns0:is>
          <ns0:t>room0</ns0:t>
        </ns0:is>
      </ns0:c>
      <ns0:c r="B6" s="115" t="n">
        <ns0:v>0.025</ns0:v>
      </ns0:c>
      <ns0:c r="C6" s="130" t="inlineStr">
        <ns0:is>
          <ns0:t>B0</ns0:t>
        </ns0:is>
      </ns0:c>
      <ns0:c r="D6" s="144" t="n">
        <ns0:v>0.03319968491933056</ns0:v>
      </ns0:c>
      <ns0:c r="E6" s="144" t="n">
        <ns0:v>0.0011001100110011</ns0:v>
      </ns0:c>
      <ns0:c r="F6" s="144" t="n">
        <ns0:v>0.01714989746516583</ns0:v>
      </ns0:c>
      <ns0:c r="G6" s="144" t="n">
        <ns0:v>0.09815950920245399</ns0:v>
      </ns0:c>
      <ns0:c r="H6" s="144" t="n">
        <ns0:v>0.1428571428571428</ns0:v>
      </ns0:c>
      <ns0:c r="I6" s="107" t="n">
        <ns0:v>7</ns0:v>
      </ns0:c>
      <ns0:c r="J6" s="107" t="n">
        <ns0:v>72</ns0:v>
      </ns0:c>
      <ns0:c r="K6" s="130" t="inlineStr">
        <ns0:is>
          <ns0:t>ab33d37eb3e8</ns0:t>
        </ns0:is>
      </ns0:c>
      <ns0:c r="L6" s="130" t="inlineStr">
        <ns0:is>
          <ns0:t>当前基线</ns0:t>
        </ns0:is>
      </ns0:c>
    </ns0:row>
    <ns0:row r="7">
      <ns0:c r="A7" s="128" t="inlineStr">
        <ns0:is>
          <ns0:t>room0</ns0:t>
        </ns0:is>
      </ns0:c>
      <ns0:c r="B7" s="114" t="n">
        <ns0:v>0.025</ns0:v>
      </ns0:c>
      <ns0:c r="C7" s="128" t="inlineStr">
        <ns0:is>
          <ns0:t>MF_OP</ns0:t>
        </ns0:is>
      </ns0:c>
      <ns0:c r="D7" s="145" t="n">
        <ns0:v>0.04540545500010507</ns0:v>
      </ns0:c>
      <ns0:c r="E7" s="145" t="n">
        <ns0:v>0.00165016501650165</ns0:v>
      </ns0:c>
      <ns0:c r="F7" s="145" t="n">
        <ns0:v>0.02352781000830336</ns0:v>
      </ns0:c>
      <ns0:c r="G7" s="145" t="n">
        <ns0:v>0.1226993865030675</ns0:v>
      </ns0:c>
      <ns0:c r="H7" s="145" t="n">
        <ns0:v>0.2857142857142857</ns0:v>
      </ns0:c>
      <ns0:c r="I7" s="105" t="n">
        <ns0:v>7</ns0:v>
      </ns0:c>
      <ns0:c r="J7" s="105" t="n">
        <ns0:v>72</ns0:v>
      </ns0:c>
      <ns0:c r="K7" s="128" t="inlineStr">
        <ns0:is>
          <ns0:t>9ef5c0f706f1</ns0:t>
        </ns0:is>
      </ns0:c>
      <ns0:c r="L7" s="128" t="inlineStr">
        <ns0:is>
          <ns0:t>先恢复可确定 owner 的 rejected mask；原生关联</ns0:t>
        </ns0:is>
      </ns0:c>
    </ns0:row>
    <ns0:row r="8">
      <ns0:c r="A8" s="130" t="inlineStr">
        <ns0:is>
          <ns0:t>room0</ns0:t>
        </ns0:is>
      </ns0:c>
      <ns0:c r="B8" s="115" t="n">
        <ns0:v>0.025</ns0:v>
      </ns0:c>
      <ns0:c r="C8" s="130" t="inlineStr">
        <ns0:is>
          <ns0:t>MF_OM_pure</ns0:t>
        </ns0:is>
      </ns0:c>
      <ns0:c r="D8" s="144" t="n">
        <ns0:v>0.06693549736734013</ns0:v>
      </ns0:c>
      <ns0:c r="E8" s="144" t="n">
        <ns0:v>0.01323288850624193</ns0:v>
      </ns0:c>
      <ns0:c r="F8" s="144" t="n">
        <ns0:v>0.04008419293679103</ns0:v>
      </ns0:c>
      <ns0:c r="G8" s="144" t="n">
        <ns0:v>0.1904761904761905</ns0:v>
      </ns0:c>
      <ns0:c r="H8" s="144" t="n">
        <ns0:v>0.125</ns0:v>
      </ns0:c>
      <ns0:c r="I8" s="107" t="n">
        <ns0:v>8</ns0:v>
      </ns0:c>
      <ns0:c r="J8" s="107" t="n">
        <ns0:v>56</ns0:v>
      </ns0:c>
      <ns0:c r="K8" s="130" t="inlineStr">
        <ns0:is>
          <ns0:t>92147f5265bc</ns0:t>
        </ns0:is>
      </ns0:c>
      <ns0:c r="L8" s="130" t="inlineStr">
        <ns0:is>
          <ns0:t>OP 被吸收；按 owner 合成干净 mask；原生关联</ns0:t>
        </ns0:is>
      </ns0:c>
    </ns0:row>
    <ns0:row r="9">
      <ns0:c r="A9" s="128" t="inlineStr">
        <ns0:is>
          <ns0:t>room0</ns0:t>
        </ns0:is>
      </ns0:c>
      <ns0:c r="B9" s="114" t="n">
        <ns0:v>0.025</ns0:v>
      </ns0:c>
      <ns0:c r="C9" s="128" t="inlineStr">
        <ns0:is>
          <ns0:t>MF_OM_all_native</ns0:t>
        </ns0:is>
      </ns0:c>
      <ns0:c r="D9" s="145" t="n">
        <ns0:v>0.2455925385599236</ns0:v>
      </ns0:c>
      <ns0:c r="E9" s="145" t="n">
        <ns0:v>0.1150234131926163</ns0:v>
      </ns0:c>
      <ns0:c r="F9" s="145" t="n">
        <ns0:v>0.1803079758762699</ns0:v>
      </ns0:c>
      <ns0:c r="G9" s="145" t="n">
        <ns0:v>0.4318181818181818</ns0:v>
      </ns0:c>
      <ns0:c r="H9" s="145" t="n">
        <ns0:v>0.1153846153846154</ns0:v>
      </ns0:c>
      <ns0:c r="I9" s="105" t="n">
        <ns0:v>26</ns0:v>
      </ns0:c>
      <ns0:c r="J9" s="105" t="n">
        <ns0:v>85</ns0:v>
      </ns0:c>
      <ns0:c r="K9" s="128" t="inlineStr">
        <ns0:is>
          <ns0:t>6e805e78822e</ns0:t>
        </ns0:is>
      </ns0:c>
      <ns0:c r="L9" s="128" t="inlineStr">
        <ns0:is>
          <ns0:t>完整 partition/去污染/FP 抑制；原生关联</ns0:t>
        </ns0:is>
      </ns0:c>
    </ns0:row>
    <ns0:row r="10">
      <ns0:c r="A10" s="130" t="inlineStr">
        <ns0:is>
          <ns0:t>room0</ns0:t>
        </ns0:is>
      </ns0:c>
      <ns0:c r="B10" s="115" t="n">
        <ns0:v>0.025</ns0:v>
      </ns0:c>
      <ns0:c r="C10" s="130" t="inlineStr">
        <ns0:is>
          <ns0:t>MF_OM_all_OA</ns0:t>
        </ns0:is>
      </ns0:c>
      <ns0:c r="D10" s="144" t="n">
        <ns0:v>0.7222672669736259</ns0:v>
      </ns0:c>
      <ns0:c r="E10" s="144" t="n">
        <ns0:v>0.6057620125680937</ns0:v>
      </ns0:c>
      <ns0:c r="F10" s="144" t="n">
        <ns0:v>0.6640146397708597</ns0:v>
      </ns0:c>
      <ns0:c r="G10" s="144" t="n">
        <ns0:v>0.8351648351648352</ns0:v>
      </ns0:c>
      <ns0:c r="H10" s="144" t="n">
        <ns0:v>0.0625</ns0:v>
      </ns0:c>
      <ns0:c r="I10" s="107" t="n">
        <ns0:v>48</ns0:v>
      </ns0:c>
      <ns0:c r="J10" s="107" t="n">
        <ns0:v>91</ns0:v>
      </ns0:c>
      <ns0:c r="K10" s="130" t="inlineStr">
        <ns0:is>
          <ns0:t>bf2c8b4081f8</ns0:t>
        </ns0:is>
      </ns0:c>
      <ns0:c r="L10" s="130" t="inlineStr">
        <ns0:is>
          <ns0:t>与上一步同一 mask 流；改为 GT identity 关联</ns0:t>
        </ns0:is>
      </ns0:c>
    </ns0:row>
    <ns0:row r="11">
      <ns0:c r="A11" s="128" t="inlineStr">
        <ns0:is>
          <ns0:t>room0</ns0:t>
        </ns0:is>
      </ns0:c>
      <ns0:c r="B11" s="114" t="n">
        <ns0:v>0.025</ns0:v>
      </ns0:c>
      <ns0:c r="C11" s="128" t="inlineStr">
        <ns0:is>
          <ns0:t>OG</ns0:t>
        </ns0:is>
      </ns0:c>
      <ns0:c r="D11" s="145" t="n">
        <ns0:v>1</ns0:v>
      </ns0:c>
      <ns0:c r="E11" s="145" t="n">
        <ns0:v>1</ns0:v>
      </ns0:c>
      <ns0:c r="F11" s="145" t="n">
        <ns0:v>1</ns0:v>
      </ns0:c>
      <ns0:c r="G11" s="145" t="n">
        <ns0:v>1</ns0:v>
      </ns0:c>
      <ns0:c r="H11" s="145" t="n">
        <ns0:v>1</ns0:v>
      </ns0:c>
      <ns0:c r="I11" s="105" t="n">
        <ns0:v>58</ns0:v>
      </ns0:c>
      <ns0:c r="J11" s="105" t="n">
        <ns0:v>91</ns0:v>
      </ns0:c>
      <ns0:c r="K11" s="128" t="inlineStr">
        <ns0:is>
          <ns0:t>f60a35694814</ns0:t>
        </ns0:is>
      </ns0:c>
      <ns0:c r="L11" s="128" t="inlineStr">
        <ns0:is>
          <ns0:t>可观测 GT 上限</ns0:t>
        </ns0:is>
      </ns0:c>
    </ns0:row>
    <ns0:row r="12">
      <ns0:c r="A12" s="130" t="inlineStr">
        <ns0:is>
          <ns0:t>room0</ns0:t>
        </ns0:is>
      </ns0:c>
      <ns0:c r="B12" s="115" t="n">
        <ns0:v>0.05</ns0:v>
      </ns0:c>
      <ns0:c r="C12" s="130" t="inlineStr">
        <ns0:is>
          <ns0:t>B0</ns0:t>
        </ns0:is>
      </ns0:c>
      <ns0:c r="D12" s="144" t="n">
        <ns0:v>0.04355896723275567</ns0:v>
      </ns0:c>
      <ns0:c r="E12" s="144" t="n">
        <ns0:v>0.0011001100110011</ns0:v>
      </ns0:c>
      <ns0:c r="F12" s="144" t="n">
        <ns0:v>0.02232953862187838</ns0:v>
      </ns0:c>
      <ns0:c r="G12" s="144" t="n">
        <ns0:v>0.1104294478527607</ns0:v>
      </ns0:c>
      <ns0:c r="H12" s="144" t="n">
        <ns0:v>0.25</ns0:v>
      </ns0:c>
      <ns0:c r="I12" s="107" t="n">
        <ns0:v>8</ns0:v>
      </ns0:c>
      <ns0:c r="J12" s="107" t="n">
        <ns0:v>72</ns0:v>
      </ns0:c>
      <ns0:c r="K12" s="130" t="inlineStr">
        <ns0:is>
          <ns0:t>ab33d37eb3e8</ns0:t>
        </ns0:is>
      </ns0:c>
      <ns0:c r="L12" s="130" t="inlineStr">
        <ns0:is>
          <ns0:t>当前基线</ns0:t>
        </ns0:is>
      </ns0:c>
    </ns0:row>
    <ns0:row r="13">
      <ns0:c r="A13" s="128" t="inlineStr">
        <ns0:is>
          <ns0:t>room0</ns0:t>
        </ns0:is>
      </ns0:c>
      <ns0:c r="B13" s="114" t="n">
        <ns0:v>0.05</ns0:v>
      </ns0:c>
      <ns0:c r="C13" s="128" t="inlineStr">
        <ns0:is>
          <ns0:t>MF_OP</ns0:t>
        </ns0:is>
      </ns0:c>
      <ns0:c r="D13" s="145" t="n">
        <ns0:v>0.0497384083029676</ns0:v>
      </ns0:c>
      <ns0:c r="E13" s="145" t="n">
        <ns0:v>0.00165016501650165</ns0:v>
      </ns0:c>
      <ns0:c r="F13" s="145" t="n">
        <ns0:v>0.02569428665973462</ns0:v>
      </ns0:c>
      <ns0:c r="G13" s="145" t="n">
        <ns0:v>0.1349693251533742</ns0:v>
      </ns0:c>
      <ns0:c r="H13" s="145" t="n">
        <ns0:v>0.2857142857142857</ns0:v>
      </ns0:c>
      <ns0:c r="I13" s="105" t="n">
        <ns0:v>7</ns0:v>
      </ns0:c>
      <ns0:c r="J13" s="105" t="n">
        <ns0:v>72</ns0:v>
      </ns0:c>
      <ns0:c r="K13" s="128" t="inlineStr">
        <ns0:is>
          <ns0:t>9ef5c0f706f1</ns0:t>
        </ns0:is>
      </ns0:c>
      <ns0:c r="L13" s="128" t="inlineStr">
        <ns0:is>
          <ns0:t>先恢复可确定 owner 的 rejected mask；原生关联</ns0:t>
        </ns0:is>
      </ns0:c>
    </ns0:row>
    <ns0:row r="14">
      <ns0:c r="A14" s="130" t="inlineStr">
        <ns0:is>
          <ns0:t>room0</ns0:t>
        </ns0:is>
      </ns0:c>
      <ns0:c r="B14" s="115" t="n">
        <ns0:v>0.05</ns0:v>
      </ns0:c>
      <ns0:c r="C14" s="130" t="inlineStr">
        <ns0:is>
          <ns0:t>MF_OM_pure</ns0:t>
        </ns0:is>
      </ns0:c>
      <ns0:c r="D14" s="144" t="n">
        <ns0:v>0.07142438664408783</ns0:v>
      </ns0:c>
      <ns0:c r="E14" s="144" t="n">
        <ns0:v>0.01323288850624193</ns0:v>
      </ns0:c>
      <ns0:c r="F14" s="144" t="n">
        <ns0:v>0.04232863757516488</ns0:v>
      </ns0:c>
      <ns0:c r="G14" s="144" t="n">
        <ns0:v>0.2040816326530612</ns0:v>
      </ns0:c>
      <ns0:c r="H14" s="144" t="n">
        <ns0:v>0.1111111111111111</ns0:v>
      </ns0:c>
      <ns0:c r="I14" s="107" t="n">
        <ns0:v>9</ns0:v>
      </ns0:c>
      <ns0:c r="J14" s="107" t="n">
        <ns0:v>56</ns0:v>
      </ns0:c>
      <ns0:c r="K14" s="130" t="inlineStr">
        <ns0:is>
          <ns0:t>92147f5265bc</ns0:t>
        </ns0:is>
      </ns0:c>
      <ns0:c r="L14" s="130" t="inlineStr">
        <ns0:is>
          <ns0:t>OP 被吸收；按 owner 合成干净 mask；原生关联</ns0:t>
        </ns0:is>
      </ns0:c>
    </ns0:row>
    <ns0:row r="15">
      <ns0:c r="A15" s="128" t="inlineStr">
        <ns0:is>
          <ns0:t>room0</ns0:t>
        </ns0:is>
      </ns0:c>
      <ns0:c r="B15" s="114" t="n">
        <ns0:v>0.05</ns0:v>
      </ns0:c>
      <ns0:c r="C15" s="128" t="inlineStr">
        <ns0:is>
          <ns0:t>MF_OM_all_native</ns0:t>
        </ns0:is>
      </ns0:c>
      <ns0:c r="D15" s="145" t="n">
        <ns0:v>0.2461937231161603</ns0:v>
      </ns0:c>
      <ns0:c r="E15" s="145" t="n">
        <ns0:v>0.1339128194117507</ns0:v>
      </ns0:c>
      <ns0:c r="F15" s="145" t="n">
        <ns0:v>0.1900532712639555</ns0:v>
      </ns0:c>
      <ns0:c r="G15" s="145" t="n">
        <ns0:v>0.4204545454545455</ns0:v>
      </ns0:c>
      <ns0:c r="H15" s="145" t="n">
        <ns0:v>0.1111111111111111</ns0:v>
      </ns0:c>
      <ns0:c r="I15" s="105" t="n">
        <ns0:v>27</ns0:v>
      </ns0:c>
      <ns0:c r="J15" s="105" t="n">
        <ns0:v>85</ns0:v>
      </ns0:c>
      <ns0:c r="K15" s="128" t="inlineStr">
        <ns0:is>
          <ns0:t>6e805e78822e</ns0:t>
        </ns0:is>
      </ns0:c>
      <ns0:c r="L15" s="128" t="inlineStr">
        <ns0:is>
          <ns0:t>完整 partition/去污染/FP 抑制；原生关联</ns0:t>
        </ns0:is>
      </ns0:c>
    </ns0:row>
    <ns0:row r="16">
      <ns0:c r="A16" s="130" t="inlineStr">
        <ns0:is>
          <ns0:t>room0</ns0:t>
        </ns0:is>
      </ns0:c>
      <ns0:c r="B16" s="115" t="n">
        <ns0:v>0.05</ns0:v>
      </ns0:c>
      <ns0:c r="C16" s="130" t="inlineStr">
        <ns0:is>
          <ns0:t>MF_OM_all_OA</ns0:t>
        </ns0:is>
      </ns0:c>
      <ns0:c r="D16" s="144" t="n">
        <ns0:v>0.7349092507749837</ns0:v>
      </ns0:c>
      <ns0:c r="E16" s="144" t="n">
        <ns0:v>0.6190396027937894</ns0:v>
      </ns0:c>
      <ns0:c r="F16" s="144" t="n">
        <ns0:v>0.6769744267843866</ns0:v>
      </ns0:c>
      <ns0:c r="G16" s="144" t="n">
        <ns0:v>0.8351648351648352</ns0:v>
      </ns0:c>
      <ns0:c r="H16" s="144" t="n">
        <ns0:v>0.06122448979591837</ns0:v>
      </ns0:c>
      <ns0:c r="I16" s="107" t="n">
        <ns0:v>49</ns0:v>
      </ns0:c>
      <ns0:c r="J16" s="107" t="n">
        <ns0:v>91</ns0:v>
      </ns0:c>
      <ns0:c r="K16" s="130" t="inlineStr">
        <ns0:is>
          <ns0:t>bf2c8b4081f8</ns0:t>
        </ns0:is>
      </ns0:c>
      <ns0:c r="L16" s="130" t="inlineStr">
        <ns0:is>
          <ns0:t>与上一步同一 mask 流；改为 GT identity 关联</ns0:t>
        </ns0:is>
      </ns0:c>
    </ns0:row>
    <ns0:row r="17">
      <ns0:c r="A17" s="128" t="inlineStr">
        <ns0:is>
          <ns0:t>room0</ns0:t>
        </ns0:is>
      </ns0:c>
      <ns0:c r="B17" s="114" t="n">
        <ns0:v>0.05</ns0:v>
      </ns0:c>
      <ns0:c r="C17" s="128" t="inlineStr">
        <ns0:is>
          <ns0:t>OG</ns0:t>
        </ns0:is>
      </ns0:c>
      <ns0:c r="D17" s="145" t="n">
        <ns0:v>1</ns0:v>
      </ns0:c>
      <ns0:c r="E17" s="145" t="n">
        <ns0:v>1</ns0:v>
      </ns0:c>
      <ns0:c r="F17" s="145" t="n">
        <ns0:v>1</ns0:v>
      </ns0:c>
      <ns0:c r="G17" s="145" t="n">
        <ns0:v>1</ns0:v>
      </ns0:c>
      <ns0:c r="H17" s="145" t="n">
        <ns0:v>1</ns0:v>
      </ns0:c>
      <ns0:c r="I17" s="105" t="n">
        <ns0:v>58</ns0:v>
      </ns0:c>
      <ns0:c r="J17" s="105" t="n">
        <ns0:v>91</ns0:v>
      </ns0:c>
      <ns0:c r="K17" s="128" t="inlineStr">
        <ns0:is>
          <ns0:t>f60a35694814</ns0:t>
        </ns0:is>
      </ns0:c>
      <ns0:c r="L17" s="128" t="inlineStr">
        <ns0:is>
          <ns0:t>可观测 GT 上限</ns0:t>
        </ns0:is>
      </ns0:c>
    </ns0:row>
    <ns0:row r="18">
      <ns0:c r="A18" s="130" t="inlineStr">
        <ns0:is>
          <ns0:t>room0</ns0:t>
        </ns0:is>
      </ns0:c>
      <ns0:c r="B18" s="115" t="n">
        <ns0:v>0.1</ns0:v>
      </ns0:c>
      <ns0:c r="C18" s="130" t="inlineStr">
        <ns0:is>
          <ns0:t>B0</ns0:t>
        </ns0:is>
      </ns0:c>
      <ns0:c r="D18" s="144" t="n">
        <ns0:v>0.06229882012535241</ns0:v>
      </ns0:c>
      <ns0:c r="E18" s="144" t="n">
        <ns0:v>0.0066006600660066</ns0:v>
      </ns0:c>
      <ns0:c r="F18" s="144" t="n">
        <ns0:v>0.03444974009567951</ns0:v>
      </ns0:c>
      <ns0:c r="G18" s="144" t="n">
        <ns0:v>0.1595092024539877</ns0:v>
      </ns0:c>
      <ns0:c r="H18" s="144" t="n">
        <ns0:v>0.1818181818181818</ns0:v>
      </ns0:c>
      <ns0:c r="I18" s="107" t="n">
        <ns0:v>11</ns0:v>
      </ns0:c>
      <ns0:c r="J18" s="107" t="n">
        <ns0:v>72</ns0:v>
      </ns0:c>
      <ns0:c r="K18" s="130" t="inlineStr">
        <ns0:is>
          <ns0:t>ab33d37eb3e8</ns0:t>
        </ns0:is>
      </ns0:c>
      <ns0:c r="L18" s="130" t="inlineStr">
        <ns0:is>
          <ns0:t>当前基线</ns0:t>
        </ns0:is>
      </ns0:c>
    </ns0:row>
    <ns0:row r="19">
      <ns0:c r="A19" s="128" t="inlineStr">
        <ns0:is>
          <ns0:t>room0</ns0:t>
        </ns0:is>
      </ns0:c>
      <ns0:c r="B19" s="114" t="n">
        <ns0:v>0.1</ns0:v>
      </ns0:c>
      <ns0:c r="C19" s="128" t="inlineStr">
        <ns0:is>
          <ns0:t>MF_OP</ns0:t>
        </ns0:is>
      </ns0:c>
      <ns0:c r="D19" s="145" t="n">
        <ns0:v>0.07156411967147351</ns0:v>
      </ns0:c>
      <ns0:c r="E19" s="145" t="n">
        <ns0:v>0.008486562942008486</ns0:v>
      </ns0:c>
      <ns0:c r="F19" s="145" t="n">
        <ns0:v>0.040025341306741</ns0:v>
      </ns0:c>
      <ns0:c r="G19" s="145" t="n">
        <ns0:v>0.1717791411042945</ns0:v>
      </ns0:c>
      <ns0:c r="H19" s="145" t="n">
        <ns0:v>0.2222222222222222</ns0:v>
      </ns0:c>
      <ns0:c r="I19" s="105" t="n">
        <ns0:v>9</ns0:v>
      </ns0:c>
      <ns0:c r="J19" s="105" t="n">
        <ns0:v>72</ns0:v>
      </ns0:c>
      <ns0:c r="K19" s="128" t="inlineStr">
        <ns0:is>
          <ns0:t>9ef5c0f706f1</ns0:t>
        </ns0:is>
      </ns0:c>
      <ns0:c r="L19" s="128" t="inlineStr">
        <ns0:is>
          <ns0:t>先恢复可确定 owner 的 rejected mask；原生关联</ns0:t>
        </ns0:is>
      </ns0:c>
    </ns0:row>
    <ns0:row r="20">
      <ns0:c r="A20" s="130" t="inlineStr">
        <ns0:is>
          <ns0:t>room0</ns0:t>
        </ns0:is>
      </ns0:c>
      <ns0:c r="B20" s="115" t="n">
        <ns0:v>0.1</ns0:v>
      </ns0:c>
      <ns0:c r="C20" s="130" t="inlineStr">
        <ns0:is>
          <ns0:t>MF_OM_pure</ns0:t>
        </ns0:is>
      </ns0:c>
      <ns0:c r="D20" s="144" t="n">
        <ns0:v>0.08868458274398869</ns0:v>
      </ns0:c>
      <ns0:c r="E20" s="144" t="n">
        <ns0:v>0.01323288850624193</ns0:v>
      </ns0:c>
      <ns0:c r="F20" s="144" t="n">
        <ns0:v>0.05095873562511531</ns0:v>
      </ns0:c>
      <ns0:c r="G20" s="144" t="n">
        <ns0:v>0.2448979591836735</ns0:v>
      </ns0:c>
      <ns0:c r="H20" s="144" t="n">
        <ns0:v>0.09090909090909091</ns0:v>
      </ns0:c>
      <ns0:c r="I20" s="107" t="n">
        <ns0:v>11</ns0:v>
      </ns0:c>
      <ns0:c r="J20" s="107" t="n">
        <ns0:v>56</ns0:v>
      </ns0:c>
      <ns0:c r="K20" s="130" t="inlineStr">
        <ns0:is>
          <ns0:t>92147f5265bc</ns0:t>
        </ns0:is>
      </ns0:c>
      <ns0:c r="L20" s="130" t="inlineStr">
        <ns0:is>
          <ns0:t>OP 被吸收；按 owner 合成干净 mask；原生关联</ns0:t>
        </ns0:is>
      </ns0:c>
    </ns0:row>
    <ns0:row r="21">
      <ns0:c r="A21" s="128" t="inlineStr">
        <ns0:is>
          <ns0:t>room0</ns0:t>
        </ns0:is>
      </ns0:c>
      <ns0:c r="B21" s="114" t="n">
        <ns0:v>0.1</ns0:v>
      </ns0:c>
      <ns0:c r="C21" s="128" t="inlineStr">
        <ns0:is>
          <ns0:t>MF_OM_all_native</ns0:t>
        </ns0:is>
      </ns0:c>
      <ns0:c r="D21" s="145" t="n">
        <ns0:v>0.2631642462565916</ns0:v>
      </ns0:c>
      <ns0:c r="E21" s="145" t="n">
        <ns0:v>0.1375253428262543</ns0:v>
      </ns0:c>
      <ns0:c r="F21" s="145" t="n">
        <ns0:v>0.200344794541423</ns0:v>
      </ns0:c>
      <ns0:c r="G21" s="145" t="n">
        <ns0:v>0.4204545454545455</ns0:v>
      </ns0:c>
      <ns0:c r="H21" s="145" t="n">
        <ns0:v>0.1153846153846154</ns0:v>
      </ns0:c>
      <ns0:c r="I21" s="105" t="n">
        <ns0:v>26</ns0:v>
      </ns0:c>
      <ns0:c r="J21" s="105" t="n">
        <ns0:v>85</ns0:v>
      </ns0:c>
      <ns0:c r="K21" s="128" t="inlineStr">
        <ns0:is>
          <ns0:t>6e805e78822e</ns0:t>
        </ns0:is>
      </ns0:c>
      <ns0:c r="L21" s="128" t="inlineStr">
        <ns0:is>
          <ns0:t>完整 partition/去污染/FP 抑制；原生关联</ns0:t>
        </ns0:is>
      </ns0:c>
    </ns0:row>
    <ns0:row r="22">
      <ns0:c r="A22" s="130" t="inlineStr">
        <ns0:is>
          <ns0:t>room0</ns0:t>
        </ns0:is>
      </ns0:c>
      <ns0:c r="B22" s="115" t="n">
        <ns0:v>0.1</ns0:v>
      </ns0:c>
      <ns0:c r="C22" s="130" t="inlineStr">
        <ns0:is>
          <ns0:t>MF_OM_all_OA</ns0:t>
        </ns0:is>
      </ns0:c>
      <ns0:c r="D22" s="144" t="n">
        <ns0:v>0.7350277241607838</ns0:v>
      </ns0:c>
      <ns0:c r="E22" s="144" t="n">
        <ns0:v>0.6190396027937894</ns0:v>
      </ns0:c>
      <ns0:c r="F22" s="144" t="n">
        <ns0:v>0.6770336634772867</ns0:v>
      </ns0:c>
      <ns0:c r="G22" s="144" t="n">
        <ns0:v>0.8351648351648352</ns0:v>
      </ns0:c>
      <ns0:c r="H22" s="144" t="n">
        <ns0:v>0.06122448979591837</ns0:v>
      </ns0:c>
      <ns0:c r="I22" s="107" t="n">
        <ns0:v>49</ns0:v>
      </ns0:c>
      <ns0:c r="J22" s="107" t="n">
        <ns0:v>91</ns0:v>
      </ns0:c>
      <ns0:c r="K22" s="130" t="inlineStr">
        <ns0:is>
          <ns0:t>bf2c8b4081f8</ns0:t>
        </ns0:is>
      </ns0:c>
      <ns0:c r="L22" s="130" t="inlineStr">
        <ns0:is>
          <ns0:t>与上一步同一 mask 流；改为 GT identity 关联</ns0:t>
        </ns0:is>
      </ns0:c>
    </ns0:row>
    <ns0:row r="23">
      <ns0:c r="A23" s="128" t="inlineStr">
        <ns0:is>
          <ns0:t>room0</ns0:t>
        </ns0:is>
      </ns0:c>
      <ns0:c r="B23" s="114" t="n">
        <ns0:v>0.1</ns0:v>
      </ns0:c>
      <ns0:c r="C23" s="128" t="inlineStr">
        <ns0:is>
          <ns0:t>OG</ns0:t>
        </ns0:is>
      </ns0:c>
      <ns0:c r="D23" s="145" t="n">
        <ns0:v>1</ns0:v>
      </ns0:c>
      <ns0:c r="E23" s="145" t="n">
        <ns0:v>1</ns0:v>
      </ns0:c>
      <ns0:c r="F23" s="145" t="n">
        <ns0:v>1</ns0:v>
      </ns0:c>
      <ns0:c r="G23" s="145" t="n">
        <ns0:v>1</ns0:v>
      </ns0:c>
      <ns0:c r="H23" s="145" t="n">
        <ns0:v>1</ns0:v>
      </ns0:c>
      <ns0:c r="I23" s="105" t="n">
        <ns0:v>58</ns0:v>
      </ns0:c>
      <ns0:c r="J23" s="105" t="n">
        <ns0:v>91</ns0:v>
      </ns0:c>
      <ns0:c r="K23" s="128" t="inlineStr">
        <ns0:is>
          <ns0:t>f60a35694814</ns0:t>
        </ns0:is>
      </ns0:c>
      <ns0:c r="L23" s="128" t="inlineStr">
        <ns0:is>
          <ns0:t>可观测 GT 上限</ns0:t>
        </ns0:is>
      </ns0:c>
    </ns0:row>
    <ns0:row r="24">
      <ns0:c r="A24" s="130" t="inlineStr">
        <ns0:is>
          <ns0:t>office0</ns0:t>
        </ns0:is>
      </ns0:c>
      <ns0:c r="B24" s="115" t="n">
        <ns0:v>0.025</ns0:v>
      </ns0:c>
      <ns0:c r="C24" s="130" t="inlineStr">
        <ns0:is>
          <ns0:t>B0</ns0:t>
        </ns0:is>
      </ns0:c>
      <ns0:c r="D24" s="144" t="n">
        <ns0:v>0.009060906090609062</ns0:v>
      </ns0:c>
      <ns0:c r="E24" s="144" t="n">
        <ns0:v>0</ns0:v>
      </ns0:c>
      <ns0:c r="F24" s="144" t="n">
        <ns0:v>0.004530453045304531</ns0:v>
      </ns0:c>
      <ns0:c r="G24" s="144" t="n">
        <ns0:v>0.04597701149425287</ns0:v>
      </ns0:c>
      <ns0:c r="H24" s="146" t="n"/>
      <ns0:c r="I24" s="107" t="n">
        <ns0:v>0</ns0:v>
      </ns0:c>
      <ns0:c r="J24" s="107" t="n">
        <ns0:v>35</ns0:v>
      </ns0:c>
      <ns0:c r="K24" s="130" t="inlineStr">
        <ns0:is>
          <ns0:t>f1d37190041f</ns0:t>
        </ns0:is>
      </ns0:c>
      <ns0:c r="L24" s="130" t="inlineStr">
        <ns0:is>
          <ns0:t>当前基线</ns0:t>
        </ns0:is>
      </ns0:c>
    </ns0:row>
    <ns0:row r="25">
      <ns0:c r="A25" s="128" t="inlineStr">
        <ns0:is>
          <ns0:t>office0</ns0:t>
        </ns0:is>
      </ns0:c>
      <ns0:c r="B25" s="114" t="n">
        <ns0:v>0.025</ns0:v>
      </ns0:c>
      <ns0:c r="C25" s="128" t="inlineStr">
        <ns0:is>
          <ns0:t>MF_OP</ns0:t>
        </ns0:is>
      </ns0:c>
      <ns0:c r="D25" s="145" t="n">
        <ns0:v>0.02217821782178218</ns0:v>
      </ns0:c>
      <ns0:c r="E25" s="145" t="n">
        <ns0:v>0</ns0:v>
      </ns0:c>
      <ns0:c r="F25" s="145" t="n">
        <ns0:v>0.01108910891089109</ns0:v>
      </ns0:c>
      <ns0:c r="G25" s="145" t="n">
        <ns0:v>0.04444444444444445</ns0:v>
      </ns0:c>
      <ns0:c r="H25" s="145" t="n">
        <ns0:v>0</ns0:v>
      </ns0:c>
      <ns0:c r="I25" s="105" t="n">
        <ns0:v>1</ns0:v>
      </ns0:c>
      <ns0:c r="J25" s="105" t="n">
        <ns0:v>38</ns0:v>
      </ns0:c>
      <ns0:c r="K25" s="128" t="inlineStr">
        <ns0:is>
          <ns0:t>ef8cd2740db3</ns0:t>
        </ns0:is>
      </ns0:c>
      <ns0:c r="L25" s="128" t="inlineStr">
        <ns0:is>
          <ns0:t>先恢复可确定 owner 的 rejected mask；原生关联</ns0:t>
        </ns0:is>
      </ns0:c>
    </ns0:row>
    <ns0:row r="26">
      <ns0:c r="A26" s="130" t="inlineStr">
        <ns0:is>
          <ns0:t>office0</ns0:t>
        </ns0:is>
      </ns0:c>
      <ns0:c r="B26" s="115" t="n">
        <ns0:v>0.025</ns0:v>
      </ns0:c>
      <ns0:c r="C26" s="130" t="inlineStr">
        <ns0:is>
          <ns0:t>MF_OM_pure</ns0:t>
        </ns0:is>
      </ns0:c>
      <ns0:c r="D26" s="144" t="n">
        <ns0:v>0.02165161571102165</ns0:v>
      </ns0:c>
      <ns0:c r="E26" s="144" t="n">
        <ns0:v>0.002828854314002829</ns0:v>
      </ns0:c>
      <ns0:c r="F26" s="144" t="n">
        <ns0:v>0.01224023501251224</ns0:v>
      </ns0:c>
      <ns0:c r="G26" s="144" t="n">
        <ns0:v>0.08602150537634409</ns0:v>
      </ns0:c>
      <ns0:c r="H26" s="144" t="n">
        <ns0:v>0</ns0:v>
      </ns0:c>
      <ns0:c r="I26" s="107" t="n">
        <ns0:v>2</ns0:v>
      </ns0:c>
      <ns0:c r="J26" s="107" t="n">
        <ns0:v>41</ns0:v>
      </ns0:c>
      <ns0:c r="K26" s="130" t="inlineStr">
        <ns0:is>
          <ns0:t>1663917e21ea</ns0:t>
        </ns0:is>
      </ns0:c>
      <ns0:c r="L26" s="130" t="inlineStr">
        <ns0:is>
          <ns0:t>OP 被吸收；按 owner 合成干净 mask；原生关联</ns0:t>
        </ns0:is>
      </ns0:c>
    </ns0:row>
    <ns0:row r="27">
      <ns0:c r="A27" s="128" t="inlineStr">
        <ns0:is>
          <ns0:t>office0</ns0:t>
        </ns0:is>
      </ns0:c>
      <ns0:c r="B27" s="114" t="n">
        <ns0:v>0.025</ns0:v>
      </ns0:c>
      <ns0:c r="C27" s="128" t="inlineStr">
        <ns0:is>
          <ns0:t>MF_OM_all_native</ns0:t>
        </ns0:is>
      </ns0:c>
      <ns0:c r="D27" s="145" t="n">
        <ns0:v>0.1361652294261684</ns0:v>
      </ns0:c>
      <ns0:c r="E27" s="145" t="n">
        <ns0:v>0.03672947939955286</ns0:v>
      </ns0:c>
      <ns0:c r="F27" s="145" t="n">
        <ns0:v>0.08644735441286064</ns0:v>
      </ns0:c>
      <ns0:c r="G27" s="145" t="n">
        <ns0:v>0.25</ns0:v>
      </ns0:c>
      <ns0:c r="H27" s="145" t="n">
        <ns0:v>0.1428571428571428</ns0:v>
      </ns0:c>
      <ns0:c r="I27" s="105" t="n">
        <ns0:v>7</ns0:v>
      </ns0:c>
      <ns0:c r="J27" s="105" t="n">
        <ns0:v>52</ns0:v>
      </ns0:c>
      <ns0:c r="K27" s="128" t="inlineStr">
        <ns0:is>
          <ns0:t>1e76d509b39f</ns0:t>
        </ns0:is>
      </ns0:c>
      <ns0:c r="L27" s="128" t="inlineStr">
        <ns0:is>
          <ns0:t>完整 partition/去污染/FP 抑制；原生关联</ns0:t>
        </ns0:is>
      </ns0:c>
    </ns0:row>
    <ns0:row r="28">
      <ns0:c r="A28" s="130" t="inlineStr">
        <ns0:is>
          <ns0:t>office0</ns0:t>
        </ns0:is>
      </ns0:c>
      <ns0:c r="B28" s="115" t="n">
        <ns0:v>0.025</ns0:v>
      </ns0:c>
      <ns0:c r="C28" s="130" t="inlineStr">
        <ns0:is>
          <ns0:t>MF_OM_all_OA</ns0:t>
        </ns0:is>
      </ns0:c>
      <ns0:c r="D28" s="144" t="n">
        <ns0:v>0.7557082238836128</ns0:v>
      </ns0:c>
      <ns0:c r="E28" s="144" t="n">
        <ns0:v>0.5304523851157742</ns0:v>
      </ns0:c>
      <ns0:c r="F28" s="144" t="n">
        <ns0:v>0.6430803044996936</ns0:v>
      </ns0:c>
      <ns0:c r="G28" s="144" t="n">
        <ns0:v>0.8627450980392157</ns0:v>
      </ns0:c>
      <ns0:c r="H28" s="144" t="n">
        <ns0:v>0.2857142857142857</ns0:v>
      </ns0:c>
      <ns0:c r="I28" s="107" t="n">
        <ns0:v>14</ns0:v>
      </ns0:c>
      <ns0:c r="J28" s="107" t="n">
        <ns0:v>50</ns0:v>
      </ns0:c>
      <ns0:c r="K28" s="130" t="inlineStr">
        <ns0:is>
          <ns0:t>b4b033a10cb2</ns0:t>
        </ns0:is>
      </ns0:c>
      <ns0:c r="L28" s="130" t="inlineStr">
        <ns0:is>
          <ns0:t>与上一步同一 mask 流；改为 GT identity 关联</ns0:t>
        </ns0:is>
      </ns0:c>
    </ns0:row>
    <ns0:row r="29">
      <ns0:c r="A29" s="128" t="inlineStr">
        <ns0:is>
          <ns0:t>office0</ns0:t>
        </ns0:is>
      </ns0:c>
      <ns0:c r="B29" s="114" t="n">
        <ns0:v>0.025</ns0:v>
      </ns0:c>
      <ns0:c r="C29" s="128" t="inlineStr">
        <ns0:is>
          <ns0:t>OG</ns0:t>
        </ns0:is>
      </ns0:c>
      <ns0:c r="D29" s="145" t="n">
        <ns0:v>1</ns0:v>
      </ns0:c>
      <ns0:c r="E29" s="145" t="n">
        <ns0:v>1</ns0:v>
      </ns0:c>
      <ns0:c r="F29" s="145" t="n">
        <ns0:v>1</ns0:v>
      </ns0:c>
      <ns0:c r="G29" s="145" t="n">
        <ns0:v>1</ns0:v>
      </ns0:c>
      <ns0:c r="H29" s="145" t="n">
        <ns0:v>1</ns0:v>
      </ns0:c>
      <ns0:c r="I29" s="105" t="n">
        <ns0:v>15</ns0:v>
      </ns0:c>
      <ns0:c r="J29" s="105" t="n">
        <ns0:v>52</ns0:v>
      </ns0:c>
      <ns0:c r="K29" s="128" t="inlineStr">
        <ns0:is>
          <ns0:t>1c0a2e13f6c2</ns0:t>
        </ns0:is>
      </ns0:c>
      <ns0:c r="L29" s="128" t="inlineStr">
        <ns0:is>
          <ns0:t>可观测 GT 上限</ns0:t>
        </ns0:is>
      </ns0:c>
    </ns0:row>
    <ns0:row r="30">
      <ns0:c r="A30" s="130" t="inlineStr">
        <ns0:is>
          <ns0:t>office0</ns0:t>
        </ns0:is>
      </ns0:c>
      <ns0:c r="B30" s="115" t="n">
        <ns0:v>0.05</ns0:v>
      </ns0:c>
      <ns0:c r="C30" s="130" t="inlineStr">
        <ns0:is>
          <ns0:t>B0</ns0:t>
        </ns0:is>
      </ns0:c>
      <ns0:c r="D30" s="144" t="n">
        <ns0:v>0.009060906090609062</ns0:v>
      </ns0:c>
      <ns0:c r="E30" s="144" t="n">
        <ns0:v>0</ns0:v>
      </ns0:c>
      <ns0:c r="F30" s="144" t="n">
        <ns0:v>0.004530453045304531</ns0:v>
      </ns0:c>
      <ns0:c r="G30" s="144" t="n">
        <ns0:v>0.06896551724137931</ns0:v>
      </ns0:c>
      <ns0:c r="H30" s="144" t="n">
        <ns0:v>1</ns0:v>
      </ns0:c>
      <ns0:c r="I30" s="107" t="n">
        <ns0:v>1</ns0:v>
      </ns0:c>
      <ns0:c r="J30" s="107" t="n">
        <ns0:v>35</ns0:v>
      </ns0:c>
      <ns0:c r="K30" s="130" t="inlineStr">
        <ns0:is>
          <ns0:t>f1d37190041f</ns0:t>
        </ns0:is>
      </ns0:c>
      <ns0:c r="L30" s="130" t="inlineStr">
        <ns0:is>
          <ns0:t>当前基线</ns0:t>
        </ns0:is>
      </ns0:c>
    </ns0:row>
    <ns0:row r="31">
      <ns0:c r="A31" s="128" t="inlineStr">
        <ns0:is>
          <ns0:t>office0</ns0:t>
        </ns0:is>
      </ns0:c>
      <ns0:c r="B31" s="114" t="n">
        <ns0:v>0.05</ns0:v>
      </ns0:c>
      <ns0:c r="C31" s="128" t="inlineStr">
        <ns0:is>
          <ns0:t>MF_OP</ns0:t>
        </ns0:is>
      </ns0:c>
      <ns0:c r="D31" s="145" t="n">
        <ns0:v>0.03451202263083451</ns0:v>
      </ns0:c>
      <ns0:c r="E31" s="145" t="n">
        <ns0:v>0</ns0:v>
      </ns0:c>
      <ns0:c r="F31" s="145" t="n">
        <ns0:v>0.01725601131541726</ns0:v>
      </ns0:c>
      <ns0:c r="G31" s="145" t="n">
        <ns0:v>0.1333333333333333</ns0:v>
      </ns0:c>
      <ns0:c r="H31" s="145" t="n">
        <ns0:v>0.25</ns0:v>
      </ns0:c>
      <ns0:c r="I31" s="105" t="n">
        <ns0:v>4</ns0:v>
      </ns0:c>
      <ns0:c r="J31" s="105" t="n">
        <ns0:v>38</ns0:v>
      </ns0:c>
      <ns0:c r="K31" s="128" t="inlineStr">
        <ns0:is>
          <ns0:t>ef8cd2740db3</ns0:t>
        </ns0:is>
      </ns0:c>
      <ns0:c r="L31" s="128" t="inlineStr">
        <ns0:is>
          <ns0:t>先恢复可确定 owner 的 rejected mask；原生关联</ns0:t>
        </ns0:is>
      </ns0:c>
    </ns0:row>
    <ns0:row r="32">
      <ns0:c r="A32" s="130" t="inlineStr">
        <ns0:is>
          <ns0:t>office0</ns0:t>
        </ns0:is>
      </ns0:c>
      <ns0:c r="B32" s="115" t="n">
        <ns0:v>0.05</ns0:v>
      </ns0:c>
      <ns0:c r="C32" s="130" t="inlineStr">
        <ns0:is>
          <ns0:t>MF_OM_pure</ns0:t>
        </ns0:is>
      </ns0:c>
      <ns0:c r="D32" s="144" t="n">
        <ns0:v>0.02165161571102165</ns0:v>
      </ns0:c>
      <ns0:c r="E32" s="144" t="n">
        <ns0:v>0.002828854314002829</ns0:v>
      </ns0:c>
      <ns0:c r="F32" s="144" t="n">
        <ns0:v>0.01224023501251224</ns0:v>
      </ns0:c>
      <ns0:c r="G32" s="144" t="n">
        <ns0:v>0.08602150537634409</ns0:v>
      </ns0:c>
      <ns0:c r="H32" s="144" t="n">
        <ns0:v>0</ns0:v>
      </ns0:c>
      <ns0:c r="I32" s="107" t="n">
        <ns0:v>2</ns0:v>
      </ns0:c>
      <ns0:c r="J32" s="107" t="n">
        <ns0:v>41</ns0:v>
      </ns0:c>
      <ns0:c r="K32" s="130" t="inlineStr">
        <ns0:is>
          <ns0:t>1663917e21ea</ns0:t>
        </ns0:is>
      </ns0:c>
      <ns0:c r="L32" s="130" t="inlineStr">
        <ns0:is>
          <ns0:t>OP 被吸收；按 owner 合成干净 mask；原生关联</ns0:t>
        </ns0:is>
      </ns0:c>
    </ns0:row>
    <ns0:row r="33">
      <ns0:c r="A33" s="128" t="inlineStr">
        <ns0:is>
          <ns0:t>office0</ns0:t>
        </ns0:is>
      </ns0:c>
      <ns0:c r="B33" s="114" t="n">
        <ns0:v>0.05</ns0:v>
      </ns0:c>
      <ns0:c r="C33" s="128" t="inlineStr">
        <ns0:is>
          <ns0:t>MF_OM_all_native</ns0:t>
        </ns0:is>
      </ns0:c>
      <ns0:c r="D33" s="145" t="n">
        <ns0:v>0.1437365747959995</ns0:v>
      </ns0:c>
      <ns0:c r="E33" s="145" t="n">
        <ns0:v>0.07079740232087725</ns0:v>
      </ns0:c>
      <ns0:c r="F33" s="145" t="n">
        <ns0:v>0.1072669885584384</ns0:v>
      </ns0:c>
      <ns0:c r="G33" s="145" t="n">
        <ns0:v>0.2692307692307692</ns0:v>
      </ns0:c>
      <ns0:c r="H33" s="145" t="n">
        <ns0:v>0.1428571428571428</ns0:v>
      </ns0:c>
      <ns0:c r="I33" s="105" t="n">
        <ns0:v>7</ns0:v>
      </ns0:c>
      <ns0:c r="J33" s="105" t="n">
        <ns0:v>52</ns0:v>
      </ns0:c>
      <ns0:c r="K33" s="128" t="inlineStr">
        <ns0:is>
          <ns0:t>1e76d509b39f</ns0:t>
        </ns0:is>
      </ns0:c>
      <ns0:c r="L33" s="128" t="inlineStr">
        <ns0:is>
          <ns0:t>完整 partition/去污染/FP 抑制；原生关联</ns0:t>
        </ns0:is>
      </ns0:c>
    </ns0:row>
    <ns0:row r="34">
      <ns0:c r="A34" s="130" t="inlineStr">
        <ns0:is>
          <ns0:t>office0</ns0:t>
        </ns0:is>
      </ns0:c>
      <ns0:c r="B34" s="115" t="n">
        <ns0:v>0.05</ns0:v>
      </ns0:c>
      <ns0:c r="C34" s="130" t="inlineStr">
        <ns0:is>
          <ns0:t>MF_OM_all_OA</ns0:t>
        </ns0:is>
      </ns0:c>
      <ns0:c r="D34" s="144" t="n">
        <ns0:v>0.7557082238836128</ns0:v>
      </ns0:c>
      <ns0:c r="E34" s="144" t="n">
        <ns0:v>0.5159039915009025</ns0:v>
      </ns0:c>
      <ns0:c r="F34" s="144" t="n">
        <ns0:v>0.6358061076922576</ns0:v>
      </ns0:c>
      <ns0:c r="G34" s="144" t="n">
        <ns0:v>0.8627450980392157</ns0:v>
      </ns0:c>
      <ns0:c r="H34" s="144" t="n">
        <ns0:v>0.2857142857142857</ns0:v>
      </ns0:c>
      <ns0:c r="I34" s="107" t="n">
        <ns0:v>14</ns0:v>
      </ns0:c>
      <ns0:c r="J34" s="107" t="n">
        <ns0:v>50</ns0:v>
      </ns0:c>
      <ns0:c r="K34" s="130" t="inlineStr">
        <ns0:is>
          <ns0:t>b4b033a10cb2</ns0:t>
        </ns0:is>
      </ns0:c>
      <ns0:c r="L34" s="130" t="inlineStr">
        <ns0:is>
          <ns0:t>与上一步同一 mask 流；改为 GT identity 关联</ns0:t>
        </ns0:is>
      </ns0:c>
    </ns0:row>
    <ns0:row r="35">
      <ns0:c r="A35" s="128" t="inlineStr">
        <ns0:is>
          <ns0:t>office0</ns0:t>
        </ns0:is>
      </ns0:c>
      <ns0:c r="B35" s="114" t="n">
        <ns0:v>0.05</ns0:v>
      </ns0:c>
      <ns0:c r="C35" s="128" t="inlineStr">
        <ns0:is>
          <ns0:t>OG</ns0:t>
        </ns0:is>
      </ns0:c>
      <ns0:c r="D35" s="145" t="n">
        <ns0:v>1</ns0:v>
      </ns0:c>
      <ns0:c r="E35" s="145" t="n">
        <ns0:v>1</ns0:v>
      </ns0:c>
      <ns0:c r="F35" s="145" t="n">
        <ns0:v>1</ns0:v>
      </ns0:c>
      <ns0:c r="G35" s="145" t="n">
        <ns0:v>1</ns0:v>
      </ns0:c>
      <ns0:c r="H35" s="145" t="n">
        <ns0:v>1</ns0:v>
      </ns0:c>
      <ns0:c r="I35" s="105" t="n">
        <ns0:v>15</ns0:v>
      </ns0:c>
      <ns0:c r="J35" s="105" t="n">
        <ns0:v>52</ns0:v>
      </ns0:c>
      <ns0:c r="K35" s="128" t="inlineStr">
        <ns0:is>
          <ns0:t>1c0a2e13f6c2</ns0:t>
        </ns0:is>
      </ns0:c>
      <ns0:c r="L35" s="128" t="inlineStr">
        <ns0:is>
          <ns0:t>可观测 GT 上限</ns0:t>
        </ns0:is>
      </ns0:c>
    </ns0:row>
    <ns0:row r="36">
      <ns0:c r="A36" s="130" t="inlineStr">
        <ns0:is>
          <ns0:t>office0</ns0:t>
        </ns0:is>
      </ns0:c>
      <ns0:c r="B36" s="115" t="n">
        <ns0:v>0.1</ns0:v>
      </ns0:c>
      <ns0:c r="C36" s="130" t="inlineStr">
        <ns0:is>
          <ns0:t>B0</ns0:t>
        </ns0:is>
      </ns0:c>
      <ns0:c r="D36" s="144" t="n">
        <ns0:v>0.01206120612061206</ns0:v>
      </ns0:c>
      <ns0:c r="E36" s="144" t="n">
        <ns0:v>0</ns0:v>
      </ns0:c>
      <ns0:c r="F36" s="144" t="n">
        <ns0:v>0.006030603060306031</ns0:v>
      </ns0:c>
      <ns0:c r="G36" s="144" t="n">
        <ns0:v>0.09195402298850575</ns0:v>
      </ns0:c>
      <ns0:c r="H36" s="144" t="n">
        <ns0:v>1</ns0:v>
      </ns0:c>
      <ns0:c r="I36" s="107" t="n">
        <ns0:v>1</ns0:v>
      </ns0:c>
      <ns0:c r="J36" s="107" t="n">
        <ns0:v>35</ns0:v>
      </ns0:c>
      <ns0:c r="K36" s="130" t="inlineStr">
        <ns0:is>
          <ns0:t>f1d37190041f</ns0:t>
        </ns0:is>
      </ns0:c>
      <ns0:c r="L36" s="130" t="inlineStr">
        <ns0:is>
          <ns0:t>当前基线</ns0:t>
        </ns0:is>
      </ns0:c>
    </ns0:row>
    <ns0:row r="37">
      <ns0:c r="A37" s="128" t="inlineStr">
        <ns0:is>
          <ns0:t>office0</ns0:t>
        </ns0:is>
      </ns0:c>
      <ns0:c r="B37" s="114" t="n">
        <ns0:v>0.1</ns0:v>
      </ns0:c>
      <ns0:c r="C37" s="128" t="inlineStr">
        <ns0:is>
          <ns0:t>MF_OP</ns0:t>
        </ns0:is>
      </ns0:c>
      <ns0:c r="D37" s="145" t="n">
        <ns0:v>0.04158415841584159</ns0:v>
      </ns0:c>
      <ns0:c r="E37" s="145" t="n">
        <ns0:v>0</ns0:v>
      </ns0:c>
      <ns0:c r="F37" s="145" t="n">
        <ns0:v>0.02079207920792079</ns0:v>
      </ns0:c>
      <ns0:c r="G37" s="145" t="n">
        <ns0:v>0.1333333333333333</ns0:v>
      </ns0:c>
      <ns0:c r="H37" s="145" t="n">
        <ns0:v>0.3333333333333333</ns0:v>
      </ns0:c>
      <ns0:c r="I37" s="105" t="n">
        <ns0:v>3</ns0:v>
      </ns0:c>
      <ns0:c r="J37" s="105" t="n">
        <ns0:v>38</ns0:v>
      </ns0:c>
      <ns0:c r="K37" s="128" t="inlineStr">
        <ns0:is>
          <ns0:t>ef8cd2740db3</ns0:t>
        </ns0:is>
      </ns0:c>
      <ns0:c r="L37" s="128" t="inlineStr">
        <ns0:is>
          <ns0:t>先恢复可确定 owner 的 rejected mask；原生关联</ns0:t>
        </ns0:is>
      </ns0:c>
    </ns0:row>
    <ns0:row r="38">
      <ns0:c r="A38" s="130" t="inlineStr">
        <ns0:is>
          <ns0:t>office0</ns0:t>
        </ns0:is>
      </ns0:c>
      <ns0:c r="B38" s="115" t="n">
        <ns0:v>0.1</ns0:v>
      </ns0:c>
      <ns0:c r="C38" s="130" t="inlineStr">
        <ns0:is>
          <ns0:t>MF_OM_pure</ns0:t>
        </ns0:is>
      </ns0:c>
      <ns0:c r="D38" s="144" t="n">
        <ns0:v>0.03253182461103254</ns0:v>
      </ns0:c>
      <ns0:c r="E38" s="144" t="n">
        <ns0:v>0.002828854314002829</ns0:v>
      </ns0:c>
      <ns0:c r="F38" s="144" t="n">
        <ns0:v>0.01768033946251768</ns0:v>
      </ns0:c>
      <ns0:c r="G38" s="144" t="n">
        <ns0:v>0.1290322580645161</ns0:v>
      </ns0:c>
      <ns0:c r="H38" s="144" t="n">
        <ns0:v>0</ns0:v>
      </ns0:c>
      <ns0:c r="I38" s="107" t="n">
        <ns0:v>3</ns0:v>
      </ns0:c>
      <ns0:c r="J38" s="107" t="n">
        <ns0:v>41</ns0:v>
      </ns0:c>
      <ns0:c r="K38" s="130" t="inlineStr">
        <ns0:is>
          <ns0:t>1663917e21ea</ns0:t>
        </ns0:is>
      </ns0:c>
      <ns0:c r="L38" s="130" t="inlineStr">
        <ns0:is>
          <ns0:t>OP 被吸收；按 owner 合成干净 mask；原生关联</ns0:t>
        </ns0:is>
      </ns0:c>
    </ns0:row>
    <ns0:row r="39">
      <ns0:c r="A39" s="128" t="inlineStr">
        <ns0:is>
          <ns0:t>office0</ns0:t>
        </ns0:is>
      </ns0:c>
      <ns0:c r="B39" s="114" t="n">
        <ns0:v>0.1</ns0:v>
      </ns0:c>
      <ns0:c r="C39" s="128" t="inlineStr">
        <ns0:is>
          <ns0:t>MF_OM_all_native</ns0:t>
        </ns0:is>
      </ns0:c>
      <ns0:c r="D39" s="145" t="n">
        <ns0:v>0.1437365747959995</ns0:v>
      </ns0:c>
      <ns0:c r="E39" s="145" t="n">
        <ns0:v>0.08101777919727457</ns0:v>
      </ns0:c>
      <ns0:c r="F39" s="145" t="n">
        <ns0:v>0.112377176996637</ns0:v>
      </ns0:c>
      <ns0:c r="G39" s="145" t="n">
        <ns0:v>0.2692307692307692</ns0:v>
      </ns0:c>
      <ns0:c r="H39" s="145" t="n">
        <ns0:v>0.1428571428571428</ns0:v>
      </ns0:c>
      <ns0:c r="I39" s="105" t="n">
        <ns0:v>7</ns0:v>
      </ns0:c>
      <ns0:c r="J39" s="105" t="n">
        <ns0:v>52</ns0:v>
      </ns0:c>
      <ns0:c r="K39" s="128" t="inlineStr">
        <ns0:is>
          <ns0:t>1e76d509b39f</ns0:t>
        </ns0:is>
      </ns0:c>
      <ns0:c r="L39" s="128" t="inlineStr">
        <ns0:is>
          <ns0:t>完整 partition/去污染/FP 抑制；原生关联</ns0:t>
        </ns0:is>
      </ns0:c>
    </ns0:row>
    <ns0:row r="40">
      <ns0:c r="A40" s="130" t="inlineStr">
        <ns0:is>
          <ns0:t>office0</ns0:t>
        </ns0:is>
      </ns0:c>
      <ns0:c r="B40" s="115" t="n">
        <ns0:v>0.1</ns0:v>
      </ns0:c>
      <ns0:c r="C40" s="130" t="inlineStr">
        <ns0:is>
          <ns0:t>MF_OM_all_OA</ns0:t>
        </ns0:is>
      </ns0:c>
      <ns0:c r="D40" s="144" t="n">
        <ns0:v>0.7557082238836128</ns0:v>
      </ns0:c>
      <ns0:c r="E40" s="144" t="n">
        <ns0:v>0.5810904614961312</ns0:v>
      </ns0:c>
      <ns0:c r="F40" s="144" t="n">
        <ns0:v>0.668399342689872</ns0:v>
      </ns0:c>
      <ns0:c r="G40" s="144" t="n">
        <ns0:v>0.8627450980392157</ns0:v>
      </ns0:c>
      <ns0:c r="H40" s="144" t="n">
        <ns0:v>0.2857142857142857</ns0:v>
      </ns0:c>
      <ns0:c r="I40" s="107" t="n">
        <ns0:v>14</ns0:v>
      </ns0:c>
      <ns0:c r="J40" s="107" t="n">
        <ns0:v>50</ns0:v>
      </ns0:c>
      <ns0:c r="K40" s="130" t="inlineStr">
        <ns0:is>
          <ns0:t>b4b033a10cb2</ns0:t>
        </ns0:is>
      </ns0:c>
      <ns0:c r="L40" s="130" t="inlineStr">
        <ns0:is>
          <ns0:t>与上一步同一 mask 流；改为 GT identity 关联</ns0:t>
        </ns0:is>
      </ns0:c>
    </ns0:row>
    <ns0:row r="41">
      <ns0:c r="A41" s="128" t="inlineStr">
        <ns0:is>
          <ns0:t>office0</ns0:t>
        </ns0:is>
      </ns0:c>
      <ns0:c r="B41" s="114" t="n">
        <ns0:v>0.1</ns0:v>
      </ns0:c>
      <ns0:c r="C41" s="128" t="inlineStr">
        <ns0:is>
          <ns0:t>OG</ns0:t>
        </ns0:is>
      </ns0:c>
      <ns0:c r="D41" s="145" t="n">
        <ns0:v>1</ns0:v>
      </ns0:c>
      <ns0:c r="E41" s="145" t="n">
        <ns0:v>1</ns0:v>
      </ns0:c>
      <ns0:c r="F41" s="145" t="n">
        <ns0:v>1</ns0:v>
      </ns0:c>
      <ns0:c r="G41" s="145" t="n">
        <ns0:v>1</ns0:v>
      </ns0:c>
      <ns0:c r="H41" s="145" t="n">
        <ns0:v>1</ns0:v>
      </ns0:c>
      <ns0:c r="I41" s="105" t="n">
        <ns0:v>15</ns0:v>
      </ns0:c>
      <ns0:c r="J41" s="105" t="n">
        <ns0:v>52</ns0:v>
      </ns0:c>
      <ns0:c r="K41" s="128" t="inlineStr">
        <ns0:is>
          <ns0:t>1c0a2e13f6c2</ns0:t>
        </ns0:is>
      </ns0:c>
      <ns0:c r="L41" s="128" t="inlineStr">
        <ns0:is>
          <ns0:t>可观测 GT 上限</ns0:t>
        </ns0:is>
      </ns0:c>
    </ns0:row>
    <ns0:row r="42"/>
    <ns0:row r="43" ht="24" customHeight="1" s="2">
      <ns0:c r="A43" s="123" t="inlineStr">
        <ns0:is>
          <ns0:t>B. 在线构图资源记录</ns0:t>
        </ns0:is>
      </ns0:c>
      <ns0:c r="B43" s="158" t="n"/>
      <ns0:c r="C43" s="158" t="n"/>
      <ns0:c r="D43" s="158" t="n"/>
      <ns0:c r="E43" s="158" t="n"/>
      <ns0:c r="F43" s="158" t="n"/>
      <ns0:c r="G43" s="158" t="n"/>
      <ns0:c r="H43" s="158" t="n"/>
      <ns0:c r="I43" s="158" t="n"/>
      <ns0:c r="J43" s="158" t="n"/>
      <ns0:c r="K43" s="158" t="n"/>
      <ns0:c r="L43" s="159" t="n"/>
    </ns0:row>
    <ns0:row r="44" ht="30" customHeight="1" s="2">
      <ns0:c r="A44" s="92" t="inlineStr">
        <ns0:is>
          <ns0:t>场景</ns0:t>
        </ns0:is>
      </ns0:c>
      <ns0:c r="B44" s="92" t="inlineStr">
        <ns0:is>
          <ns0:t>阶段</ns0:t>
        </ns0:is>
      </ns0:c>
      <ns0:c r="C44" s="92" t="inlineStr">
        <ns0:is>
          <ns0:t>帧数</ns0:t>
        </ns0:is>
      </ns0:c>
      <ns0:c r="D44" s="92" t="inlineStr">
        <ns0:is>
          <ns0:t>对象数</ns0:t>
        </ns0:is>
      </ns0:c>
      <ns0:c r="E44" s="92" t="inlineStr">
        <ns0:is>
          <ns0:t>观测数</ns0:t>
        </ns0:is>
      </ns0:c>
      <ns0:c r="F44" s="92" t="inlineStr">
        <ns0:is>
          <ns0:t>耗时(s)</ns0:t>
        </ns0:is>
      </ns0:c>
      <ns0:c r="G44" s="92" t="inlineStr">
        <ns0:is>
          <ns0:t>峰值RSS(MB)</ns0:t>
        </ns0:is>
      </ns0:c>
      <ns0:c r="H44" s="92" t="inlineStr">
        <ns0:is>
          <ns0:t>复用</ns0:t>
        </ns0:is>
      </ns0:c>
      <ns0:c r="I44" s="92" t="inlineStr"/>
      <ns0:c r="J44" s="92" t="inlineStr"/>
      <ns0:c r="K44" s="92" t="inlineStr"/>
      <ns0:c r="L44" s="92" t="inlineStr">
        <ns0:is>
          <ns0:t>说明</ns0:t>
        </ns0:is>
      </ns0:c>
    </ns0:row>
    <ns0:row r="45">
      <ns0:c r="A45" s="128" t="inlineStr">
        <ns0:is>
          <ns0:t>room0</ns0:t>
        </ns0:is>
      </ns0:c>
      <ns0:c r="B45" s="128" t="inlineStr">
        <ns0:is>
          <ns0:t>MF_OP</ns0:t>
        </ns0:is>
      </ns0:c>
      <ns0:c r="C45" s="105" t="n">
        <ns0:v>400</ns0:v>
      </ns0:c>
      <ns0:c r="D45" s="105" t="n">
        <ns0:v>72</ns0:v>
      </ns0:c>
      <ns0:c r="E45" s="105" t="n">
        <ns0:v>9063</ns0:v>
      </ns0:c>
      <ns0:c r="F45" s="112" t="n">
        <ns0:v>905.3444442823529</ns0:v>
      </ns0:c>
      <ns0:c r="G45" s="112" t="n">
        <ns0:v>28004.17578125</ns0:v>
      </ns0:c>
      <ns0:c r="H45" s="128" t="inlineStr">
        <ns0:is>
          <ns0:t>否</ns0:t>
        </ns0:is>
      </ns0:c>
      <ns0:c r="I45" s="128" t="inlineStr"/>
      <ns0:c r="J45" s="128" t="inlineStr"/>
      <ns0:c r="K45" s="128" t="inlineStr"/>
      <ns0:c r="L45" s="128" t="inlineStr">
        <ns0:is>
          <ns0:t>在线从空图构建</ns0:t>
        </ns0:is>
      </ns0:c>
    </ns0:row>
    <ns0:row r="46">
      <ns0:c r="A46" s="130" t="inlineStr">
        <ns0:is>
          <ns0:t>room0</ns0:t>
        </ns0:is>
      </ns0:c>
      <ns0:c r="B46" s="130" t="inlineStr">
        <ns0:is>
          <ns0:t>MF_OM_pure</ns0:t>
        </ns0:is>
      </ns0:c>
      <ns0:c r="C46" s="107" t="n">
        <ns0:v>400</ns0:v>
      </ns0:c>
      <ns0:c r="D46" s="107" t="n">
        <ns0:v>56</ns0:v>
      </ns0:c>
      <ns0:c r="E46" s="107" t="n">
        <ns0:v>2231</ns0:v>
      </ns0:c>
      <ns0:c r="F46" s="111" t="n">
        <ns0:v>373.1617103060707</ns0:v>
      </ns0:c>
      <ns0:c r="G46" s="111" t="n">
        <ns0:v>4769.5703125</ns0:v>
      </ns0:c>
      <ns0:c r="H46" s="130" t="inlineStr">
        <ns0:is>
          <ns0:t>否</ns0:t>
        </ns0:is>
      </ns0:c>
      <ns0:c r="I46" s="130" t="inlineStr"/>
      <ns0:c r="J46" s="130" t="inlineStr"/>
      <ns0:c r="K46" s="130" t="inlineStr"/>
      <ns0:c r="L46" s="130" t="inlineStr">
        <ns0:is>
          <ns0:t>在线从空图构建</ns0:t>
        </ns0:is>
      </ns0:c>
    </ns0:row>
    <ns0:row r="47">
      <ns0:c r="A47" s="128" t="inlineStr">
        <ns0:is>
          <ns0:t>room0</ns0:t>
        </ns0:is>
      </ns0:c>
      <ns0:c r="B47" s="128" t="inlineStr">
        <ns0:is>
          <ns0:t>MF_OM_all_native</ns0:t>
        </ns0:is>
      </ns0:c>
      <ns0:c r="C47" s="105" t="n">
        <ns0:v>400</ns0:v>
      </ns0:c>
      <ns0:c r="D47" s="105" t="n">
        <ns0:v>85</ns0:v>
      </ns0:c>
      <ns0:c r="E47" s="105" t="n">
        <ns0:v>11577</ns0:v>
      </ns0:c>
      <ns0:c r="F47" s="112" t="n">
        <ns0:v>1078.142860009335</ns0:v>
      </ns0:c>
      <ns0:c r="G47" s="112" t="n">
        <ns0:v>19133.40625</ns0:v>
      </ns0:c>
      <ns0:c r="H47" s="128" t="inlineStr">
        <ns0:is>
          <ns0:t>否</ns0:t>
        </ns0:is>
      </ns0:c>
      <ns0:c r="I47" s="128" t="inlineStr"/>
      <ns0:c r="J47" s="128" t="inlineStr"/>
      <ns0:c r="K47" s="128" t="inlineStr"/>
      <ns0:c r="L47" s="128" t="inlineStr">
        <ns0:is>
          <ns0:t>在线从空图构建</ns0:t>
        </ns0:is>
      </ns0:c>
    </ns0:row>
    <ns0:row r="48">
      <ns0:c r="A48" s="147" t="inlineStr">
        <ns0:is>
          <ns0:t>room0</ns0:t>
        </ns0:is>
      </ns0:c>
      <ns0:c r="B48" s="147" t="inlineStr">
        <ns0:is>
          <ns0:t>MF_OM_all_OA</ns0:t>
        </ns0:is>
      </ns0:c>
      <ns0:c r="C48" s="147" t="n"/>
      <ns0:c r="D48" s="147" t="n"/>
      <ns0:c r="E48" s="147" t="n"/>
      <ns0:c r="F48" s="148" t="n"/>
      <ns0:c r="G48" s="148" t="n"/>
      <ns0:c r="H48" s="147" t="inlineStr">
        <ns0:is>
          <ns0:t>是</ns0:t>
        </ns0:is>
      </ns0:c>
      <ns0:c r="I48" s="147" t="inlineStr"/>
      <ns0:c r="J48" s="147" t="inlineStr"/>
      <ns0:c r="K48" s="147" t="inlineStr"/>
      <ns0:c r="L48" s="147" t="inlineStr">
        <ns0:is>
          <ns0:t>same maximal-partition stream plus GT-identity association; exact 10-frame geometry/object/observation parity passed in both scenes</ns0:t>
        </ns0:is>
      </ns0:c>
    </ns0:row>
    <ns0:row r="49">
      <ns0:c r="A49" s="128" t="inlineStr">
        <ns0:is>
          <ns0:t>office0</ns0:t>
        </ns0:is>
      </ns0:c>
      <ns0:c r="B49" s="128" t="inlineStr">
        <ns0:is>
          <ns0:t>MF_OP</ns0:t>
        </ns0:is>
      </ns0:c>
      <ns0:c r="C49" s="105" t="n">
        <ns0:v>400</ns0:v>
      </ns0:c>
      <ns0:c r="D49" s="105" t="n">
        <ns0:v>38</ns0:v>
      </ns0:c>
      <ns0:c r="E49" s="105" t="n">
        <ns0:v>4067</ns0:v>
      </ns0:c>
      <ns0:c r="F49" s="112" t="n">
        <ns0:v>472.4382209228352</ns0:v>
      </ns0:c>
      <ns0:c r="G49" s="112" t="n">
        <ns0:v>12864.30078125</ns0:v>
      </ns0:c>
      <ns0:c r="H49" s="128" t="inlineStr">
        <ns0:is>
          <ns0:t>否</ns0:t>
        </ns0:is>
      </ns0:c>
      <ns0:c r="I49" s="128" t="inlineStr"/>
      <ns0:c r="J49" s="128" t="inlineStr"/>
      <ns0:c r="K49" s="128" t="inlineStr"/>
      <ns0:c r="L49" s="128" t="inlineStr">
        <ns0:is>
          <ns0:t>在线从空图构建</ns0:t>
        </ns0:is>
      </ns0:c>
    </ns0:row>
    <ns0:row r="50">
      <ns0:c r="A50" s="130" t="inlineStr">
        <ns0:is>
          <ns0:t>office0</ns0:t>
        </ns0:is>
      </ns0:c>
      <ns0:c r="B50" s="130" t="inlineStr">
        <ns0:is>
          <ns0:t>MF_OM_pure</ns0:t>
        </ns0:is>
      </ns0:c>
      <ns0:c r="C50" s="107" t="n">
        <ns0:v>400</ns0:v>
      </ns0:c>
      <ns0:c r="D50" s="107" t="n">
        <ns0:v>41</ns0:v>
      </ns0:c>
      <ns0:c r="E50" s="107" t="n">
        <ns0:v>1340</ns0:v>
      </ns0:c>
      <ns0:c r="F50" s="111" t="n">
        <ns0:v>247.2343862261623</ns0:v>
      </ns0:c>
      <ns0:c r="G50" s="111" t="n">
        <ns0:v>3380.01953125</ns0:v>
      </ns0:c>
      <ns0:c r="H50" s="130" t="inlineStr">
        <ns0:is>
          <ns0:t>否</ns0:t>
        </ns0:is>
      </ns0:c>
      <ns0:c r="I50" s="130" t="inlineStr"/>
      <ns0:c r="J50" s="130" t="inlineStr"/>
      <ns0:c r="K50" s="130" t="inlineStr"/>
      <ns0:c r="L50" s="130" t="inlineStr">
        <ns0:is>
          <ns0:t>在线从空图构建</ns0:t>
        </ns0:is>
      </ns0:c>
    </ns0:row>
    <ns0:row r="51">
      <ns0:c r="A51" s="128" t="inlineStr">
        <ns0:is>
          <ns0:t>office0</ns0:t>
        </ns0:is>
      </ns0:c>
      <ns0:c r="B51" s="128" t="inlineStr">
        <ns0:is>
          <ns0:t>MF_OM_all_native</ns0:t>
        </ns0:is>
      </ns0:c>
      <ns0:c r="C51" s="105" t="n">
        <ns0:v>400</ns0:v>
      </ns0:c>
      <ns0:c r="D51" s="105" t="n">
        <ns0:v>52</ns0:v>
      </ns0:c>
      <ns0:c r="E51" s="105" t="n">
        <ns0:v>7372</ns0:v>
      </ns0:c>
      <ns0:c r="F51" s="112" t="n">
        <ns0:v>543.2644646763802</ns0:v>
      </ns0:c>
      <ns0:c r="G51" s="112" t="n">
        <ns0:v>8591.421875</ns0:v>
      </ns0:c>
      <ns0:c r="H51" s="128" t="inlineStr">
        <ns0:is>
          <ns0:t>否</ns0:t>
        </ns0:is>
      </ns0:c>
      <ns0:c r="I51" s="128" t="inlineStr"/>
      <ns0:c r="J51" s="128" t="inlineStr"/>
      <ns0:c r="K51" s="128" t="inlineStr"/>
      <ns0:c r="L51" s="128" t="inlineStr">
        <ns0:is>
          <ns0:t>在线从空图构建</ns0:t>
        </ns0:is>
      </ns0:c>
    </ns0:row>
    <ns0:row r="52">
      <ns0:c r="A52" s="147" t="inlineStr">
        <ns0:is>
          <ns0:t>office0</ns0:t>
        </ns0:is>
      </ns0:c>
      <ns0:c r="B52" s="147" t="inlineStr">
        <ns0:is>
          <ns0:t>MF_OM_all_OA</ns0:t>
        </ns0:is>
      </ns0:c>
      <ns0:c r="C52" s="147" t="n"/>
      <ns0:c r="D52" s="147" t="n"/>
      <ns0:c r="E52" s="147" t="n"/>
      <ns0:c r="F52" s="148" t="n"/>
      <ns0:c r="G52" s="148" t="n"/>
      <ns0:c r="H52" s="147" t="inlineStr">
        <ns0:is>
          <ns0:t>是</ns0:t>
        </ns0:is>
      </ns0:c>
      <ns0:c r="I52" s="147" t="inlineStr"/>
      <ns0:c r="J52" s="147" t="inlineStr"/>
      <ns0:c r="K52" s="147" t="inlineStr"/>
      <ns0:c r="L52" s="147" t="inlineStr">
        <ns0:is>
          <ns0:t>same maximal-partition stream plus GT-identity association; exact 10-frame geometry/object/observation parity passed in both scenes</ns0:t>
        </ns0:is>
      </ns0:c>
    </ns0:row>
    <ns0:row r="53"/>
    <ns0:row r="54" ht="24" customHeight="1" s="2">
      <ns0:c r="A54" s="123" t="inlineStr">
        <ns0:is>
          <ns0:t>C. 两场景平均单步增量</ns0:t>
        </ns0:is>
      </ns0:c>
      <ns0:c r="B54" s="158" t="n"/>
      <ns0:c r="C54" s="158" t="n"/>
      <ns0:c r="D54" s="158" t="n"/>
      <ns0:c r="E54" s="158" t="n"/>
      <ns0:c r="F54" s="158" t="n"/>
      <ns0:c r="G54" s="158" t="n"/>
      <ns0:c r="H54" s="158" t="n"/>
      <ns0:c r="I54" s="158" t="n"/>
      <ns0:c r="J54" s="158" t="n"/>
      <ns0:c r="K54" s="158" t="n"/>
      <ns0:c r="L54" s="159" t="n"/>
    </ns0:row>
    <ns0:row r="55" ht="30" customHeight="1" s="2">
      <ns0:c r="A55" s="92" t="inlineStr">
        <ns0:is>
          <ns0:t>阶段变化</ns0:t>
        </ns0:is>
      </ns0:c>
      <ns0:c r="B55" s="92" t="inlineStr">
        <ns0:is>
          <ns0:t>AP 增量</ns0:t>
        </ns0:is>
      </ns0:c>
      <ns0:c r="C55" s="92" t="inlineStr">
        <ns0:is>
          <ns0:t>Node F1 增量</ns0:t>
        </ns0:is>
      </ns0:c>
      <ns0:c r="D55" s="92" t="inlineStr"/>
      <ns0:c r="E55" s="92" t="inlineStr"/>
      <ns0:c r="F55" s="92" t="inlineStr"/>
      <ns0:c r="G55" s="92" t="inlineStr"/>
      <ns0:c r="H55" s="92" t="inlineStr"/>
      <ns0:c r="I55" s="92" t="inlineStr"/>
      <ns0:c r="J55" s="92" t="inlineStr"/>
      <ns0:c r="K55" s="92" t="inlineStr"/>
      <ns0:c r="L55" s="92" t="inlineStr">
        <ns0:is>
          <ns0:t>解释</ns0:t>
        </ns0:is>
      </ns0:c>
    </ns0:row>
    <ns0:row r="56">
      <ns0:c r="A56" s="130" t="inlineStr">
        <ns0:is>
          <ns0:t>B0-&gt;MF_OP</ns0:t>
        </ns0:is>
      </ns0:c>
      <ns0:c r="B56" s="149" t="n">
        <ns0:v>0.008045153153984484</ns0:v>
      </ns0:c>
      <ns0:c r="C56" s="149" t="n">
        <ns0:v>0.04445384669628374</ns0:v>
      </ns0:c>
      <ns0:c r="D56" s="130" t="inlineStr"/>
      <ns0:c r="E56" s="130" t="inlineStr"/>
      <ns0:c r="F56" s="130" t="inlineStr"/>
      <ns0:c r="G56" s="130" t="inlineStr"/>
      <ns0:c r="H56" s="130" t="inlineStr"/>
      <ns0:c r="I56" s="130" t="inlineStr"/>
      <ns0:c r="J56" s="130" t="inlineStr"/>
      <ns0:c r="K56" s="130" t="inlineStr"/>
      <ns0:c r="L56" s="130" t="inlineStr"/>
    </ns0:row>
    <ns0:row r="57">
      <ns0:c r="A57" s="128" t="inlineStr">
        <ns0:is>
          <ns0:t>MF_OP-&gt;MF_OM_pure</ns0:t>
        </ns0:is>
      </ns0:c>
      <ns0:c r="B57" s="150" t="n">
        <ns0:v>0.005809287306262623</ns0:v>
      </ns0:c>
      <ns0:c r="C57" s="150" t="n">
        <ns0:v>0.01090023977134891</ns0:v>
      </ns0:c>
      <ns0:c r="D57" s="128" t="inlineStr"/>
      <ns0:c r="E57" s="128" t="inlineStr"/>
      <ns0:c r="F57" s="128" t="inlineStr"/>
      <ns0:c r="G57" s="128" t="inlineStr"/>
      <ns0:c r="H57" s="128" t="inlineStr"/>
      <ns0:c r="I57" s="128" t="inlineStr"/>
      <ns0:c r="J57" s="128" t="inlineStr"/>
      <ns0:c r="K57" s="128" t="inlineStr"/>
      <ns0:c r="L57" s="128" t="inlineStr"/>
    </ns0:row>
    <ns0:row r="58">
      <ns0:c r="A58" s="130" t="inlineStr">
        <ns0:is>
          <ns0:t>MF_OM_pure-&gt;MF_OM_all_native</ns0:t>
        </ns0:is>
      </ns0:c>
      <ns0:c r="B58" s="149" t="n">
        <ns0:v>0.1213756936173584</ns0:v>
      </ns0:c>
      <ns0:c r="C58" s="149" t="n">
        <ns0:v>0.1997910883279547</ns0:v>
      </ns0:c>
      <ns0:c r="D58" s="130" t="inlineStr"/>
      <ns0:c r="E58" s="130" t="inlineStr"/>
      <ns0:c r="F58" s="130" t="inlineStr"/>
      <ns0:c r="G58" s="130" t="inlineStr"/>
      <ns0:c r="H58" s="130" t="inlineStr"/>
      <ns0:c r="I58" s="130" t="inlineStr"/>
      <ns0:c r="J58" s="130" t="inlineStr"/>
      <ns0:c r="K58" s="130" t="inlineStr"/>
      <ns0:c r="L58" s="130" t="inlineStr"/>
    </ns0:row>
    <ns0:row r="59">
      <ns0:c r="A59" s="139" t="inlineStr">
        <ns0:is>
          <ns0:t>MF_OM_all_native-&gt;MF_OM_all_OA</ns0:t>
        </ns0:is>
      </ns0:c>
      <ns0:c r="B59" s="151" t="n">
        <ns0:v>0.5077301373271252</ns0:v>
      </ns0:c>
      <ns0:c r="C59" s="151" t="n">
        <ns0:v>0.5041123092593682</ns0:v>
      </ns0:c>
      <ns0:c r="D59" s="139" t="inlineStr"/>
      <ns0:c r="E59" s="139" t="inlineStr"/>
      <ns0:c r="F59" s="139" t="inlineStr"/>
      <ns0:c r="G59" s="139" t="inlineStr"/>
      <ns0:c r="H59" s="139" t="inlineStr"/>
      <ns0:c r="I59" s="139" t="inlineStr"/>
      <ns0:c r="J59" s="139" t="inlineStr"/>
      <ns0:c r="K59" s="139" t="inlineStr"/>
      <ns0:c r="L59" s="139" t="inlineStr">
        <ns0:is>
          <ns0:t>最大值为完整 mask 后再加 OA</ns0:t>
        </ns0:is>
      </ns0:c>
    </ns0:row>
    <ns0:row r="60">
      <ns0:c r="A60" s="130" t="inlineStr">
        <ns0:is>
          <ns0:t>MF_OM_all_OA-&gt;OG</ns0:t>
        </ns0:is>
      </ns0:c>
      <ns0:c r="B60" s="149" t="n">
        <ns0:v>0.3436097327616778</ns0:v>
      </ns0:c>
      <ns0:c r="C60" s="149" t="n">
        <ns0:v>0.1510450333979745</ns0:v>
      </ns0:c>
      <ns0:c r="D60" s="130" t="inlineStr"/>
      <ns0:c r="E60" s="130" t="inlineStr"/>
      <ns0:c r="F60" s="130" t="inlineStr"/>
      <ns0:c r="G60" s="130" t="inlineStr"/>
      <ns0:c r="H60" s="130" t="inlineStr"/>
      <ns0:c r="I60" s="130" t="inlineStr"/>
      <ns0:c r="J60" s="130" t="inlineStr"/>
      <ns0:c r="K60" s="130" t="inlineStr"/>
      <ns0:c r="L60" s="130" t="inlineStr"/>
    </ns0:row>
  </ns0:sheetData>
  <ns0:mergeCells count="5">
    <ns0:mergeCell ref="A2:L2"/>
    <ns0:mergeCell ref="A54:L54"/>
    <ns0:mergeCell ref="A43:L43"/>
    <ns0:mergeCell ref="A1:L1"/>
    <ns0:mergeCell ref="A4:L4"/>
  </ns0:mergeCells>
  <ns0:pageMargins left="0.7" right="0.7" top="0.75" bottom="0.75" header="0.3" footer="0.3"/>
  <ns0:legacyDrawing ns1:id="anysvml"/>
</ns0:worksheet>
</file>

<file path=xl/worksheets/sheet17.xml><?xml version="1.0" encoding="utf-8"?>
<ns0:worksheet xmlns:ns0="http://schemas.openxmlformats.org/spreadsheetml/2006/main" xmlns:ns1="http://schemas.openxmlformats.org/officeDocument/2006/relationships">
  <ns0:sheetPr>
    <ns0:tabColor rgb="FFED7D31"/>
    <ns0:outlinePr summaryBelow="1" summaryRight="1"/>
    <ns0:pageSetUpPr/>
  </ns0:sheetPr>
  <ns0:dimension ref="A1:L72"/>
  <ns0:sheetViews>
    <ns0:sheetView showGridLines="0" workbookViewId="0">
      <ns0:pane ySplit="4" topLeftCell="A5" activePane="bottomLeft" state="frozen"/>
      <ns0:selection activeCell="A1" sqref="A1"/>
    </ns0:sheetView>
  </ns0:sheetViews>
  <ns0:sheetFormatPr baseColWidth="8" defaultRowHeight="15"/>
  <ns0:cols>
    <ns0:col width="21" customWidth="1" style="2" min="1" max="1"/>
    <ns0:col width="18" customWidth="1" style="2" min="2" max="2"/>
    <ns0:col width="18" customWidth="1" style="2" min="3" max="3"/>
    <ns0:col width="14" customWidth="1" style="2" min="4" max="4"/>
    <ns0:col width="14" customWidth="1" style="2" min="5" max="5"/>
    <ns0:col width="14" customWidth="1" style="2" min="6" max="6"/>
    <ns0:col width="14" customWidth="1" style="2" min="7" max="7"/>
    <ns0:col width="14" customWidth="1" style="2" min="8" max="8"/>
    <ns0:col width="14" customWidth="1" style="2" min="9" max="9"/>
    <ns0:col width="16" customWidth="1" style="2" min="10" max="10"/>
    <ns0:col width="30" customWidth="1" style="2" min="11" max="11"/>
    <ns0:col width="50" customWidth="1" style="2" min="12" max="12"/>
  </ns0:cols>
  <ns0:sheetData>
    <ns0:row r="1" ht="30" customHeight="1" s="2">
      <ns0:c r="A1" s="121" t="inlineStr">
        <ns0:is>
          <ns0:t>OVI-MAP 官方指标、消融与效率</ns0:t>
        </ns0:is>
      </ns0:c>
      <ns0:c r="B1" s="158" t="n"/>
      <ns0:c r="C1" s="158" t="n"/>
      <ns0:c r="D1" s="158" t="n"/>
      <ns0:c r="E1" s="158" t="n"/>
      <ns0:c r="F1" s="158" t="n"/>
      <ns0:c r="G1" s="158" t="n"/>
      <ns0:c r="H1" s="158" t="n"/>
      <ns0:c r="I1" s="158" t="n"/>
      <ns0:c r="J1" s="158" t="n"/>
      <ns0:c r="K1" s="158" t="n"/>
      <ns0:c r="L1" s="159" t="n"/>
    </ns0:row>
    <ns0:row r="2" ht="42" customHeight="1" s="2">
      <ns0:c r="A2" s="157" t="inlineStr">
        <ns0:is>
          <ns0:t>来源：OVI-MAP arXiv:2603.26541v1（2026-03-27）。论文没有报告 ConceptGraphs 数值，也未出现 ConceptGraphs；出现的是 ConceptFusion，两者不可混淆。</ns0:t>
        </ns0:is>
      </ns0:c>
      <ns0:c r="B2" s="158" t="n"/>
      <ns0:c r="C2" s="158" t="n"/>
      <ns0:c r="D2" s="158" t="n"/>
      <ns0:c r="E2" s="158" t="n"/>
      <ns0:c r="F2" s="158" t="n"/>
      <ns0:c r="G2" s="158" t="n"/>
      <ns0:c r="H2" s="158" t="n"/>
      <ns0:c r="I2" s="158" t="n"/>
      <ns0:c r="J2" s="158" t="n"/>
      <ns0:c r="K2" s="158" t="n"/>
      <ns0:c r="L2" s="159" t="n"/>
    </ns0:row>
    <ns0:row r="3"/>
    <ns0:row r="4" ht="24" customHeight="1" s="2">
      <ns0:c r="A4" s="123" t="inlineStr">
        <ns0:is>
          <ns0:t>A. 指标口径与是否能复用</ns0:t>
        </ns0:is>
      </ns0:c>
      <ns0:c r="B4" s="158" t="n"/>
      <ns0:c r="C4" s="158" t="n"/>
      <ns0:c r="D4" s="158" t="n"/>
      <ns0:c r="E4" s="158" t="n"/>
      <ns0:c r="F4" s="158" t="n"/>
      <ns0:c r="G4" s="158" t="n"/>
      <ns0:c r="H4" s="158" t="n"/>
      <ns0:c r="I4" s="158" t="n"/>
      <ns0:c r="J4" s="158" t="n"/>
      <ns0:c r="K4" s="158" t="n"/>
      <ns0:c r="L4" s="159" t="n"/>
    </ns0:row>
    <ns0:row r="5" ht="32" customHeight="1" s="2">
      <ns0:c r="A5" s="92" t="inlineStr">
        <ns0:is>
          <ns0:t>层级</ns0:t>
        </ns0:is>
      </ns0:c>
      <ns0:c r="B5" s="92" t="inlineStr">
        <ns0:is>
          <ns0:t>指标</ns0:t>
        </ns0:is>
      </ns0:c>
      <ns0:c r="C5" s="92" t="inlineStr">
        <ns0:is>
          <ns0:t>方向</ns0:t>
        </ns0:is>
      </ns0:c>
      <ns0:c r="D5" s="92" t="inlineStr">
        <ns0:is>
          <ns0:t>OVI-MAP定义</ns0:t>
        </ns0:is>
      </ns0:c>
      <ns0:c r="E5" s="92" t="inlineStr">
        <ns0:is>
          <ns0:t>本地是否已有</ns0:t>
        </ns0:is>
      </ns0:c>
      <ns0:c r="F5" s="92" t="inlineStr">
        <ns0:is>
          <ns0:t>关系</ns0:t>
        </ns0:is>
      </ns0:c>
      <ns0:c r="G5" s="92" t="inlineStr">
        <ns0:is>
          <ns0:t>可直接比较</ns0:t>
        </ns0:is>
      </ns0:c>
      <ns0:c r="H5" s="92" t="inlineStr">
        <ns0:is>
          <ns0:t>建议</ns0:t>
        </ns0:is>
      </ns0:c>
      <ns0:c r="I5" s="92" t="inlineStr"/>
      <ns0:c r="J5" s="92" t="inlineStr"/>
      <ns0:c r="K5" s="92" t="inlineStr"/>
      <ns0:c r="L5" s="92" t="inlineStr">
        <ns0:is>
          <ns0:t>风险</ns0:t>
        </ns0:is>
      </ns0:c>
    </ns0:row>
    <ns0:row r="6" ht="38" customHeight="1" s="2">
      <ns0:c r="A6" s="130" t="inlineStr">
        <ns0:is>
          <ns0:t>类别无关实例</ns0:t>
        </ns0:is>
      </ns0:c>
      <ns0:c r="B6" s="130" t="inlineStr">
        <ns0:is>
          <ns0:t>Instance mIoU</ns0:t>
        </ns0:is>
      </ns0:c>
      <ns0:c r="C6" s="130" t="inlineStr">
        <ns0:is>
          <ns0:t>↑</ns0:t>
        </ns0:is>
      </ns0:c>
      <ns0:c r="D6" s="130" t="inlineStr">
        <ns0:is>
          <ns0:t>GT mesh逐顶点实例重叠均值</ns0:t>
        </ns0:is>
      </ns0:c>
      <ns0:c r="E6" s="130" t="inlineStr">
        <ns0:is>
          <ns0:t>无</ns0:t>
        </ns0:is>
      </ns0:c>
      <ns0:c r="F6" s="130" t="inlineStr">
        <ns0:is>
          <ns0:t>新指标</ns0:t>
        </ns0:is>
      </ns0:c>
      <ns0:c r="G6" s="130" t="inlineStr">
        <ns0:is>
          <ns0:t>否</ns0:t>
        </ns0:is>
      </ns0:c>
      <ns0:c r="H6" s="130" t="inlineStr">
        <ns0:is>
          <ns0:t>新增实现</ns0:t>
        </ns0:is>
      </ns0:c>
      <ns0:c r="I6" s="130" t="inlineStr"/>
      <ns0:c r="J6" s="130" t="inlineStr"/>
      <ns0:c r="K6" s="130" t="inlineStr"/>
      <ns0:c r="L6" s="130" t="inlineStr">
        <ns0:is>
          <ns0:t>衡量边界/覆盖</ns0:t>
        </ns0:is>
      </ns0:c>
    </ns0:row>
    <ns0:row r="7" ht="38" customHeight="1" s="2">
      <ns0:c r="A7" s="139" t="inlineStr">
        <ns0:is>
          <ns0:t>类别无关实例</ns0:t>
        </ns0:is>
      </ns0:c>
      <ns0:c r="B7" s="139" t="inlineStr">
        <ns0:is>
          <ns0:t>AP25/AP50</ns0:t>
        </ns0:is>
      </ns0:c>
      <ns0:c r="C7" s="139" t="inlineStr">
        <ns0:is>
          <ns0:t>↑</ns0:t>
        </ns0:is>
      </ns0:c>
      <ns0:c r="D7" s="139" t="inlineStr">
        <ns0:is>
          <ns0:t>实例IoU阈值AP</ns0:t>
        </ns0:is>
      </ns0:c>
      <ns0:c r="E7" s="139" t="inlineStr">
        <ns0:is>
          <ns0:t>有</ns0:t>
        </ns0:is>
      </ns0:c>
      <ns0:c r="F7" s="139" t="inlineStr">
        <ns0:is>
          <ns0:t>同名</ns0:t>
        </ns0:is>
      </ns0:c>
      <ns0:c r="G7" s="139" t="inlineStr">
        <ns0:is>
          <ns0:t>否</ns0:t>
        </ns0:is>
      </ns0:c>
      <ns0:c r="H7" s="139" t="inlineStr">
        <ns0:is>
          <ns0:t>按论文协议重跑后再比较</ns0:t>
        </ns0:is>
      </ns0:c>
      <ns0:c r="I7" s="139" t="inlineStr"/>
      <ns0:c r="J7" s="139" t="inlineStr"/>
      <ns0:c r="K7" s="139" t="inlineStr"/>
      <ns0:c r="L7" s="139" t="inlineStr">
        <ns0:is>
          <ns0:t>当前体素点图协议不同</ns0:t>
        </ns0:is>
      </ns0:c>
    </ns0:row>
    <ns0:row r="8" ht="38" customHeight="1" s="2">
      <ns0:c r="A8" s="130" t="inlineStr">
        <ns0:is>
          <ns0:t>类别无关实例</ns0:t>
        </ns0:is>
      </ns0:c>
      <ns0:c r="B8" s="130" t="inlineStr">
        <ns0:is>
          <ns0:t>AP75</ns0:t>
        </ns0:is>
      </ns0:c>
      <ns0:c r="C8" s="130" t="inlineStr">
        <ns0:is>
          <ns0:t>↑</ns0:t>
        </ns0:is>
      </ns0:c>
      <ns0:c r="D8" s="130" t="inlineStr">
        <ns0:is>
          <ns0:t>严格实例IoU阈值AP</ns0:t>
        </ns0:is>
      </ns0:c>
      <ns0:c r="E8" s="130" t="inlineStr">
        <ns0:is>
          <ns0:t>无</ns0:t>
        </ns0:is>
      </ns0:c>
      <ns0:c r="F8" s="130" t="inlineStr">
        <ns0:is>
          <ns0:t>新指标</ns0:t>
        </ns0:is>
      </ns0:c>
      <ns0:c r="G8" s="130" t="inlineStr">
        <ns0:is>
          <ns0:t>否</ns0:t>
        </ns0:is>
      </ns0:c>
      <ns0:c r="H8" s="130" t="inlineStr">
        <ns0:is>
          <ns0:t>新增实现</ns0:t>
        </ns0:is>
      </ns0:c>
      <ns0:c r="I8" s="130" t="inlineStr"/>
      <ns0:c r="J8" s="130" t="inlineStr"/>
      <ns0:c r="K8" s="130" t="inlineStr"/>
      <ns0:c r="L8" s="130" t="inlineStr">
        <ns0:is>
          <ns0:t>对边界更敏感</ns0:t>
        </ns0:is>
      </ns0:c>
    </ns0:row>
    <ns0:row r="9" ht="38" customHeight="1" s="2">
      <ns0:c r="A9" s="141" t="inlineStr">
        <ns0:is>
          <ns0:t>开放词汇语义</ns0:t>
        </ns0:is>
      </ns0:c>
      <ns0:c r="B9" s="141" t="inlineStr">
        <ns0:is>
          <ns0:t>Semantic mIoU</ns0:t>
        </ns0:is>
      </ns0:c>
      <ns0:c r="C9" s="141" t="inlineStr">
        <ns0:is>
          <ns0:t>↑</ns0:t>
        </ns0:is>
      </ns0:c>
      <ns0:c r="D9" s="141" t="inlineStr">
        <ns0:is>
          <ns0:t>51/200类逐类IoU均值</ns0:t>
        </ns0:is>
      </ns0:c>
      <ns0:c r="E9" s="141" t="inlineStr">
        <ns0:is>
          <ns0:t>无同口径</ns0:t>
        </ns0:is>
      </ns0:c>
      <ns0:c r="F9" s="141" t="inlineStr">
        <ns0:is>
          <ns0:t>近似名</ns0:t>
        </ns0:is>
      </ns0:c>
      <ns0:c r="G9" s="141" t="inlineStr">
        <ns0:is>
          <ns0:t>否</ns0:t>
        </ns0:is>
      </ns0:c>
      <ns0:c r="H9" s="141" t="inlineStr">
        <ns0:is>
          <ns0:t>单独实现</ns0:t>
        </ns0:is>
      </ns0:c>
      <ns0:c r="I9" s="141" t="inlineStr"/>
      <ns0:c r="J9" s="141" t="inlineStr"/>
      <ns0:c r="K9" s="141" t="inlineStr"/>
      <ns0:c r="L9" s="141" t="inlineStr">
        <ns0:is>
          <ns0:t>不是F-mIoU</ns0:t>
        </ns0:is>
      </ns0:c>
    </ns0:row>
    <ns0:row r="10" ht="38" customHeight="1" s="2">
      <ns0:c r="A10" s="139" t="inlineStr">
        <ns0:is>
          <ns0:t>开放词汇语义</ns0:t>
        </ns0:is>
      </ns0:c>
      <ns0:c r="B10" s="139" t="inlineStr">
        <ns0:is>
          <ns0:t>mAcc</ns0:t>
        </ns0:is>
      </ns0:c>
      <ns0:c r="C10" s="139" t="inlineStr">
        <ns0:is>
          <ns0:t>↑</ns0:t>
        </ns0:is>
      </ns0:c>
      <ns0:c r="D10" s="139" t="inlineStr">
        <ns0:is>
          <ns0:t>逐类准确率均值</ns0:t>
        </ns0:is>
      </ns0:c>
      <ns0:c r="E10" s="139" t="inlineStr">
        <ns0:is>
          <ns0:t>论文官方指标有</ns0:t>
        </ns0:is>
      </ns0:c>
      <ns0:c r="F10" s="139" t="inlineStr">
        <ns0:is>
          <ns0:t>同名</ns0:t>
        </ns0:is>
      </ns0:c>
      <ns0:c r="G10" s="139" t="inlineStr">
        <ns0:is>
          <ns0:t>否</ns0:t>
        </ns0:is>
      </ns0:c>
      <ns0:c r="H10" s="139" t="inlineStr">
        <ns0:is>
          <ns0:t>统一标签集后比较</ns0:t>
        </ns0:is>
      </ns0:c>
      <ns0:c r="I10" s="139" t="inlineStr"/>
      <ns0:c r="J10" s="139" t="inlineStr"/>
      <ns0:c r="K10" s="139" t="inlineStr"/>
      <ns0:c r="L10" s="139" t="inlineStr">
        <ns0:is>
          <ns0:t>标签本体敏感</ns0:t>
        </ns0:is>
      </ns0:c>
    </ns0:row>
    <ns0:row r="11" ht="38" customHeight="1" s="2">
      <ns0:c r="A11" s="128" t="inlineStr">
        <ns0:is>
          <ns0:t>语义实例</ns0:t>
        </ns0:is>
      </ns0:c>
      <ns0:c r="B11" s="128" t="inlineStr">
        <ns0:is>
          <ns0:t>Sem-AP25/AP50</ns0:t>
        </ns0:is>
      </ns0:c>
      <ns0:c r="C11" s="128" t="inlineStr">
        <ns0:is>
          <ns0:t>↑</ns0:t>
        </ns0:is>
      </ns0:c>
      <ns0:c r="D11" s="128" t="inlineStr">
        <ns0:is>
          <ns0:t>实例IoU且语义类别正确</ns0:t>
        </ns0:is>
      </ns0:c>
      <ns0:c r="E11" s="128" t="inlineStr">
        <ns0:is>
          <ns0:t>无</ns0:t>
        </ns0:is>
      </ns0:c>
      <ns0:c r="F11" s="128" t="inlineStr">
        <ns0:is>
          <ns0:t>新指标</ns0:t>
        </ns0:is>
      </ns0:c>
      <ns0:c r="G11" s="128" t="inlineStr">
        <ns0:is>
          <ns0:t>否</ns0:t>
        </ns0:is>
      </ns0:c>
      <ns0:c r="H11" s="128" t="inlineStr">
        <ns0:is>
          <ns0:t>新增实现</ns0:t>
        </ns0:is>
      </ns0:c>
      <ns0:c r="I11" s="128" t="inlineStr"/>
      <ns0:c r="J11" s="128" t="inlineStr"/>
      <ns0:c r="K11" s="128" t="inlineStr"/>
      <ns0:c r="L11" s="128" t="inlineStr">
        <ns0:is>
          <ns0:t>不能与类别无关AP混用</ns0:t>
        </ns0:is>
      </ns0:c>
    </ns0:row>
    <ns0:row r="12" ht="38" customHeight="1" s="2">
      <ns0:c r="A12" s="130" t="inlineStr">
        <ns0:is>
          <ns0:t>语义实例</ns0:t>
        </ns0:is>
      </ns0:c>
      <ns0:c r="B12" s="130" t="inlineStr">
        <ns0:is>
          <ns0:t>APall</ns0:t>
        </ns0:is>
      </ns0:c>
      <ns0:c r="C12" s="130" t="inlineStr">
        <ns0:is>
          <ns0:t>↑</ns0:t>
        </ns0:is>
      </ns0:c>
      <ns0:c r="D12" s="130" t="inlineStr">
        <ns0:is>
          <ns0:t>OpenMask3D综合AP</ns0:t>
        </ns0:is>
      </ns0:c>
      <ns0:c r="E12" s="130" t="inlineStr">
        <ns0:is>
          <ns0:t>无</ns0:t>
        </ns0:is>
      </ns0:c>
      <ns0:c r="F12" s="130" t="inlineStr">
        <ns0:is>
          <ns0:t>新指标</ns0:t>
        </ns0:is>
      </ns0:c>
      <ns0:c r="G12" s="130" t="inlineStr">
        <ns0:is>
          <ns0:t>否</ns0:t>
        </ns0:is>
      </ns0:c>
      <ns0:c r="H12" s="130" t="inlineStr">
        <ns0:is>
          <ns0:t>新增实现</ns0:t>
        </ns0:is>
      </ns0:c>
      <ns0:c r="I12" s="130" t="inlineStr"/>
      <ns0:c r="J12" s="130" t="inlineStr"/>
      <ns0:c r="K12" s="130" t="inlineStr"/>
      <ns0:c r="L12" s="130" t="inlineStr">
        <ns0:is>
          <ns0:t>需锁定OpenMask3D协议</ns0:t>
        </ns0:is>
      </ns0:c>
    </ns0:row>
    <ns0:row r="13" ht="38" customHeight="1" s="2">
      <ns0:c r="A13" s="128" t="inlineStr">
        <ns0:is>
          <ns0:t>VLM效率</ns0:t>
        </ns0:is>
      </ns0:c>
      <ns0:c r="B13" s="128" t="inlineStr">
        <ns0:is>
          <ns0:t>AQ</ns0:t>
        </ns0:is>
      </ns0:c>
      <ns0:c r="C13" s="128" t="inlineStr">
        <ns0:is>
          <ns0:t>↓</ns0:t>
        </ns0:is>
      </ns0:c>
      <ns0:c r="D13" s="128" t="inlineStr">
        <ns0:is>
          <ns0:t>每实例平均VLM查询数</ns0:t>
        </ns0:is>
      </ns0:c>
      <ns0:c r="E13" s="128" t="inlineStr">
        <ns0:is>
          <ns0:t>无</ns0:t>
        </ns0:is>
      </ns0:c>
      <ns0:c r="F13" s="128" t="inlineStr">
        <ns0:is>
          <ns0:t>新指标</ns0:t>
        </ns0:is>
      </ns0:c>
      <ns0:c r="G13" s="128" t="inlineStr">
        <ns0:is>
          <ns0:t>否</ns0:t>
        </ns0:is>
      </ns0:c>
      <ns0:c r="H13" s="128" t="inlineStr">
        <ns0:is>
          <ns0:t>推荐加入</ns0:t>
        </ns0:is>
      </ns0:c>
      <ns0:c r="I13" s="128" t="inlineStr"/>
      <ns0:c r="J13" s="128" t="inlineStr"/>
      <ns0:c r="K13" s="128" t="inlineStr"/>
      <ns0:c r="L13" s="128" t="inlineStr">
        <ns0:is>
          <ns0:t>需定义一次query</ns0:t>
        </ns0:is>
      </ns0:c>
    </ns0:row>
    <ns0:row r="14" ht="38" customHeight="1" s="2">
      <ns0:c r="A14" s="141" t="inlineStr">
        <ns0:is>
          <ns0:t>在线效率</ns0:t>
        </ns0:is>
      </ns0:c>
      <ns0:c r="B14" s="141" t="inlineStr">
        <ns0:is>
          <ns0:t>Runtime/Frame</ns0:t>
        </ns0:is>
      </ns0:c>
      <ns0:c r="C14" s="141" t="inlineStr">
        <ns0:is>
          <ns0:t>↓</ns0:t>
        </ns0:is>
      </ns0:c>
      <ns0:c r="D14" s="141" t="inlineStr">
        <ns0:is>
          <ns0:t>关键帧模块耗时</ns0:t>
        </ns0:is>
      </ns0:c>
      <ns0:c r="E14" s="141" t="inlineStr">
        <ns0:is>
          <ns0:t>有运行耗时但非同口径</ns0:t>
        </ns0:is>
      </ns0:c>
      <ns0:c r="F14" s="141" t="inlineStr">
        <ns0:is>
          <ns0:t>近似名</ns0:t>
        </ns0:is>
      </ns0:c>
      <ns0:c r="G14" s="141" t="inlineStr">
        <ns0:is>
          <ns0:t>否</ns0:t>
        </ns0:is>
      </ns0:c>
      <ns0:c r="H14" s="141" t="inlineStr">
        <ns0:is>
          <ns0:t>分模块计时</ns0:t>
        </ns0:is>
      </ns0:c>
      <ns0:c r="I14" s="141" t="inlineStr"/>
      <ns0:c r="J14" s="141" t="inlineStr"/>
      <ns0:c r="K14" s="141" t="inlineStr"/>
      <ns0:c r="L14" s="141" t="inlineStr">
        <ns0:is>
          <ns0:t>并行模块不能直接求和</ns0:t>
        </ns0:is>
      </ns0:c>
    </ns0:row>
    <ns0:row r="15"/>
    <ns0:row r="16" ht="24" customHeight="1" s="2">
      <ns0:c r="A16" s="123" t="inlineStr">
        <ns0:is>
          <ns0:t>B. 类别无关实例地图主结果（Table 2）</ns0:t>
        </ns0:is>
      </ns0:c>
      <ns0:c r="B16" s="158" t="n"/>
      <ns0:c r="C16" s="158" t="n"/>
      <ns0:c r="D16" s="158" t="n"/>
      <ns0:c r="E16" s="158" t="n"/>
      <ns0:c r="F16" s="158" t="n"/>
      <ns0:c r="G16" s="158" t="n"/>
      <ns0:c r="H16" s="158" t="n"/>
      <ns0:c r="I16" s="158" t="n"/>
      <ns0:c r="J16" s="158" t="n"/>
      <ns0:c r="K16" s="158" t="n"/>
      <ns0:c r="L16" s="159" t="n"/>
    </ns0:row>
    <ns0:row r="17" ht="32" customHeight="1" s="2">
      <ns0:c r="A17" s="92" t="inlineStr">
        <ns0:is>
          <ns0:t>数据集</ns0:t>
        </ns0:is>
      </ns0:c>
      <ns0:c r="B17" s="92" t="inlineStr">
        <ns0:is>
          <ns0:t>方法</ns0:t>
        </ns0:is>
      </ns0:c>
      <ns0:c r="C17" s="92" t="inlineStr">
        <ns0:is>
          <ns0:t>Online</ns0:t>
        </ns0:is>
      </ns0:c>
      <ns0:c r="D17" s="92" t="inlineStr">
        <ns0:is>
          <ns0:t>Instance mIoU</ns0:t>
        </ns0:is>
      </ns0:c>
      <ns0:c r="E17" s="92" t="inlineStr">
        <ns0:is>
          <ns0:t>AP75</ns0:t>
        </ns0:is>
      </ns0:c>
      <ns0:c r="F17" s="92" t="inlineStr">
        <ns0:is>
          <ns0:t>AP50</ns0:t>
        </ns0:is>
      </ns0:c>
      <ns0:c r="G17" s="92" t="inlineStr">
        <ns0:is>
          <ns0:t>AP25</ns0:t>
        </ns0:is>
      </ns0:c>
      <ns0:c r="H17" s="92" t="inlineStr">
        <ns0:is>
          <ns0:t>场景数</ns0:t>
        </ns0:is>
      </ns0:c>
      <ns0:c r="I17" s="92" t="inlineStr">
        <ns0:is>
          <ns0:t>每序列帧数</ns0:t>
        </ns0:is>
      </ns0:c>
      <ns0:c r="J17" s="92" t="inlineStr">
        <ns0:is>
          <ns0:t>体素</ns0:t>
        </ns0:is>
      </ns0:c>
      <ns0:c r="K17" s="92" t="inlineStr">
        <ns0:is>
          <ns0:t>来源</ns0:t>
        </ns0:is>
      </ns0:c>
      <ns0:c r="L17" s="92" t="inlineStr">
        <ns0:is>
          <ns0:t>说明</ns0:t>
        </ns0:is>
      </ns0:c>
    </ns0:row>
    <ns0:row r="18">
      <ns0:c r="A18" s="141" t="inlineStr">
        <ns0:is>
          <ns0:t>Replica</ns0:t>
        </ns0:is>
      </ns0:c>
      <ns0:c r="B18" s="141" t="inlineStr">
        <ns0:is>
          <ns0:t>OVI-MAP</ns0:t>
        </ns0:is>
      </ns0:c>
      <ns0:c r="C18" s="141" t="inlineStr">
        <ns0:is>
          <ns0:t>是</ns0:t>
        </ns0:is>
      </ns0:c>
      <ns0:c r="D18" s="155" t="n">
        <ns0:v>0.363</ns0:v>
      </ns0:c>
      <ns0:c r="E18" s="155" t="n">
        <ns0:v>0.22</ns0:v>
      </ns0:c>
      <ns0:c r="F18" s="155" t="n">
        <ns0:v>0.508</ns0:v>
      </ns0:c>
      <ns0:c r="G18" s="155" t="n">
        <ns0:v>0.767</ns0:v>
      </ns0:c>
      <ns0:c r="H18" s="162" t="n">
        <ns0:v>8</ns0:v>
      </ns0:c>
      <ns0:c r="I18" s="162" t="n">
        <ns0:v>200</ns0:v>
      </ns0:c>
      <ns0:c r="J18" s="141" t="inlineStr">
        <ns0:is>
          <ns0:t>0.1m TSDF</ns0:t>
        </ns0:is>
      </ns0:c>
      <ns0:c r="K18" s="161" t="inlineStr">
        <ns0:is>
          <ns0:t>Table 2</ns0:t>
        </ns0:is>
      </ns0:c>
      <ns0:c r="L18" s="141" t="inlineStr">
        <ns0:is>
          <ns0:t>经固定距离kNN映射到GT mesh后逐顶点评测</ns0:t>
        </ns0:is>
      </ns0:c>
    </ns0:row>
    <ns0:row r="19">
      <ns0:c r="A19" s="128" t="inlineStr">
        <ns0:is>
          <ns0:t>ScanNet</ns0:t>
        </ns0:is>
      </ns0:c>
      <ns0:c r="B19" s="128" t="inlineStr">
        <ns0:is>
          <ns0:t>OVI-MAP</ns0:t>
        </ns0:is>
      </ns0:c>
      <ns0:c r="C19" s="128" t="inlineStr">
        <ns0:is>
          <ns0:t>是</ns0:t>
        </ns0:is>
      </ns0:c>
      <ns0:c r="D19" s="99" t="n">
        <ns0:v>0.412</ns0:v>
      </ns0:c>
      <ns0:c r="E19" s="99" t="n">
        <ns0:v>0.098</ns0:v>
      </ns0:c>
      <ns0:c r="F19" s="99" t="n">
        <ns0:v>0.24</ns0:v>
      </ns0:c>
      <ns0:c r="G19" s="99" t="n">
        <ns0:v>0.374</ns0:v>
      </ns0:c>
      <ns0:c r="H19" s="105" t="n">
        <ns0:v>18</ns0:v>
      </ns0:c>
      <ns0:c r="I19" s="105" t="n">
        <ns0:v>200</ns0:v>
      </ns0:c>
      <ns0:c r="J19" s="128" t="inlineStr">
        <ns0:is>
          <ns0:t>0.1m TSDF</ns0:t>
        </ns0:is>
      </ns0:c>
      <ns0:c r="K19" s="163" t="inlineStr">
        <ns0:is>
          <ns0:t>Table 2</ns0:t>
        </ns0:is>
      </ns0:c>
      <ns0:c r="L19" s="128" t="inlineStr">
        <ns0:is>
          <ns0:t>经固定距离kNN映射到GT mesh后逐顶点评测</ns0:t>
        </ns0:is>
      </ns0:c>
    </ns0:row>
    <ns0:row r="20"/>
    <ns0:row r="21" ht="24" customHeight="1" s="2">
      <ns0:c r="A21" s="123" t="inlineStr">
        <ns0:is>
          <ns0:t>C. 开放词汇语义实例地图主结果（Table 3）</ns0:t>
        </ns0:is>
      </ns0:c>
      <ns0:c r="B21" s="158" t="n"/>
      <ns0:c r="C21" s="158" t="n"/>
      <ns0:c r="D21" s="158" t="n"/>
      <ns0:c r="E21" s="158" t="n"/>
      <ns0:c r="F21" s="158" t="n"/>
      <ns0:c r="G21" s="158" t="n"/>
      <ns0:c r="H21" s="158" t="n"/>
      <ns0:c r="I21" s="158" t="n"/>
      <ns0:c r="J21" s="158" t="n"/>
      <ns0:c r="K21" s="158" t="n"/>
      <ns0:c r="L21" s="159" t="n"/>
    </ns0:row>
    <ns0:row r="22" ht="32" customHeight="1" s="2">
      <ns0:c r="A22" s="92" t="inlineStr">
        <ns0:is>
          <ns0:t>数据集</ns0:t>
        </ns0:is>
      </ns0:c>
      <ns0:c r="B22" s="92" t="inlineStr">
        <ns0:is>
          <ns0:t>设置</ns0:t>
        </ns0:is>
      </ns0:c>
      <ns0:c r="C22" s="92" t="inlineStr">
        <ns0:is>
          <ns0:t>Semantic mIoU</ns0:t>
        </ns0:is>
      </ns0:c>
      <ns0:c r="D22" s="92" t="inlineStr">
        <ns0:is>
          <ns0:t>mAcc</ns0:t>
        </ns0:is>
      </ns0:c>
      <ns0:c r="E22" s="92" t="inlineStr">
        <ns0:is>
          <ns0:t>Sem-AP25</ns0:t>
        </ns0:is>
      </ns0:c>
      <ns0:c r="F22" s="92" t="inlineStr">
        <ns0:is>
          <ns0:t>Sem-AP50</ns0:t>
        </ns0:is>
      </ns0:c>
      <ns0:c r="G22" s="92" t="inlineStr">
        <ns0:is>
          <ns0:t>APall</ns0:t>
        </ns0:is>
      </ns0:c>
      <ns0:c r="H22" s="92" t="inlineStr">
        <ns0:is>
          <ns0:t>Online</ns0:t>
        </ns0:is>
      </ns0:c>
      <ns0:c r="I22" s="92" t="inlineStr">
        <ns0:is>
          <ns0:t>标签集</ns0:t>
        </ns0:is>
      </ns0:c>
      <ns0:c r="J22" s="92" t="inlineStr">
        <ns0:is>
          <ns0:t>语义步长</ns0:t>
        </ns0:is>
      </ns0:c>
      <ns0:c r="K22" s="92" t="inlineStr">
        <ns0:is>
          <ns0:t>来源</ns0:t>
        </ns0:is>
      </ns0:c>
      <ns0:c r="L22" s="92" t="inlineStr">
        <ns0:is>
          <ns0:t>说明</ns0:t>
        </ns0:is>
      </ns0:c>
    </ns0:row>
    <ns0:row r="23">
      <ns0:c r="A23" s="141" t="inlineStr">
        <ns0:is>
          <ns0:t>Replica</ns0:t>
        </ns0:is>
      </ns0:c>
      <ns0:c r="B23" s="141" t="inlineStr">
        <ns0:is>
          <ns0:t>完整处理</ns0:t>
        </ns0:is>
      </ns0:c>
      <ns0:c r="C23" s="155" t="n">
        <ns0:v>0.265</ns0:v>
      </ns0:c>
      <ns0:c r="D23" s="155" t="n">
        <ns0:v>0.322</ns0:v>
      </ns0:c>
      <ns0:c r="E23" s="155" t="n">
        <ns0:v>0.345</ns0:v>
      </ns0:c>
      <ns0:c r="F23" s="155" t="n">
        <ns0:v>0.212</ns0:v>
      </ns0:c>
      <ns0:c r="G23" s="155" t="n">
        <ns0:v>0.08500000000000001</ns0:v>
      </ns0:c>
      <ns0:c r="H23" s="141" t="inlineStr">
        <ns0:is>
          <ns0:t>是</ns0:t>
        </ns0:is>
      </ns0:c>
      <ns0:c r="I23" s="141" t="inlineStr">
        <ns0:is>
          <ns0:t>Replica 51</ns0:t>
        </ns0:is>
      </ns0:c>
      <ns0:c r="J23" s="141" t="inlineStr">
        <ns0:is>
          <ns0:t>完整处理</ns0:t>
        </ns0:is>
      </ns0:c>
      <ns0:c r="K23" s="161" t="inlineStr">
        <ns0:is>
          <ns0:t>Table 3</ns0:t>
        </ns0:is>
      </ns0:c>
      <ns0:c r="L23" s="141" t="inlineStr">
        <ns0:is>
          <ns0:t>AP同时要求实例范围与语义类别正确</ns0:t>
        </ns0:is>
      </ns0:c>
    </ns0:row>
    <ns0:row r="24">
      <ns0:c r="A24" s="130" t="inlineStr">
        <ns0:is>
          <ns0:t>Replica</ns0:t>
        </ns0:is>
      </ns0:c>
      <ns0:c r="B24" s="130" t="inlineStr">
        <ns0:is>
          <ns0:t>30 FPS</ns0:t>
        </ns0:is>
      </ns0:c>
      <ns0:c r="C24" s="98" t="n">
        <ns0:v>0.27</ns0:v>
      </ns0:c>
      <ns0:c r="D24" s="98" t="n">
        <ns0:v>0.325</ns0:v>
      </ns0:c>
      <ns0:c r="E24" s="98" t="n">
        <ns0:v>0.318</ns0:v>
      </ns0:c>
      <ns0:c r="F24" s="98" t="n">
        <ns0:v>0.177</ns0:v>
      </ns0:c>
      <ns0:c r="G24" s="98" t="n">
        <ns0:v>0.08</ns0:v>
      </ns0:c>
      <ns0:c r="H24" s="130" t="inlineStr">
        <ns0:is>
          <ns0:t>是</ns0:t>
        </ns0:is>
      </ns0:c>
      <ns0:c r="I24" s="130" t="inlineStr">
        <ns0:is>
          <ns0:t>Replica 51</ns0:t>
        </ns0:is>
      </ns0:c>
      <ns0:c r="J24" s="130" t="inlineStr">
        <ns0:is>
          <ns0:t>每10帧</ns0:t>
        </ns0:is>
      </ns0:c>
      <ns0:c r="K24" s="157" t="inlineStr">
        <ns0:is>
          <ns0:t>Table 3</ns0:t>
        </ns0:is>
      </ns0:c>
      <ns0:c r="L24" s="130" t="inlineStr">
        <ns0:is>
          <ns0:t>AP同时要求实例范围与语义类别正确</ns0:t>
        </ns0:is>
      </ns0:c>
    </ns0:row>
    <ns0:row r="25">
      <ns0:c r="A25" s="128" t="inlineStr">
        <ns0:is>
          <ns0:t>ScanNet</ns0:t>
        </ns0:is>
      </ns0:c>
      <ns0:c r="B25" s="128" t="inlineStr">
        <ns0:is>
          <ns0:t>完整处理</ns0:t>
        </ns0:is>
      </ns0:c>
      <ns0:c r="C25" s="99" t="n">
        <ns0:v>0.175</ns0:v>
      </ns0:c>
      <ns0:c r="D25" s="99" t="n">
        <ns0:v>0.276</ns0:v>
      </ns0:c>
      <ns0:c r="E25" s="99" t="n">
        <ns0:v>0.234</ns0:v>
      </ns0:c>
      <ns0:c r="F25" s="99" t="n">
        <ns0:v>0.157</ns0:v>
      </ns0:c>
      <ns0:c r="G25" s="99" t="n">
        <ns0:v>0.07199999999999999</ns0:v>
      </ns0:c>
      <ns0:c r="H25" s="128" t="inlineStr">
        <ns0:is>
          <ns0:t>是</ns0:t>
        </ns0:is>
      </ns0:c>
      <ns0:c r="I25" s="128" t="inlineStr">
        <ns0:is>
          <ns0:t>ScanNet200</ns0:t>
        </ns0:is>
      </ns0:c>
      <ns0:c r="J25" s="128" t="inlineStr">
        <ns0:is>
          <ns0:t>完整处理</ns0:t>
        </ns0:is>
      </ns0:c>
      <ns0:c r="K25" s="163" t="inlineStr">
        <ns0:is>
          <ns0:t>Table 3</ns0:t>
        </ns0:is>
      </ns0:c>
      <ns0:c r="L25" s="128" t="inlineStr">
        <ns0:is>
          <ns0:t>AP同时要求实例范围与语义类别正确</ns0:t>
        </ns0:is>
      </ns0:c>
    </ns0:row>
    <ns0:row r="26">
      <ns0:c r="A26" s="130" t="inlineStr">
        <ns0:is>
          <ns0:t>ScanNet</ns0:t>
        </ns0:is>
      </ns0:c>
      <ns0:c r="B26" s="130" t="inlineStr">
        <ns0:is>
          <ns0:t>30 FPS</ns0:t>
        </ns0:is>
      </ns0:c>
      <ns0:c r="C26" s="98" t="n">
        <ns0:v>0.163</ns0:v>
      </ns0:c>
      <ns0:c r="D26" s="98" t="n">
        <ns0:v>0.254</ns0:v>
      </ns0:c>
      <ns0:c r="E26" s="98" t="n">
        <ns0:v>0.211</ns0:v>
      </ns0:c>
      <ns0:c r="F26" s="98" t="n">
        <ns0:v>0.144</ns0:v>
      </ns0:c>
      <ns0:c r="G26" s="98" t="n">
        <ns0:v>0.07000000000000001</ns0:v>
      </ns0:c>
      <ns0:c r="H26" s="130" t="inlineStr">
        <ns0:is>
          <ns0:t>是</ns0:t>
        </ns0:is>
      </ns0:c>
      <ns0:c r="I26" s="130" t="inlineStr">
        <ns0:is>
          <ns0:t>ScanNet200</ns0:t>
        </ns0:is>
      </ns0:c>
      <ns0:c r="J26" s="130" t="inlineStr">
        <ns0:is>
          <ns0:t>每10帧</ns0:t>
        </ns0:is>
      </ns0:c>
      <ns0:c r="K26" s="157" t="inlineStr">
        <ns0:is>
          <ns0:t>Table 3</ns0:t>
        </ns0:is>
      </ns0:c>
      <ns0:c r="L26" s="130" t="inlineStr">
        <ns0:is>
          <ns0:t>AP同时要求实例范围与语义类别正确</ns0:t>
        </ns0:is>
      </ns0:c>
    </ns0:row>
    <ns0:row r="27"/>
    <ns0:row r="28" ht="24" customHeight="1" s="2">
      <ns0:c r="A28" s="123" t="inlineStr">
        <ns0:is>
          <ns0:t>D. View Coverage 与查询效率（Table 4）</ns0:t>
        </ns0:is>
      </ns0:c>
      <ns0:c r="B28" s="158" t="n"/>
      <ns0:c r="C28" s="158" t="n"/>
      <ns0:c r="D28" s="158" t="n"/>
      <ns0:c r="E28" s="158" t="n"/>
      <ns0:c r="F28" s="158" t="n"/>
      <ns0:c r="G28" s="158" t="n"/>
      <ns0:c r="H28" s="158" t="n"/>
      <ns0:c r="I28" s="158" t="n"/>
      <ns0:c r="J28" s="158" t="n"/>
      <ns0:c r="K28" s="158" t="n"/>
      <ns0:c r="L28" s="159" t="n"/>
    </ns0:row>
    <ns0:row r="29" ht="32" customHeight="1" s="2">
      <ns0:c r="A29" s="92" t="inlineStr">
        <ns0:is>
          <ns0:t>数据集</ns0:t>
        </ns0:is>
      </ns0:c>
      <ns0:c r="B29" s="92" t="inlineStr">
        <ns0:is>
          <ns0:t>配置</ns0:t>
        </ns0:is>
      </ns0:c>
      <ns0:c r="C29" s="92" t="inlineStr">
        <ns0:is>
          <ns0:t>mIoU</ns0:t>
        </ns0:is>
      </ns0:c>
      <ns0:c r="D29" s="92" t="inlineStr">
        <ns0:is>
          <ns0:t>mAcc</ns0:t>
        </ns0:is>
      </ns0:c>
      <ns0:c r="E29" s="92" t="inlineStr">
        <ns0:is>
          <ns0:t>Sem-AP25</ns0:t>
        </ns0:is>
      </ns0:c>
      <ns0:c r="F29" s="92" t="inlineStr">
        <ns0:is>
          <ns0:t>Sem-AP50</ns0:t>
        </ns0:is>
      </ns0:c>
      <ns0:c r="G29" s="92" t="inlineStr">
        <ns0:is>
          <ns0:t>AQ↓</ns0:t>
        </ns0:is>
      </ns0:c>
      <ns0:c r="H29" s="92" t="inlineStr"/>
      <ns0:c r="I29" s="92" t="inlineStr"/>
      <ns0:c r="J29" s="92" t="inlineStr"/>
      <ns0:c r="K29" s="92" t="inlineStr">
        <ns0:is>
          <ns0:t>来源</ns0:t>
        </ns0:is>
      </ns0:c>
      <ns0:c r="L29" s="92" t="inlineStr">
        <ns0:is>
          <ns0:t>解释</ns0:t>
        </ns0:is>
      </ns0:c>
    </ns0:row>
    <ns0:row r="30">
      <ns0:c r="A30" s="130" t="inlineStr">
        <ns0:is>
          <ns0:t>Replica</ns0:t>
        </ns0:is>
      </ns0:c>
      <ns0:c r="B30" s="130" t="inlineStr">
        <ns0:is>
          <ns0:t>View Coverage (Ours)</ns0:t>
        </ns0:is>
      </ns0:c>
      <ns0:c r="C30" s="98" t="n">
        <ns0:v>0.265</ns0:v>
      </ns0:c>
      <ns0:c r="D30" s="98" t="n">
        <ns0:v>0.322</ns0:v>
      </ns0:c>
      <ns0:c r="E30" s="98" t="n">
        <ns0:v>0.345</ns0:v>
      </ns0:c>
      <ns0:c r="F30" s="98" t="n">
        <ns0:v>0.212</ns0:v>
      </ns0:c>
      <ns0:c r="G30" s="111" t="n">
        <ns0:v>8.6</ns0:v>
      </ns0:c>
      <ns0:c r="H30" s="130" t="inlineStr"/>
      <ns0:c r="I30" s="130" t="inlineStr"/>
      <ns0:c r="J30" s="130" t="inlineStr"/>
      <ns0:c r="K30" s="157" t="inlineStr">
        <ns0:is>
          <ns0:t>Table 4</ns0:t>
        </ns0:is>
      </ns0:c>
      <ns0:c r="L30" s="130" t="inlineStr">
        <ns0:is>
          <ns0:t>AQ为每实例平均VLM查询数</ns0:t>
        </ns0:is>
      </ns0:c>
    </ns0:row>
    <ns0:row r="31">
      <ns0:c r="A31" s="128" t="inlineStr">
        <ns0:is>
          <ns0:t>ScanNet</ns0:t>
        </ns0:is>
      </ns0:c>
      <ns0:c r="B31" s="128" t="inlineStr">
        <ns0:is>
          <ns0:t>View Coverage (Ours)</ns0:t>
        </ns0:is>
      </ns0:c>
      <ns0:c r="C31" s="99" t="n">
        <ns0:v>0.175</ns0:v>
      </ns0:c>
      <ns0:c r="D31" s="99" t="n">
        <ns0:v>0.272</ns0:v>
      </ns0:c>
      <ns0:c r="E31" s="99" t="n">
        <ns0:v>0.234</ns0:v>
      </ns0:c>
      <ns0:c r="F31" s="99" t="n">
        <ns0:v>0.157</ns0:v>
      </ns0:c>
      <ns0:c r="G31" s="112" t="n">
        <ns0:v>7.6</ns0:v>
      </ns0:c>
      <ns0:c r="H31" s="128" t="inlineStr"/>
      <ns0:c r="I31" s="128" t="inlineStr"/>
      <ns0:c r="J31" s="128" t="inlineStr"/>
      <ns0:c r="K31" s="163" t="inlineStr">
        <ns0:is>
          <ns0:t>Table 4</ns0:t>
        </ns0:is>
      </ns0:c>
      <ns0:c r="L31" s="128" t="inlineStr">
        <ns0:is>
          <ns0:t>AQ为每实例平均VLM查询数</ns0:t>
        </ns0:is>
      </ns0:c>
    </ns0:row>
    <ns0:row r="32" ht="40" customHeight="1" s="2">
      <ns0:c r="A32" s="124" t="inlineStr">
        <ns0:is>
          <ns0:t>论文结论</ns0:t>
        </ns0:is>
      </ns0:c>
      <ns0:c r="B32" s="124" t="inlineStr"/>
      <ns0:c r="C32" s="124" t="n"/>
      <ns0:c r="D32" s="124" t="n"/>
      <ns0:c r="E32" s="124" t="n"/>
      <ns0:c r="F32" s="124" t="n"/>
      <ns0:c r="G32" s="124" t="n"/>
      <ns0:c r="H32" s="124" t="inlineStr"/>
      <ns0:c r="I32" s="124" t="inlineStr"/>
      <ns0:c r="J32" s="124" t="inlineStr"/>
      <ns0:c r="K32" s="124" t="inlineStr"/>
      <ns0:c r="L32" s="124" t="inlineStr">
        <ns0:is>
          <ns0:t>与Pixel Counting相比，准确率相近，平均VLM查询约减少47%；不能从主结果反推本地API调用量。</ns0:t>
        </ns0:is>
      </ns0:c>
    </ns0:row>
    <ns0:row r="33"/>
    <ns0:row r="34" ht="24" customHeight="1" s="2">
      <ns0:c r="A34" s="123" t="inlineStr">
        <ns0:is>
          <ns0:t>E. 2D实例分割质量消融（Table 5，Replica）</ns0:t>
        </ns0:is>
      </ns0:c>
      <ns0:c r="B34" s="158" t="n"/>
      <ns0:c r="C34" s="158" t="n"/>
      <ns0:c r="D34" s="158" t="n"/>
      <ns0:c r="E34" s="158" t="n"/>
      <ns0:c r="F34" s="158" t="n"/>
      <ns0:c r="G34" s="158" t="n"/>
      <ns0:c r="H34" s="158" t="n"/>
      <ns0:c r="I34" s="158" t="n"/>
      <ns0:c r="J34" s="158" t="n"/>
      <ns0:c r="K34" s="158" t="n"/>
      <ns0:c r="L34" s="159" t="n"/>
    </ns0:row>
    <ns0:row r="35" ht="32" customHeight="1" s="2">
      <ns0:c r="A35" s="92" t="inlineStr">
        <ns0:is>
          <ns0:t>2D配置</ns0:t>
        </ns0:is>
      </ns0:c>
      <ns0:c r="B35" s="92" t="inlineStr">
        <ns0:is>
          <ns0:t>Inst mIoU</ns0:t>
        </ns0:is>
      </ns0:c>
      <ns0:c r="C35" s="92" t="inlineStr">
        <ns0:is>
          <ns0:t>Inst AP75</ns0:t>
        </ns0:is>
      </ns0:c>
      <ns0:c r="D35" s="92" t="inlineStr">
        <ns0:is>
          <ns0:t>Inst AP50</ns0:t>
        </ns0:is>
      </ns0:c>
      <ns0:c r="E35" s="92" t="inlineStr">
        <ns0:is>
          <ns0:t>Sem mIoU</ns0:t>
        </ns0:is>
      </ns0:c>
      <ns0:c r="F35" s="92" t="inlineStr">
        <ns0:is>
          <ns0:t>mAcc</ns0:t>
        </ns0:is>
      </ns0:c>
      <ns0:c r="G35" s="92" t="inlineStr">
        <ns0:is>
          <ns0:t>Sem AP25</ns0:t>
        </ns0:is>
      </ns0:c>
      <ns0:c r="H35" s="92" t="inlineStr">
        <ns0:is>
          <ns0:t>Sem AP50</ns0:t>
        </ns0:is>
      </ns0:c>
      <ns0:c r="I35" s="92" t="inlineStr"/>
      <ns0:c r="J35" s="92" t="inlineStr"/>
      <ns0:c r="K35" s="92" t="inlineStr">
        <ns0:is>
          <ns0:t>来源</ns0:t>
        </ns0:is>
      </ns0:c>
      <ns0:c r="L35" s="92" t="inlineStr">
        <ns0:is>
          <ns0:t>解释</ns0:t>
        </ns0:is>
      </ns0:c>
    </ns0:row>
    <ns0:row r="36">
      <ns0:c r="A36" s="130" t="inlineStr">
        <ns0:is>
          <ns0:t>SAM2</ns0:t>
        </ns0:is>
      </ns0:c>
      <ns0:c r="B36" s="98" t="n">
        <ns0:v>0.366</ns0:v>
      </ns0:c>
      <ns0:c r="C36" s="98" t="n">
        <ns0:v>0.142</ns0:v>
      </ns0:c>
      <ns0:c r="D36" s="98" t="n">
        <ns0:v>0.278</ns0:v>
      </ns0:c>
      <ns0:c r="E36" s="98" t="n">
        <ns0:v>0.202</ns0:v>
      </ns0:c>
      <ns0:c r="F36" s="98" t="n">
        <ns0:v>0.264</ns0:v>
      </ns0:c>
      <ns0:c r="G36" s="98" t="n">
        <ns0:v>0.262</ns0:v>
      </ns0:c>
      <ns0:c r="H36" s="98" t="n">
        <ns0:v>0.186</ns0:v>
      </ns0:c>
      <ns0:c r="I36" s="130" t="inlineStr"/>
      <ns0:c r="J36" s="130" t="inlineStr"/>
      <ns0:c r="K36" s="157" t="inlineStr">
        <ns0:is>
          <ns0:t>Table 5</ns0:t>
        </ns0:is>
      </ns0:c>
      <ns0:c r="L36" s="130" t="inlineStr"/>
    </ns0:row>
    <ns0:row r="37">
      <ns0:c r="A37" s="139" t="inlineStr">
        <ns0:is>
          <ns0:t>CropFormer (Ours)</ns0:t>
        </ns0:is>
      </ns0:c>
      <ns0:c r="B37" s="164" t="n">
        <ns0:v>0.363</ns0:v>
      </ns0:c>
      <ns0:c r="C37" s="164" t="n">
        <ns0:v>0.22</ns0:v>
      </ns0:c>
      <ns0:c r="D37" s="164" t="n">
        <ns0:v>0.508</ns0:v>
      </ns0:c>
      <ns0:c r="E37" s="164" t="n">
        <ns0:v>0.269</ns0:v>
      </ns0:c>
      <ns0:c r="F37" s="164" t="n">
        <ns0:v>0.332</ns0:v>
      </ns0:c>
      <ns0:c r="G37" s="164" t="n">
        <ns0:v>0.364</ns0:v>
      </ns0:c>
      <ns0:c r="H37" s="164" t="n">
        <ns0:v>0.22</ns0:v>
      </ns0:c>
      <ns0:c r="I37" s="139" t="inlineStr"/>
      <ns0:c r="J37" s="139" t="inlineStr"/>
      <ns0:c r="K37" s="165" t="inlineStr">
        <ns0:is>
          <ns0:t>Table 5</ns0:t>
        </ns0:is>
      </ns0:c>
      <ns0:c r="L37" s="139" t="inlineStr"/>
    </ns0:row>
    <ns0:row r="38">
      <ns0:c r="A38" s="141" t="inlineStr">
        <ns0:is>
          <ns0:t>GT 2D Inst. Seg.</ns0:t>
        </ns0:is>
      </ns0:c>
      <ns0:c r="B38" s="155" t="n">
        <ns0:v>0.539</ns0:v>
      </ns0:c>
      <ns0:c r="C38" s="155" t="n">
        <ns0:v>0.388</ns0:v>
      </ns0:c>
      <ns0:c r="D38" s="155" t="n">
        <ns0:v>0.657</ns0:v>
      </ns0:c>
      <ns0:c r="E38" s="155" t="n">
        <ns0:v>0.266</ns0:v>
      </ns0:c>
      <ns0:c r="F38" s="155" t="n">
        <ns0:v>0.338</ns0:v>
      </ns0:c>
      <ns0:c r="G38" s="155" t="n">
        <ns0:v>0.361</ns0:v>
      </ns0:c>
      <ns0:c r="H38" s="155" t="n">
        <ns0:v>0.273</ns0:v>
      </ns0:c>
      <ns0:c r="I38" s="141" t="inlineStr"/>
      <ns0:c r="J38" s="141" t="inlineStr"/>
      <ns0:c r="K38" s="161" t="inlineStr">
        <ns0:is>
          <ns0:t>Table 5</ns0:t>
        </ns0:is>
      </ns0:c>
      <ns0:c r="L38" s="141" t="inlineStr">
        <ns0:is>
          <ns0:t>GT项是Oracle上限</ns0:t>
        </ns0:is>
      </ns0:c>
    </ns0:row>
    <ns0:row r="39">
      <ns0:c r="A39" s="141" t="inlineStr">
        <ns0:is>
          <ns0:t>GT Instances Map</ns0:t>
        </ns0:is>
      </ns0:c>
      <ns0:c r="B39" s="155" t="n">
        <ns0:v>1</ns0:v>
      </ns0:c>
      <ns0:c r="C39" s="155" t="n">
        <ns0:v>1</ns0:v>
      </ns0:c>
      <ns0:c r="D39" s="155" t="n">
        <ns0:v>1</ns0:v>
      </ns0:c>
      <ns0:c r="E39" s="155" t="n">
        <ns0:v>0.38</ns0:v>
      </ns0:c>
      <ns0:c r="F39" s="155" t="n">
        <ns0:v>0.503</ns0:v>
      </ns0:c>
      <ns0:c r="G39" s="155" t="n">
        <ns0:v>0.376</ns0:v>
      </ns0:c>
      <ns0:c r="H39" s="155" t="n">
        <ns0:v>0.376</ns0:v>
      </ns0:c>
      <ns0:c r="I39" s="141" t="inlineStr"/>
      <ns0:c r="J39" s="141" t="inlineStr"/>
      <ns0:c r="K39" s="161" t="inlineStr">
        <ns0:is>
          <ns0:t>Table 5</ns0:t>
        </ns0:is>
      </ns0:c>
      <ns0:c r="L39" s="141" t="inlineStr">
        <ns0:is>
          <ns0:t>GT项是Oracle上限</ns0:t>
        </ns0:is>
      </ns0:c>
    </ns0:row>
    <ns0:row r="40"/>
    <ns0:row r="41" ht="24" customHeight="1" s="2">
      <ns0:c r="A41" s="123" t="inlineStr">
        <ns0:is>
          <ns0:t>F. 语义特征融合消融（Table 6，Replica）</ns0:t>
        </ns0:is>
      </ns0:c>
      <ns0:c r="B41" s="158" t="n"/>
      <ns0:c r="C41" s="158" t="n"/>
      <ns0:c r="D41" s="158" t="n"/>
      <ns0:c r="E41" s="158" t="n"/>
      <ns0:c r="F41" s="158" t="n"/>
      <ns0:c r="G41" s="158" t="n"/>
      <ns0:c r="H41" s="158" t="n"/>
      <ns0:c r="I41" s="158" t="n"/>
      <ns0:c r="J41" s="158" t="n"/>
      <ns0:c r="K41" s="158" t="n"/>
      <ns0:c r="L41" s="159" t="n"/>
    </ns0:row>
    <ns0:row r="42" ht="32" customHeight="1" s="2">
      <ns0:c r="A42" s="92" t="inlineStr">
        <ns0:is>
          <ns0:t>融合方式</ns0:t>
        </ns0:is>
      </ns0:c>
      <ns0:c r="B42" s="92" t="inlineStr">
        <ns0:is>
          <ns0:t>mIoU</ns0:t>
        </ns0:is>
      </ns0:c>
      <ns0:c r="C42" s="92" t="inlineStr">
        <ns0:is>
          <ns0:t>mAcc</ns0:t>
        </ns0:is>
      </ns0:c>
      <ns0:c r="D42" s="92" t="inlineStr">
        <ns0:is>
          <ns0:t>Sem AP25</ns0:t>
        </ns0:is>
      </ns0:c>
      <ns0:c r="E42" s="92" t="inlineStr">
        <ns0:is>
          <ns0:t>Sem AP50</ns0:t>
        </ns0:is>
      </ns0:c>
      <ns0:c r="F42" s="92" t="inlineStr">
        <ns0:is>
          <ns0:t>APall</ns0:t>
        </ns0:is>
      </ns0:c>
      <ns0:c r="G42" s="92" t="inlineStr"/>
      <ns0:c r="H42" s="92" t="inlineStr"/>
      <ns0:c r="I42" s="92" t="inlineStr"/>
      <ns0:c r="J42" s="92" t="inlineStr"/>
      <ns0:c r="K42" s="92" t="inlineStr">
        <ns0:is>
          <ns0:t>来源</ns0:t>
        </ns0:is>
      </ns0:c>
      <ns0:c r="L42" s="92" t="inlineStr">
        <ns0:is>
          <ns0:t>说明</ns0:t>
        </ns0:is>
      </ns0:c>
    </ns0:row>
    <ns0:row r="43">
      <ns0:c r="A43" s="128" t="inlineStr">
        <ns0:is>
          <ns0:t>Averaging</ns0:t>
        </ns0:is>
      </ns0:c>
      <ns0:c r="B43" s="99" t="n">
        <ns0:v>0.265</ns0:v>
      </ns0:c>
      <ns0:c r="C43" s="99" t="n">
        <ns0:v>0.318</ns0:v>
      </ns0:c>
      <ns0:c r="D43" s="99" t="n">
        <ns0:v>0.332</ns0:v>
      </ns0:c>
      <ns0:c r="E43" s="99" t="n">
        <ns0:v>0.198</ns0:v>
      </ns0:c>
      <ns0:c r="F43" s="99" t="n">
        <ns0:v>0.083</ns0:v>
      </ns0:c>
      <ns0:c r="G43" s="128" t="inlineStr"/>
      <ns0:c r="H43" s="128" t="inlineStr"/>
      <ns0:c r="I43" s="128" t="inlineStr"/>
      <ns0:c r="J43" s="128" t="inlineStr"/>
      <ns0:c r="K43" s="163" t="inlineStr">
        <ns0:is>
          <ns0:t>Table 6</ns0:t>
        </ns0:is>
      </ns0:c>
      <ns0:c r="L43" s="128" t="inlineStr"/>
    </ns0:row>
    <ns0:row r="44">
      <ns0:c r="A44" s="139" t="inlineStr">
        <ns0:is>
          <ns0:t>Weighted by Pixel Count (Ours)</ns0:t>
        </ns0:is>
      </ns0:c>
      <ns0:c r="B44" s="164" t="n">
        <ns0:v>0.269</ns0:v>
      </ns0:c>
      <ns0:c r="C44" s="164" t="n">
        <ns0:v>0.332</ns0:v>
      </ns0:c>
      <ns0:c r="D44" s="164" t="n">
        <ns0:v>0.364</ns0:v>
      </ns0:c>
      <ns0:c r="E44" s="164" t="n">
        <ns0:v>0.22</ns0:v>
      </ns0:c>
      <ns0:c r="F44" s="164" t="n">
        <ns0:v>0.08599999999999999</ns0:v>
      </ns0:c>
      <ns0:c r="G44" s="139" t="inlineStr"/>
      <ns0:c r="H44" s="139" t="inlineStr"/>
      <ns0:c r="I44" s="139" t="inlineStr"/>
      <ns0:c r="J44" s="139" t="inlineStr"/>
      <ns0:c r="K44" s="165" t="inlineStr">
        <ns0:is>
          <ns0:t>Table 6</ns0:t>
        </ns0:is>
      </ns0:c>
      <ns0:c r="L44" s="139" t="inlineStr"/>
    </ns0:row>
    <ns0:row r="45">
      <ns0:c r="A45" s="128" t="inlineStr">
        <ns0:is>
          <ns0:t>Cluster - Max Cosine</ns0:t>
        </ns0:is>
      </ns0:c>
      <ns0:c r="B45" s="99" t="n">
        <ns0:v>0.251</ns0:v>
      </ns0:c>
      <ns0:c r="C45" s="99" t="n">
        <ns0:v>0.319</ns0:v>
      </ns0:c>
      <ns0:c r="D45" s="99" t="n">
        <ns0:v>0.331</ns0:v>
      </ns0:c>
      <ns0:c r="E45" s="99" t="n">
        <ns0:v>0.197</ns0:v>
      </ns0:c>
      <ns0:c r="F45" s="99" t="n">
        <ns0:v>0.08400000000000001</ns0:v>
      </ns0:c>
      <ns0:c r="G45" s="128" t="inlineStr"/>
      <ns0:c r="H45" s="128" t="inlineStr"/>
      <ns0:c r="I45" s="128" t="inlineStr"/>
      <ns0:c r="J45" s="128" t="inlineStr"/>
      <ns0:c r="K45" s="163" t="inlineStr">
        <ns0:is>
          <ns0:t>Table 6</ns0:t>
        </ns0:is>
      </ns0:c>
      <ns0:c r="L45" s="128" t="inlineStr"/>
    </ns0:row>
    <ns0:row r="46">
      <ns0:c r="A46" s="130" t="inlineStr">
        <ns0:is>
          <ns0:t>Cluster - Min L1</ns0:t>
        </ns0:is>
      </ns0:c>
      <ns0:c r="B46" s="98" t="n">
        <ns0:v>0.248</ns0:v>
      </ns0:c>
      <ns0:c r="C46" s="98" t="n">
        <ns0:v>0.312</ns0:v>
      </ns0:c>
      <ns0:c r="D46" s="98" t="n">
        <ns0:v>0.328</ns0:v>
      </ns0:c>
      <ns0:c r="E46" s="98" t="n">
        <ns0:v>0.195</ns0:v>
      </ns0:c>
      <ns0:c r="F46" s="98" t="n">
        <ns0:v>0.083</ns0:v>
      </ns0:c>
      <ns0:c r="G46" s="130" t="inlineStr"/>
      <ns0:c r="H46" s="130" t="inlineStr"/>
      <ns0:c r="I46" s="130" t="inlineStr"/>
      <ns0:c r="J46" s="130" t="inlineStr"/>
      <ns0:c r="K46" s="157" t="inlineStr">
        <ns0:is>
          <ns0:t>Table 6</ns0:t>
        </ns0:is>
      </ns0:c>
      <ns0:c r="L46" s="130" t="inlineStr"/>
    </ns0:row>
    <ns0:row r="47"/>
    <ns0:row r="48" ht="24" customHeight="1" s="2">
      <ns0:c r="A48" s="123" t="inlineStr">
        <ns0:is>
          <ns0:t>G. VLM骨干消融（Table 7，Replica）</ns0:t>
        </ns0:is>
      </ns0:c>
      <ns0:c r="B48" s="158" t="n"/>
      <ns0:c r="C48" s="158" t="n"/>
      <ns0:c r="D48" s="158" t="n"/>
      <ns0:c r="E48" s="158" t="n"/>
      <ns0:c r="F48" s="158" t="n"/>
      <ns0:c r="G48" s="158" t="n"/>
      <ns0:c r="H48" s="158" t="n"/>
      <ns0:c r="I48" s="158" t="n"/>
      <ns0:c r="J48" s="158" t="n"/>
      <ns0:c r="K48" s="158" t="n"/>
      <ns0:c r="L48" s="159" t="n"/>
    </ns0:row>
    <ns0:row r="49" ht="32" customHeight="1" s="2">
      <ns0:c r="A49" s="92" t="inlineStr">
        <ns0:is>
          <ns0:t>VLM</ns0:t>
        </ns0:is>
      </ns0:c>
      <ns0:c r="B49" s="92" t="inlineStr">
        <ns0:is>
          <ns0:t>mIoU</ns0:t>
        </ns0:is>
      </ns0:c>
      <ns0:c r="C49" s="92" t="inlineStr">
        <ns0:is>
          <ns0:t>mAcc</ns0:t>
        </ns0:is>
      </ns0:c>
      <ns0:c r="D49" s="92" t="inlineStr">
        <ns0:is>
          <ns0:t>Sem AP25</ns0:t>
        </ns0:is>
      </ns0:c>
      <ns0:c r="E49" s="92" t="inlineStr">
        <ns0:is>
          <ns0:t>Sem AP50</ns0:t>
        </ns0:is>
      </ns0:c>
      <ns0:c r="F49" s="92" t="inlineStr">
        <ns0:is>
          <ns0:t>APall</ns0:t>
        </ns0:is>
      </ns0:c>
      <ns0:c r="G49" s="92" t="inlineStr">
        <ns0:is>
          <ns0:t>参数量</ns0:t>
        </ns0:is>
      </ns0:c>
      <ns0:c r="H49" s="92" t="inlineStr"/>
      <ns0:c r="I49" s="92" t="inlineStr"/>
      <ns0:c r="J49" s="92" t="inlineStr"/>
      <ns0:c r="K49" s="92" t="inlineStr">
        <ns0:is>
          <ns0:t>来源</ns0:t>
        </ns0:is>
      </ns0:c>
      <ns0:c r="L49" s="92" t="inlineStr">
        <ns0:is>
          <ns0:t>说明</ns0:t>
        </ns0:is>
      </ns0:c>
    </ns0:row>
    <ns0:row r="50">
      <ns0:c r="A50" s="130" t="inlineStr">
        <ns0:is>
          <ns0:t>clip-vit-large-patch14-336</ns0:t>
        </ns0:is>
      </ns0:c>
      <ns0:c r="B50" s="98" t="n">
        <ns0:v>0.154</ns0:v>
      </ns0:c>
      <ns0:c r="C50" s="98" t="n">
        <ns0:v>0.247</ns0:v>
      </ns0:c>
      <ns0:c r="D50" s="98" t="n">
        <ns0:v>0.206</ns0:v>
      </ns0:c>
      <ns0:c r="E50" s="98" t="n">
        <ns0:v>0.149</ns0:v>
      </ns0:c>
      <ns0:c r="F50" s="98" t="n">
        <ns0:v>0.067</ns0:v>
      </ns0:c>
      <ns0:c r="G50" s="130" t="inlineStr">
        <ns0:is>
          <ns0:t>0.4B</ns0:t>
        </ns0:is>
      </ns0:c>
      <ns0:c r="H50" s="130" t="inlineStr"/>
      <ns0:c r="I50" s="130" t="inlineStr"/>
      <ns0:c r="J50" s="130" t="inlineStr"/>
      <ns0:c r="K50" s="157" t="inlineStr">
        <ns0:is>
          <ns0:t>Table 7</ns0:t>
        </ns0:is>
      </ns0:c>
      <ns0:c r="L50" s="130" t="inlineStr"/>
    </ns0:row>
    <ns0:row r="51">
      <ns0:c r="A51" s="139" t="inlineStr">
        <ns0:is>
          <ns0:t>siglip-large-patch16-384 (Ours)</ns0:t>
        </ns0:is>
      </ns0:c>
      <ns0:c r="B51" s="164" t="n">
        <ns0:v>0.269</ns0:v>
      </ns0:c>
      <ns0:c r="C51" s="164" t="n">
        <ns0:v>0.332</ns0:v>
      </ns0:c>
      <ns0:c r="D51" s="164" t="n">
        <ns0:v>0.364</ns0:v>
      </ns0:c>
      <ns0:c r="E51" s="164" t="n">
        <ns0:v>0.22</ns0:v>
      </ns0:c>
      <ns0:c r="F51" s="164" t="n">
        <ns0:v>0.08599999999999999</ns0:v>
      </ns0:c>
      <ns0:c r="G51" s="139" t="inlineStr">
        <ns0:is>
          <ns0:t>0.7B</ns0:t>
        </ns0:is>
      </ns0:c>
      <ns0:c r="H51" s="139" t="inlineStr"/>
      <ns0:c r="I51" s="139" t="inlineStr"/>
      <ns0:c r="J51" s="139" t="inlineStr"/>
      <ns0:c r="K51" s="165" t="inlineStr">
        <ns0:is>
          <ns0:t>Table 7</ns0:t>
        </ns0:is>
      </ns0:c>
      <ns0:c r="L51" s="139" t="inlineStr">
        <ns0:is>
          <ns0:t>论文采用该模型</ns0:t>
        </ns0:is>
      </ns0:c>
    </ns0:row>
    <ns0:row r="52">
      <ns0:c r="A52" s="130" t="inlineStr">
        <ns0:is>
          <ns0:t>siglip-so400m-patch14-384</ns0:t>
        </ns0:is>
      </ns0:c>
      <ns0:c r="B52" s="98" t="n">
        <ns0:v>0.252</ns0:v>
      </ns0:c>
      <ns0:c r="C52" s="98" t="n">
        <ns0:v>0.338</ns0:v>
      </ns0:c>
      <ns0:c r="D52" s="98" t="n">
        <ns0:v>0.324</ns0:v>
      </ns0:c>
      <ns0:c r="E52" s="98" t="n">
        <ns0:v>0.191</ns0:v>
      </ns0:c>
      <ns0:c r="F52" s="98" t="n">
        <ns0:v>0.097</ns0:v>
      </ns0:c>
      <ns0:c r="G52" s="130" t="inlineStr">
        <ns0:is>
          <ns0:t>0.9B</ns0:t>
        </ns0:is>
      </ns0:c>
      <ns0:c r="H52" s="130" t="inlineStr"/>
      <ns0:c r="I52" s="130" t="inlineStr"/>
      <ns0:c r="J52" s="130" t="inlineStr"/>
      <ns0:c r="K52" s="157" t="inlineStr">
        <ns0:is>
          <ns0:t>Table 7</ns0:t>
        </ns0:is>
      </ns0:c>
      <ns0:c r="L52" s="130" t="inlineStr"/>
    </ns0:row>
    <ns0:row r="53">
      <ns0:c r="A53" s="128" t="inlineStr">
        <ns0:is>
          <ns0:t>siglip2-large-patch16-384</ns0:t>
        </ns0:is>
      </ns0:c>
      <ns0:c r="B53" s="99" t="n">
        <ns0:v>0.267</ns0:v>
      </ns0:c>
      <ns0:c r="C53" s="99" t="n">
        <ns0:v>0.339</ns0:v>
      </ns0:c>
      <ns0:c r="D53" s="99" t="n">
        <ns0:v>0.359</ns0:v>
      </ns0:c>
      <ns0:c r="E53" s="99" t="n">
        <ns0:v>0.222</ns0:v>
      </ns0:c>
      <ns0:c r="F53" s="99" t="n">
        <ns0:v>0.104</ns0:v>
      </ns0:c>
      <ns0:c r="G53" s="128" t="inlineStr">
        <ns0:is>
          <ns0:t>0.9B</ns0:t>
        </ns0:is>
      </ns0:c>
      <ns0:c r="H53" s="128" t="inlineStr"/>
      <ns0:c r="I53" s="128" t="inlineStr"/>
      <ns0:c r="J53" s="128" t="inlineStr"/>
      <ns0:c r="K53" s="163" t="inlineStr">
        <ns0:is>
          <ns0:t>Table 7</ns0:t>
        </ns0:is>
      </ns0:c>
      <ns0:c r="L53" s="128" t="inlineStr"/>
    </ns0:row>
    <ns0:row r="54">
      <ns0:c r="A54" s="130" t="inlineStr">
        <ns0:is>
          <ns0:t>siglip2-so400m-patch14-384</ns0:t>
        </ns0:is>
      </ns0:c>
      <ns0:c r="B54" s="98" t="n">
        <ns0:v>0.264</ns0:v>
      </ns0:c>
      <ns0:c r="C54" s="98" t="n">
        <ns0:v>0.343</ns0:v>
      </ns0:c>
      <ns0:c r="D54" s="98" t="n">
        <ns0:v>0.364</ns0:v>
      </ns0:c>
      <ns0:c r="E54" s="98" t="n">
        <ns0:v>0.231</ns0:v>
      </ns0:c>
      <ns0:c r="F54" s="98" t="n">
        <ns0:v>0.094</ns0:v>
      </ns0:c>
      <ns0:c r="G54" s="130" t="inlineStr">
        <ns0:is>
          <ns0:t>1B</ns0:t>
        </ns0:is>
      </ns0:c>
      <ns0:c r="H54" s="130" t="inlineStr"/>
      <ns0:c r="I54" s="130" t="inlineStr"/>
      <ns0:c r="J54" s="130" t="inlineStr"/>
      <ns0:c r="K54" s="157" t="inlineStr">
        <ns0:is>
          <ns0:t>Table 7</ns0:t>
        </ns0:is>
      </ns0:c>
      <ns0:c r="L54" s="130" t="inlineStr"/>
    </ns0:row>
    <ns0:row r="55"/>
    <ns0:row r="56" ht="24" customHeight="1" s="2">
      <ns0:c r="A56" s="123" t="inlineStr">
        <ns0:is>
          <ns0:t>H. 模块运行时间（Table 8）</ns0:t>
        </ns0:is>
      </ns0:c>
      <ns0:c r="B56" s="158" t="n"/>
      <ns0:c r="C56" s="158" t="n"/>
      <ns0:c r="D56" s="158" t="n"/>
      <ns0:c r="E56" s="158" t="n"/>
      <ns0:c r="F56" s="158" t="n"/>
      <ns0:c r="G56" s="158" t="n"/>
      <ns0:c r="H56" s="158" t="n"/>
      <ns0:c r="I56" s="158" t="n"/>
      <ns0:c r="J56" s="158" t="n"/>
      <ns0:c r="K56" s="158" t="n"/>
      <ns0:c r="L56" s="159" t="n"/>
    </ns0:row>
    <ns0:row r="57" ht="32" customHeight="1" s="2">
      <ns0:c r="A57" s="92" t="inlineStr">
        <ns0:is>
          <ns0:t>方法</ns0:t>
        </ns0:is>
      </ns0:c>
      <ns0:c r="B57" s="92" t="inlineStr">
        <ns0:is>
          <ns0:t>模块</ns0:t>
        </ns0:is>
      </ns0:c>
      <ns0:c r="C57" s="92" t="inlineStr">
        <ns0:is>
          <ns0:t>Runtime/Frame (ms)</ns0:t>
        </ns0:is>
      </ns0:c>
      <ns0:c r="D57" s="92" t="inlineStr">
        <ns0:is>
          <ns0:t>硬件</ns0:t>
        </ns0:is>
      </ns0:c>
      <ns0:c r="E57" s="92" t="inlineStr">
        <ns0:is>
          <ns0:t>执行方式</ns0:t>
        </ns0:is>
      </ns0:c>
      <ns0:c r="F57" s="92" t="inlineStr">
        <ns0:is>
          <ns0:t>可相加为总延迟</ns0:t>
        </ns0:is>
      </ns0:c>
      <ns0:c r="G57" s="92" t="inlineStr"/>
      <ns0:c r="H57" s="92" t="inlineStr"/>
      <ns0:c r="I57" s="92" t="inlineStr"/>
      <ns0:c r="J57" s="92" t="inlineStr"/>
      <ns0:c r="K57" s="92" t="inlineStr">
        <ns0:is>
          <ns0:t>来源</ns0:t>
        </ns0:is>
      </ns0:c>
      <ns0:c r="L57" s="92" t="inlineStr">
        <ns0:is>
          <ns0:t>说明</ns0:t>
        </ns0:is>
      </ns0:c>
    </ns0:row>
    <ns0:row r="58">
      <ns0:c r="A58" s="130" t="inlineStr">
        <ns0:is>
          <ns0:t>OVI-MAP</ns0:t>
        </ns0:is>
      </ns0:c>
      <ns0:c r="B58" s="130" t="inlineStr">
        <ns0:is>
          <ns0:t>RGB Segmentation</ns0:t>
        </ns0:is>
      </ns0:c>
      <ns0:c r="C58" s="111" t="n">
        <ns0:v>964.8</ns0:v>
      </ns0:c>
      <ns0:c r="D58" s="130" t="inlineStr">
        <ns0:is>
          <ns0:t>RTX3090 + i7-12700K</ns0:t>
        </ns0:is>
      </ns0:c>
      <ns0:c r="E58" s="130" t="inlineStr">
        <ns0:is>
          <ns0:t>独立线程/关键帧</ns0:t>
        </ns0:is>
      </ns0:c>
      <ns0:c r="F58" s="130" t="inlineStr">
        <ns0:is>
          <ns0:t>否</ns0:t>
        </ns0:is>
      </ns0:c>
      <ns0:c r="G58" s="130" t="inlineStr"/>
      <ns0:c r="H58" s="130" t="inlineStr"/>
      <ns0:c r="I58" s="130" t="inlineStr"/>
      <ns0:c r="J58" s="130" t="inlineStr"/>
      <ns0:c r="K58" s="157" t="inlineStr">
        <ns0:is>
          <ns0:t>Table 8</ns0:t>
        </ns0:is>
      </ns0:c>
      <ns0:c r="L58" s="130" t="inlineStr">
        <ns0:is>
          <ns0:t>并行且跳帧，模块耗时不能直接求和</ns0:t>
        </ns0:is>
      </ns0:c>
    </ns0:row>
    <ns0:row r="59">
      <ns0:c r="A59" s="128" t="inlineStr">
        <ns0:is>
          <ns0:t>OVI-MAP</ns0:t>
        </ns0:is>
      </ns0:c>
      <ns0:c r="B59" s="128" t="inlineStr">
        <ns0:is>
          <ns0:t>Depth Segmentation</ns0:t>
        </ns0:is>
      </ns0:c>
      <ns0:c r="C59" s="112" t="n">
        <ns0:v>88.40000000000001</ns0:v>
      </ns0:c>
      <ns0:c r="D59" s="128" t="inlineStr">
        <ns0:is>
          <ns0:t>RTX3090 + i7-12700K</ns0:t>
        </ns0:is>
      </ns0:c>
      <ns0:c r="E59" s="128" t="inlineStr">
        <ns0:is>
          <ns0:t>独立线程/关键帧</ns0:t>
        </ns0:is>
      </ns0:c>
      <ns0:c r="F59" s="128" t="inlineStr">
        <ns0:is>
          <ns0:t>否</ns0:t>
        </ns0:is>
      </ns0:c>
      <ns0:c r="G59" s="128" t="inlineStr"/>
      <ns0:c r="H59" s="128" t="inlineStr"/>
      <ns0:c r="I59" s="128" t="inlineStr"/>
      <ns0:c r="J59" s="128" t="inlineStr"/>
      <ns0:c r="K59" s="163" t="inlineStr">
        <ns0:is>
          <ns0:t>Table 8</ns0:t>
        </ns0:is>
      </ns0:c>
      <ns0:c r="L59" s="128" t="inlineStr">
        <ns0:is>
          <ns0:t>并行且跳帧，模块耗时不能直接求和</ns0:t>
        </ns0:is>
      </ns0:c>
    </ns0:row>
    <ns0:row r="60">
      <ns0:c r="A60" s="130" t="inlineStr">
        <ns0:is>
          <ns0:t>OVI-MAP</ns0:t>
        </ns0:is>
      </ns0:c>
      <ns0:c r="B60" s="130" t="inlineStr">
        <ns0:is>
          <ns0:t>2D-3D Association</ns0:t>
        </ns0:is>
      </ns0:c>
      <ns0:c r="C60" s="111" t="n">
        <ns0:v>76.3</ns0:v>
      </ns0:c>
      <ns0:c r="D60" s="130" t="inlineStr">
        <ns0:is>
          <ns0:t>RTX3090 + i7-12700K</ns0:t>
        </ns0:is>
      </ns0:c>
      <ns0:c r="E60" s="130" t="inlineStr">
        <ns0:is>
          <ns0:t>独立线程/关键帧</ns0:t>
        </ns0:is>
      </ns0:c>
      <ns0:c r="F60" s="130" t="inlineStr">
        <ns0:is>
          <ns0:t>否</ns0:t>
        </ns0:is>
      </ns0:c>
      <ns0:c r="G60" s="130" t="inlineStr"/>
      <ns0:c r="H60" s="130" t="inlineStr"/>
      <ns0:c r="I60" s="130" t="inlineStr"/>
      <ns0:c r="J60" s="130" t="inlineStr"/>
      <ns0:c r="K60" s="157" t="inlineStr">
        <ns0:is>
          <ns0:t>Table 8</ns0:t>
        </ns0:is>
      </ns0:c>
      <ns0:c r="L60" s="130" t="inlineStr">
        <ns0:is>
          <ns0:t>并行且跳帧，模块耗时不能直接求和</ns0:t>
        </ns0:is>
      </ns0:c>
    </ns0:row>
    <ns0:row r="61">
      <ns0:c r="A61" s="128" t="inlineStr">
        <ns0:is>
          <ns0:t>OVI-MAP</ns0:t>
        </ns0:is>
      </ns0:c>
      <ns0:c r="B61" s="128" t="inlineStr">
        <ns0:is>
          <ns0:t>View Selection</ns0:t>
        </ns0:is>
      </ns0:c>
      <ns0:c r="C61" s="112" t="n">
        <ns0:v>140.8</ns0:v>
      </ns0:c>
      <ns0:c r="D61" s="128" t="inlineStr">
        <ns0:is>
          <ns0:t>RTX3090 + i7-12700K</ns0:t>
        </ns0:is>
      </ns0:c>
      <ns0:c r="E61" s="128" t="inlineStr">
        <ns0:is>
          <ns0:t>独立线程/关键帧</ns0:t>
        </ns0:is>
      </ns0:c>
      <ns0:c r="F61" s="128" t="inlineStr">
        <ns0:is>
          <ns0:t>否</ns0:t>
        </ns0:is>
      </ns0:c>
      <ns0:c r="G61" s="128" t="inlineStr"/>
      <ns0:c r="H61" s="128" t="inlineStr"/>
      <ns0:c r="I61" s="128" t="inlineStr"/>
      <ns0:c r="J61" s="128" t="inlineStr"/>
      <ns0:c r="K61" s="163" t="inlineStr">
        <ns0:is>
          <ns0:t>Table 8</ns0:t>
        </ns0:is>
      </ns0:c>
      <ns0:c r="L61" s="128" t="inlineStr">
        <ns0:is>
          <ns0:t>并行且跳帧，模块耗时不能直接求和</ns0:t>
        </ns0:is>
      </ns0:c>
    </ns0:row>
    <ns0:row r="62">
      <ns0:c r="A62" s="130" t="inlineStr">
        <ns0:is>
          <ns0:t>OVI-MAP</ns0:t>
        </ns0:is>
      </ns0:c>
      <ns0:c r="B62" s="130" t="inlineStr">
        <ns0:is>
          <ns0:t>Feature Extraction</ns0:t>
        </ns0:is>
      </ns0:c>
      <ns0:c r="C62" s="111" t="n">
        <ns0:v>131.3</ns0:v>
      </ns0:c>
      <ns0:c r="D62" s="130" t="inlineStr">
        <ns0:is>
          <ns0:t>RTX3090 + i7-12700K</ns0:t>
        </ns0:is>
      </ns0:c>
      <ns0:c r="E62" s="130" t="inlineStr">
        <ns0:is>
          <ns0:t>独立线程/关键帧</ns0:t>
        </ns0:is>
      </ns0:c>
      <ns0:c r="F62" s="130" t="inlineStr">
        <ns0:is>
          <ns0:t>否</ns0:t>
        </ns0:is>
      </ns0:c>
      <ns0:c r="G62" s="130" t="inlineStr"/>
      <ns0:c r="H62" s="130" t="inlineStr"/>
      <ns0:c r="I62" s="130" t="inlineStr"/>
      <ns0:c r="J62" s="130" t="inlineStr"/>
      <ns0:c r="K62" s="157" t="inlineStr">
        <ns0:is>
          <ns0:t>Table 8</ns0:t>
        </ns0:is>
      </ns0:c>
      <ns0:c r="L62" s="130" t="inlineStr">
        <ns0:is>
          <ns0:t>并行且跳帧，模块耗时不能直接求和</ns0:t>
        </ns0:is>
      </ns0:c>
    </ns0:row>
    <ns0:row r="63"/>
    <ns0:row r="64" ht="24" customHeight="1" s="2">
      <ns0:c r="A64" s="123" t="inlineStr">
        <ns0:is>
          <ns0:t>I. 与本项目的关系和建议</ns0:t>
        </ns0:is>
      </ns0:c>
      <ns0:c r="B64" s="158" t="n"/>
      <ns0:c r="C64" s="158" t="n"/>
      <ns0:c r="D64" s="158" t="n"/>
      <ns0:c r="E64" s="158" t="n"/>
      <ns0:c r="F64" s="158" t="n"/>
      <ns0:c r="G64" s="158" t="n"/>
      <ns0:c r="H64" s="158" t="n"/>
      <ns0:c r="I64" s="158" t="n"/>
      <ns0:c r="J64" s="158" t="n"/>
      <ns0:c r="K64" s="158" t="n"/>
      <ns0:c r="L64" s="159" t="n"/>
    </ns0:row>
    <ns0:row r="65" ht="32" customHeight="1" s="2">
      <ns0:c r="A65" s="92" t="inlineStr">
        <ns0:is>
          <ns0:t>问题</ns0:t>
        </ns0:is>
      </ns0:c>
      <ns0:c r="B65" s="92" t="inlineStr">
        <ns0:is>
          <ns0:t>判断</ns0:t>
        </ns0:is>
      </ns0:c>
      <ns0:c r="C65" s="92" t="inlineStr">
        <ns0:is>
          <ns0:t>建议</ns0:t>
        </ns0:is>
      </ns0:c>
      <ns0:c r="D65" s="92" t="inlineStr"/>
      <ns0:c r="E65" s="92" t="inlineStr"/>
      <ns0:c r="F65" s="92" t="inlineStr"/>
      <ns0:c r="G65" s="92" t="inlineStr"/>
      <ns0:c r="H65" s="92" t="inlineStr"/>
      <ns0:c r="I65" s="92" t="inlineStr"/>
      <ns0:c r="J65" s="92" t="inlineStr"/>
      <ns0:c r="K65" s="92" t="inlineStr">
        <ns0:is>
          <ns0:t>来源</ns0:t>
        </ns0:is>
      </ns0:c>
      <ns0:c r="L65" s="92" t="inlineStr">
        <ns0:is>
          <ns0:t>边界</ns0:t>
        </ns0:is>
      </ns0:c>
    </ns0:row>
    <ns0:row r="66" ht="42" customHeight="1" s="2">
      <ns0:c r="A66" s="141" t="inlineStr">
        <ns0:is>
          <ns0:t>OVI-MAP是否给出ConceptGraphs数值？</ns0:t>
        </ns0:is>
      </ns0:c>
      <ns0:c r="B66" s="141" t="inlineStr">
        <ns0:is>
          <ns0:t>没有</ns0:t>
        </ns0:is>
      </ns0:c>
      <ns0:c r="C66" s="141" t="inlineStr">
        <ns0:is>
          <ns0:t>不得将OVI-MAP结果写成ConceptGraphs基线</ns0:t>
        </ns0:is>
      </ns0:c>
      <ns0:c r="D66" s="141" t="inlineStr"/>
      <ns0:c r="E66" s="141" t="inlineStr"/>
      <ns0:c r="F66" s="141" t="inlineStr"/>
      <ns0:c r="G66" s="141" t="inlineStr"/>
      <ns0:c r="H66" s="141" t="inlineStr"/>
      <ns0:c r="I66" s="141" t="inlineStr"/>
      <ns0:c r="J66" s="141" t="inlineStr"/>
      <ns0:c r="K66" s="161" t="inlineStr">
        <ns0:is>
          <ns0:t>论文</ns0:t>
        </ns0:is>
      </ns0:c>
      <ns0:c r="L66" s="141" t="inlineStr">
        <ns0:is>
          <ns0:t>全文无ConceptGraphs；仅有ConceptFusion</ns0:t>
        </ns0:is>
      </ns0:c>
    </ns0:row>
    <ns0:row r="67" ht="42" customHeight="1" s="2">
      <ns0:c r="A67" s="128" t="inlineStr">
        <ns0:is>
          <ns0:t>最适合当前false split/merge研究的指标？</ns0:t>
        </ns0:is>
      </ns0:c>
      <ns0:c r="B67" s="128" t="inlineStr">
        <ns0:is>
          <ns0:t>Inst mIoU + AP25/50/75</ns0:t>
        </ns0:is>
      </ns0:c>
      <ns0:c r="C67" s="128" t="inlineStr">
        <ns0:is>
          <ns0:t>按GT-mesh投影协议新增正式评测</ns0:t>
        </ns0:is>
      </ns0:c>
      <ns0:c r="D67" s="128" t="inlineStr"/>
      <ns0:c r="E67" s="128" t="inlineStr"/>
      <ns0:c r="F67" s="128" t="inlineStr"/>
      <ns0:c r="G67" s="128" t="inlineStr"/>
      <ns0:c r="H67" s="128" t="inlineStr"/>
      <ns0:c r="I67" s="128" t="inlineStr"/>
      <ns0:c r="J67" s="128" t="inlineStr"/>
      <ns0:c r="K67" s="163" t="inlineStr">
        <ns0:is>
          <ns0:t>论文</ns0:t>
        </ns0:is>
      </ns0:c>
      <ns0:c r="L67" s="128" t="inlineStr">
        <ns0:is>
          <ns0:t>仍需保留修复成功率/时间一致性专项指标</ns0:t>
        </ns0:is>
      </ns0:c>
    </ns0:row>
    <ns0:row r="68" ht="42" customHeight="1" s="2">
      <ns0:c r="A68" s="130" t="inlineStr">
        <ns0:is>
          <ns0:t>语义修复应该补什么？</ns0:t>
        </ns0:is>
      </ns0:c>
      <ns0:c r="B68" s="130" t="inlineStr">
        <ns0:is>
          <ns0:t>Semantic mIoU/mAcc + Sem-AP</ns0:t>
        </ns0:is>
      </ns0:c>
      <ns0:c r="C68" s="130" t="inlineStr">
        <ns0:is>
          <ns0:t>结构稳定后再算；预先冻结标签映射</ns0:t>
        </ns0:is>
      </ns0:c>
      <ns0:c r="D68" s="130" t="inlineStr"/>
      <ns0:c r="E68" s="130" t="inlineStr"/>
      <ns0:c r="F68" s="130" t="inlineStr"/>
      <ns0:c r="G68" s="130" t="inlineStr"/>
      <ns0:c r="H68" s="130" t="inlineStr"/>
      <ns0:c r="I68" s="130" t="inlineStr"/>
      <ns0:c r="J68" s="130" t="inlineStr"/>
      <ns0:c r="K68" s="157" t="inlineStr">
        <ns0:is>
          <ns0:t>论文</ns0:t>
        </ns0:is>
      </ns0:c>
      <ns0:c r="L68" s="130" t="inlineStr">
        <ns0:is>
          <ns0:t>desk lamp/lamp等本体差异会改变语义结果</ns0:t>
        </ns0:is>
      </ns0:c>
    </ns0:row>
    <ns0:row r="69" ht="42" customHeight="1" s="2">
      <ns0:c r="A69" s="128" t="inlineStr">
        <ns0:is>
          <ns0:t>效率应该补什么？</ns0:t>
        </ns0:is>
      </ns0:c>
      <ns0:c r="B69" s="128" t="inlineStr">
        <ns0:is>
          <ns0:t>分模块Runtime + AQ</ns0:t>
        </ns0:is>
      </ns0:c>
      <ns0:c r="C69" s="128" t="inlineStr">
        <ns0:is>
          <ns0:t>记录关键帧频率、并发方式和query定义</ns0:t>
        </ns0:is>
      </ns0:c>
      <ns0:c r="D69" s="128" t="inlineStr"/>
      <ns0:c r="E69" s="128" t="inlineStr"/>
      <ns0:c r="F69" s="128" t="inlineStr"/>
      <ns0:c r="G69" s="128" t="inlineStr"/>
      <ns0:c r="H69" s="128" t="inlineStr"/>
      <ns0:c r="I69" s="128" t="inlineStr"/>
      <ns0:c r="J69" s="128" t="inlineStr"/>
      <ns0:c r="K69" s="163" t="inlineStr">
        <ns0:is>
          <ns0:t>论文</ns0:t>
        </ns0:is>
      </ns0:c>
      <ns0:c r="L69" s="128" t="inlineStr">
        <ns0:is>
          <ns0:t>不能只报总时长或把线程耗时相加</ns0:t>
        </ns0:is>
      </ns0:c>
    </ns0:row>
    <ns0:row r="70"/>
    <ns0:row r="71">
      <ns0:c r="A71" s="130" t="inlineStr">
        <ns0:is>
          <ns0:t>论文</ns0:t>
        </ns0:is>
      </ns0:c>
      <ns0:c r="B71" s="157" t="inlineStr">
        <ns0:is>
          <ns0:t>https://arxiv.org/html/2603.26541v1</ns0:t>
        </ns0:is>
      </ns0:c>
      <ns0:c r="C71" s="130" t="inlineStr"/>
      <ns0:c r="D71" s="130" t="inlineStr"/>
      <ns0:c r="E71" s="130" t="inlineStr"/>
      <ns0:c r="F71" s="130" t="inlineStr"/>
      <ns0:c r="G71" s="130" t="inlineStr"/>
      <ns0:c r="H71" s="130" t="inlineStr"/>
      <ns0:c r="I71" s="130" t="inlineStr"/>
      <ns0:c r="J71" s="130" t="inlineStr"/>
      <ns0:c r="K71" s="130" t="inlineStr"/>
      <ns0:c r="L71" s="130" t="inlineStr">
        <ns0:is>
          <ns0:t>访问日期：2026-08-31</ns0:t>
        </ns0:is>
      </ns0:c>
    </ns0:row>
    <ns0:row r="72">
      <ns0:c r="A72" s="130" t="inlineStr">
        <ns0:is>
          <ns0:t>项目页</ns0:t>
        </ns0:is>
      </ns0:c>
      <ns0:c r="B72" s="157" t="inlineStr">
        <ns0:is>
          <ns0:t>https://ovi-map.github.io/</ns0:t>
        </ns0:is>
      </ns0:c>
      <ns0:c r="C72" s="130" t="inlineStr"/>
      <ns0:c r="D72" s="130" t="inlineStr"/>
      <ns0:c r="E72" s="130" t="inlineStr"/>
      <ns0:c r="F72" s="130" t="inlineStr"/>
      <ns0:c r="G72" s="130" t="inlineStr"/>
      <ns0:c r="H72" s="130" t="inlineStr"/>
      <ns0:c r="I72" s="130" t="inlineStr"/>
      <ns0:c r="J72" s="130" t="inlineStr"/>
      <ns0:c r="K72" s="130" t="inlineStr"/>
      <ns0:c r="L72" s="130" t="inlineStr"/>
    </ns0:row>
  </ns0:sheetData>
  <ns0:mergeCells count="11">
    <ns0:mergeCell ref="A2:L2"/>
    <ns0:mergeCell ref="A16:L16"/>
    <ns0:mergeCell ref="A64:L64"/>
    <ns0:mergeCell ref="A41:L41"/>
    <ns0:mergeCell ref="A1:L1"/>
    <ns0:mergeCell ref="A28:L28"/>
    <ns0:mergeCell ref="A56:L56"/>
    <ns0:mergeCell ref="A21:L21"/>
    <ns0:mergeCell ref="A34:L34"/>
    <ns0:mergeCell ref="A4:L4"/>
    <ns0:mergeCell ref="A48:L48"/>
  </ns0:mergeCells>
  <ns0:hyperlinks>
    <ns0:hyperlink ref="A2" ns1:id="rId1"/>
    <ns0:hyperlink ref="K18" ns1:id="rId2"/>
    <ns0:hyperlink ref="K19" ns1:id="rId3"/>
    <ns0:hyperlink ref="K23" ns1:id="rId4"/>
    <ns0:hyperlink ref="K24" ns1:id="rId5"/>
    <ns0:hyperlink ref="K25" ns1:id="rId6"/>
    <ns0:hyperlink ref="K26" ns1:id="rId7"/>
    <ns0:hyperlink ref="K30" ns1:id="rId8"/>
    <ns0:hyperlink ref="K31" ns1:id="rId9"/>
    <ns0:hyperlink ref="K36" ns1:id="rId10"/>
    <ns0:hyperlink ref="K37" ns1:id="rId11"/>
    <ns0:hyperlink ref="K38" ns1:id="rId12"/>
    <ns0:hyperlink ref="K39" ns1:id="rId13"/>
    <ns0:hyperlink ref="K43" ns1:id="rId14"/>
    <ns0:hyperlink ref="K44" ns1:id="rId15"/>
    <ns0:hyperlink ref="K45" ns1:id="rId16"/>
    <ns0:hyperlink ref="K46" ns1:id="rId17"/>
    <ns0:hyperlink ref="K50" ns1:id="rId18"/>
    <ns0:hyperlink ref="K51" ns1:id="rId19"/>
    <ns0:hyperlink ref="K52" ns1:id="rId20"/>
    <ns0:hyperlink ref="K53" ns1:id="rId21"/>
    <ns0:hyperlink ref="K54" ns1:id="rId22"/>
    <ns0:hyperlink ref="K58" ns1:id="rId23"/>
    <ns0:hyperlink ref="K59" ns1:id="rId24"/>
    <ns0:hyperlink ref="K60" ns1:id="rId25"/>
    <ns0:hyperlink ref="K61" ns1:id="rId26"/>
    <ns0:hyperlink ref="K62" ns1:id="rId27"/>
    <ns0:hyperlink ref="K66" ns1:id="rId28"/>
    <ns0:hyperlink ref="K67" ns1:id="rId29"/>
    <ns0:hyperlink ref="K68" ns1:id="rId30"/>
    <ns0:hyperlink ref="K69" ns1:id="rId31"/>
    <ns0:hyperlink ref="B71" ns1:id="rId32"/>
    <ns0:hyperlink ref="B72" ns1:id="rId33"/>
  </ns0:hyperlinks>
  <ns0:pageMargins left="0.7" right="0.7" top="0.75" bottom="0.75" header="0.3" footer="0.3"/>
  <ns0:legacyDrawing ns1:id="anysvml"/>
</ns0:worksheet>
</file>

<file path=xl/worksheets/sheet18.xml><?xml version="1.0" encoding="utf-8"?>
<ns0:worksheet xmlns:ns0="http://schemas.openxmlformats.org/spreadsheetml/2006/main">
  <ns0:sheetPr>
    <ns0:outlinePr summaryBelow="1" summaryRight="1"/>
    <ns0:pageSetUpPr/>
  </ns0:sheetPr>
  <ns0:dimension ref="A1:L79"/>
  <ns0:sheetViews>
    <ns0:sheetView showGridLines="0" workbookViewId="0">
      <ns0:pane xSplit="2" ySplit="5" topLeftCell="C6" activePane="bottomRight" state="frozen"/>
      <ns0:selection activeCell="A1" sqref="A1"/>
    </ns0:sheetView>
  </ns0:sheetViews>
  <ns0:sheetFormatPr baseColWidth="8" defaultRowHeight="15"/>
  <ns0:cols>
    <ns0:col width="24" customWidth="1" style="2" min="1" max="1"/>
    <ns0:col width="20" customWidth="1" style="2" min="2" max="2"/>
    <ns0:col width="13" customWidth="1" style="2" min="3" max="3"/>
    <ns0:col width="14" customWidth="1" style="2" min="4" max="4"/>
    <ns0:col width="14" customWidth="1" style="2" min="5" max="5"/>
    <ns0:col width="14" customWidth="1" style="2" min="6" max="6"/>
    <ns0:col width="13" customWidth="1" style="2" min="7" max="7"/>
    <ns0:col width="16" customWidth="1" style="2" min="8" max="8"/>
    <ns0:col width="15" customWidth="1" style="2" min="9" max="9"/>
    <ns0:col width="15" customWidth="1" style="2" min="10" max="10"/>
    <ns0:col width="15" customWidth="1" style="2" min="11" max="11"/>
    <ns0:col width="15" customWidth="1" style="2" min="12" max="12"/>
  </ns0:cols>
  <ns0:sheetData>
    <ns0:row r="1" ht="36" customHeight="1" s="2">
      <ns0:c r="A1" s="237" t="inlineStr">
        <ns0:is>
          <ns0:t>office2：点级语义与补充指标对比</ns0:t>
        </ns0:is>
      </ns0:c>
    </ns0:row>
    <ns0:row r="2" ht="44" customHeight="1" s="2">
      <ns0:c r="A2" s="216" t="inlineStr">
        <ns0:is>
          <ns0:t>补入历史main、ali-my与OVI-MAP同口径记录；服务器结果为office2、15类、3,226,799前景参考点。截图两行的实验身份仍未确认。</ns0:t>
        </ns0:is>
      </ns0:c>
    </ns0:row>
    <ns0:row r="3"/>
    <ns0:row r="4" ht="26" customHeight="1" s="2">
      <ns0:c r="A4" s="236" t="inlineStr">
        <ns0:is>
          <ns0:t>A. 点级语义主指标（百分比）</ns0:t>
        </ns0:is>
      </ns0:c>
    </ns0:row>
    <ns0:row r="5" ht="48" customHeight="1" s="2">
      <ns0:c r="A5" s="223" t="inlineStr">
        <ns0:is>
          <ns0:t>方法</ns0:t>
        </ns0:is>
      </ns0:c>
      <ns0:c r="B5" s="223" t="inlineStr">
        <ns0:is>
          <ns0:t>模式 / stride</ns0:t>
        </ns0:is>
      </ns0:c>
      <ns0:c r="C5" s="223" t="inlineStr">
        <ns0:is>
          <ns0:t>mIoU</ns0:t>
        </ns0:is>
      </ns0:c>
      <ns0:c r="D5" s="223" t="inlineStr">
        <ns0:is>
          <ns0:t>mAcc / mRecall</ns0:t>
        </ns0:is>
      </ns0:c>
      <ns0:c r="E5" s="223" t="inlineStr">
        <ns0:is>
          <ns0:t>mPrecision</ns0:t>
        </ns0:is>
      </ns0:c>
      <ns0:c r="F5" s="223" t="inlineStr">
        <ns0:is>
          <ns0:t>mF1</ns0:t>
        </ns0:is>
      </ns0:c>
      <ns0:c r="G5" s="223" t="inlineStr">
        <ns0:is>
          <ns0:t>fwIoU</ns0:t>
        </ns0:is>
      </ns0:c>
      <ns0:c r="H5" s="223" t="inlineStr">
        <ns0:is>
          <ns0:t>Point Accuracy</ns0:t>
        </ns0:is>
      </ns0:c>
      <ns0:c r="I5" s="223" t="inlineStr">
        <ns0:is>
          <ns0:t>IoU &gt; 0.15 类数</ns0:t>
        </ns0:is>
      </ns0:c>
      <ns0:c r="J5" s="223" t="inlineStr">
        <ns0:is>
          <ns0:t>IoU &gt; 0.25 类数</ns0:t>
        </ns0:is>
      </ns0:c>
      <ns0:c r="K5" s="223" t="inlineStr">
        <ns0:is>
          <ns0:t>IoU &gt; 0.50 类数</ns0:t>
        </ns0:is>
      </ns0:c>
      <ns0:c r="L5" s="223" t="inlineStr">
        <ns0:is>
          <ns0:t>IoU &gt; 0.75 类数</ns0:t>
        </ns0:is>
      </ns0:c>
    </ns0:row>
    <ns0:row r="6" ht="38" customHeight="1" s="2">
      <ns0:c r="A6" s="226" t="inlineStr">
        <ns0:is>
          <ns0:t>Baseline</ns0:t>
        </ns0:is>
      </ns0:c>
      <ns0:c r="B6" s="226" t="inlineStr">
        <ns0:is>
          <ns0:t>未提供</ns0:t>
        </ns0:is>
      </ns0:c>
      <ns0:c r="C6" s="239" t="n">
        <ns0:v>0.2962</ns0:v>
      </ns0:c>
      <ns0:c r="D6" s="239" t="n">
        <ns0:v>0.4133</ns0:v>
      </ns0:c>
      <ns0:c r="E6" s="239" t="n">
        <ns0:v>0.3729</ns0:v>
      </ns0:c>
      <ns0:c r="F6" s="239" t="n">
        <ns0:v>0.3383</ns0:v>
      </ns0:c>
      <ns0:c r="G6" s="239" t="n">
        <ns0:v>0.6505</ns0:v>
      </ns0:c>
      <ns0:c r="H6" s="239" t="n">
        <ns0:v>0.7002</ns0:v>
      </ns0:c>
      <ns0:c r="I6" s="226" t="n"/>
      <ns0:c r="J6" s="226" t="n"/>
      <ns0:c r="K6" s="226" t="n"/>
      <ns0:c r="L6" s="226" t="n"/>
    </ns0:row>
    <ns0:row r="7" ht="38" customHeight="1" s="2">
      <ns0:c r="A7" s="279" t="inlineStr">
        <ns0:is>
          <ns0:t>人工关联+合并</ns0:t>
        </ns0:is>
      </ns0:c>
      <ns0:c r="B7" s="279" t="inlineStr">
        <ns0:is>
          <ns0:t>人工 / 未提供</ns0:t>
        </ns0:is>
      </ns0:c>
      <ns0:c r="C7" s="278" t="n">
        <ns0:v>0.3469</ns0:v>
      </ns0:c>
      <ns0:c r="D7" s="278" t="n">
        <ns0:v>0.4551</ns0:v>
      </ns0:c>
      <ns0:c r="E7" s="278" t="n">
        <ns0:v>0.433</ns0:v>
      </ns0:c>
      <ns0:c r="F7" s="278" t="n">
        <ns0:v>0.4045</ns0:v>
      </ns0:c>
      <ns0:c r="G7" s="278" t="n">
        <ns0:v>0.671</ns0:v>
      </ns0:c>
      <ns0:c r="H7" s="278" t="n">
        <ns0:v>0.7352</ns0:v>
      </ns0:c>
      <ns0:c r="I7" s="279" t="n"/>
      <ns0:c r="J7" s="279" t="n"/>
      <ns0:c r="K7" s="279" t="n"/>
      <ns0:c r="L7" s="279" t="n"/>
    </ns0:row>
    <ns0:row r="8" ht="60" customHeight="1" s="2">
      <ns0:c r="A8" s="226" t="inlineStr">
        <ns0:is>
          <ns0:t>v7_auto_office2</ns0:t>
        </ns0:is>
      </ns0:c>
      <ns0:c r="B8" s="226" t="inlineStr">
        <ns0:is>
          <ns0:t>VLM（image auto）/ 5</ns0:t>
        </ns0:is>
      </ns0:c>
      <ns0:c r="C8" s="306" t="n">
        <ns0:v>0.419499463575656</ns0:v>
      </ns0:c>
      <ns0:c r="D8" s="306" t="n">
        <ns0:v>0.5789258787378941</ns0:v>
      </ns0:c>
      <ns0:c r="E8" s="306" t="n">
        <ns0:v>0.5400639971037692</ns0:v>
      </ns0:c>
      <ns0:c r="F8" s="306" t="n">
        <ns0:v>0.5025719159190013</ns0:v>
      </ns0:c>
      <ns0:c r="G8" s="239" t="n">
        <ns0:v>0.6592308825764752</ns0:v>
      </ns0:c>
      <ns0:c r="H8" s="239" t="n">
        <ns0:v>0.7352193303642403</ns0:v>
      </ns0:c>
      <ns0:c r="I8" s="305" t="n">
        <ns0:v>10</ns0:v>
      </ns0:c>
      <ns0:c r="J8" s="305" t="n">
        <ns0:v>10</ns0:v>
      </ns0:c>
      <ns0:c r="K8" s="305" t="n">
        <ns0:v>7</ns0:v>
      </ns0:c>
      <ns0:c r="L8" s="226" t="n">
        <ns0:v>4</ns0:v>
      </ns0:c>
    </ns0:row>
    <ns0:row r="9" ht="60" customHeight="1" s="2">
      <ns0:c r="A9" s="279" t="inlineStr">
        <ns0:is>
          <ns0:t>v7_merge_auto_20260909_133115_1287091</ns0:t>
        </ns0:is>
      </ns0:c>
      <ns0:c r="B9" s="279" t="inlineStr">
        <ns0:is>
          <ns0:t>VLM（merge auto）/ 5</ns0:t>
        </ns0:is>
      </ns0:c>
      <ns0:c r="C9" s="278" t="n">
        <ns0:v>0.3129566798904031</ns0:v>
      </ns0:c>
      <ns0:c r="D9" s="278" t="n">
        <ns0:v>0.4505474230772529</ns0:v>
      </ns0:c>
      <ns0:c r="E9" s="278" t="n">
        <ns0:v>0.3865945613437953</ns0:v>
      </ns0:c>
      <ns0:c r="F9" s="278" t="n">
        <ns0:v>0.3508487010146995</ns0:v>
      </ns0:c>
      <ns0:c r="G9" s="239" t="n">
        <ns0:v>0.6828896137249055</ns0:v>
      </ns0:c>
      <ns0:c r="H9" s="278" t="n">
        <ns0:v>0.7114459252032742</ns0:v>
      </ns0:c>
      <ns0:c r="I9" s="279" t="n">
        <ns0:v>6</ns0:v>
      </ns0:c>
      <ns0:c r="J9" s="279" t="n">
        <ns0:v>6</ns0:v>
      </ns0:c>
      <ns0:c r="K9" s="279" t="n">
        <ns0:v>5</ns0:v>
      </ns0:c>
      <ns0:c r="L9" s="226" t="n">
        <ns0:v>4</ns0:v>
      </ns0:c>
    </ns0:row>
    <ns0:row r="10" ht="66" customHeight="1" s="2">
      <ns0:c r="A10" s="279" t="inlineStr">
        <ns0:is>
          <ns0:t>v7_CLIP_auto_20260909_184833_3119794</ns0:t>
        </ns0:is>
      </ns0:c>
      <ns0:c r="B10" s="279" t="inlineStr">
        <ns0:is>
          <ns0:t>VLM（CLIP auto）/ 5</ns0:t>
        </ns0:is>
      </ns0:c>
      <ns0:c r="C10" s="278">
        <ns0:v>0.3926933293298423</ns0:v>
      </ns0:c>
      <ns0:c r="D10" s="278">
        <ns0:v>0.5393234476293963</ns0:v>
      </ns0:c>
      <ns0:c r="E10" s="278">
        <ns0:v>0.44932858247471524</ns0:v>
      </ns0:c>
      <ns0:c r="F10" s="278">
        <ns0:v>0.44161326760601993</ns0:v>
      </ns0:c>
      <ns0:c r="G10" s="306">
        <ns0:v>0.7154476390785445</ns0:v>
      </ns0:c>
      <ns0:c r="H10" s="306">
        <ns0:v>0.7541656607678383</ns0:v>
      </ns0:c>
      <ns0:c r="I10" s="279">
        <ns0:v>8</ns0:v>
      </ns0:c>
      <ns0:c r="J10" s="279">
        <ns0:v>8</ns0:v>
      </ns0:c>
      <ns0:c r="K10" s="279">
        <ns0:v>6</ns0:v>
      </ns0:c>
      <ns0:c r="L10" s="305">
        <ns0:v>5</ns0:v>
      </ns0:c>
    </ns0:row>
    <ns0:row r="11" ht="66" customHeight="1" s="2">
      <ns0:c r="A11" s="226" t="inlineStr">
        <ns0:is>
          <ns0:t>main（历史复现）</ns0:t>
        </ns0:is>
      </ns0:c>
      <ns0:c r="B11" s="226" t="inlineStr">
        <ns0:is>
          <ns0:t>main / 5</ns0:t>
        </ns0:is>
      </ns0:c>
      <ns0:c r="C11" s="276">
        <ns0:v>0.2609555056</ns0:v>
      </ns0:c>
      <ns0:c r="D11" s="276">
        <ns0:v>0.4048687055</ns0:v>
      </ns0:c>
      <ns0:c r="E11" s="276">
        <ns0:v>0.3867234863</ns0:v>
      </ns0:c>
      <ns0:c r="F11" s="276">
        <ns0:v>0.3144811585</ns0:v>
      </ns0:c>
      <ns0:c r="G11" s="239">
        <ns0:v>0.4096170869</ns0:v>
      </ns0:c>
      <ns0:c r="H11" s="239">
        <ns0:v>0.4270991159</ns0:v>
      </ns0:c>
      <ns0:c r="I11" s="277">
        <ns0:v>6</ns0:v>
      </ns0:c>
      <ns0:c r="J11" s="277">
        <ns0:v>6</ns0:v>
      </ns0:c>
      <ns0:c r="K11" s="277">
        <ns0:v>4</ns0:v>
      </ns0:c>
      <ns0:c r="L11" s="226">
        <ns0:v>2</ns0:v>
      </ns0:c>
    </ns0:row>
    <ns0:row r="12" ht="66" customHeight="1" s="2">
      <ns0:c r="A12" s="279" t="inlineStr">
        <ns0:is>
          <ns0:t>ali-my（历史）</ns0:t>
        </ns0:is>
      </ns0:c>
      <ns0:c r="B12" s="279" t="inlineStr">
        <ns0:is>
          <ns0:t>ali-my / 5</ns0:t>
        </ns0:is>
      </ns0:c>
      <ns0:c r="C12" s="278">
        <ns0:v>0.3150275886</ns0:v>
      </ns0:c>
      <ns0:c r="D12" s="278">
        <ns0:v>0.5057562671</ns0:v>
      </ns0:c>
      <ns0:c r="E12" s="278">
        <ns0:v>0.3978656133</ns0:v>
      </ns0:c>
      <ns0:c r="F12" s="278">
        <ns0:v>0.3592426913</ns0:v>
      </ns0:c>
      <ns0:c r="G12" s="239">
        <ns0:v>0.6660015385</ns0:v>
      </ns0:c>
      <ns0:c r="H12" s="278">
        <ns0:v>0.7128002085</ns0:v>
      </ns0:c>
      <ns0:c r="I12" s="279">
        <ns0:v>7</ns0:v>
      </ns0:c>
      <ns0:c r="J12" s="279">
        <ns0:v>7</ns0:v>
      </ns0:c>
      <ns0:c r="K12" s="279">
        <ns0:v>5</ns0:v>
      </ns0:c>
      <ns0:c r="L12" s="226">
        <ns0:v>4</ns0:v>
      </ns0:c>
    </ns0:row>
    <ns0:row r="13" ht="66" customHeight="1" s="2">
      <ns0:c r="A13" s="279" t="inlineStr">
        <ns0:is>
          <ns0:t>OVI-MAP</ns0:t>
        </ns0:is>
      </ns0:c>
      <ns0:c r="B13" s="279" t="inlineStr">
        <ns0:is>
          <ns0:t>SigLIP / 5</ns0:t>
        </ns0:is>
      </ns0:c>
      <ns0:c r="C13" s="278">
        <ns0:v>0.191345441441327</ns0:v>
      </ns0:c>
      <ns0:c r="D13" s="278">
        <ns0:v>0.341484297325576</ns0:v>
      </ns0:c>
      <ns0:c r="E13" s="278">
        <ns0:v>0.231678902212177</ns0:v>
      </ns0:c>
      <ns0:c r="F13" s="278">
        <ns0:v>0.239473494645901</ns0:v>
      </ns0:c>
      <ns0:c r="G13" s="239">
        <ns0:v>0.299598668408874</ns0:v>
      </ns0:c>
      <ns0:c r="H13" s="278">
        <ns0:v>0.390147325569396</ns0:v>
      </ns0:c>
      <ns0:c r="I13" s="279" t="n"/>
      <ns0:c r="J13" s="279" t="n"/>
      <ns0:c r="K13" s="279" t="n"/>
      <ns0:c r="L13" s="226" t="n"/>
    </ns0:row>
    <ns0:row r="14"/>
    <ns0:row r="15" ht="26" customHeight="1" s="2">
      <ns0:c r="A15" s="236" t="inlineStr">
        <ns0:is>
          <ns0:t>B. 相对各行所列基准的变化（百分点；正值为提升）</ns0:t>
        </ns0:is>
      </ns0:c>
    </ns0:row>
    <ns0:row r="16" ht="48" customHeight="1" s="2">
      <ns0:c r="A16" s="223" t="inlineStr">
        <ns0:is>
          <ns0:t>数据口径</ns0:t>
        </ns0:is>
      </ns0:c>
      <ns0:c r="B16" s="223" t="inlineStr">
        <ns0:is>
          <ns0:t>基准</ns0:t>
        </ns0:is>
      </ns0:c>
      <ns0:c r="C16" s="223" t="inlineStr">
        <ns0:is>
          <ns0:t>ΔmIoU</ns0:t>
        </ns0:is>
      </ns0:c>
      <ns0:c r="D16" s="223" t="inlineStr">
        <ns0:is>
          <ns0:t>ΔmRecall</ns0:t>
        </ns0:is>
      </ns0:c>
      <ns0:c r="E16" s="223" t="inlineStr">
        <ns0:is>
          <ns0:t>ΔmPrecision</ns0:t>
        </ns0:is>
      </ns0:c>
      <ns0:c r="F16" s="223" t="inlineStr">
        <ns0:is>
          <ns0:t>ΔmF1</ns0:t>
        </ns0:is>
      </ns0:c>
      <ns0:c r="G16" s="223" t="inlineStr">
        <ns0:is>
          <ns0:t>ΔfwIoU</ns0:t>
        </ns0:is>
      </ns0:c>
      <ns0:c r="H16" s="223" t="inlineStr">
        <ns0:is>
          <ns0:t>ΔPoint Accuracy</ns0:t>
        </ns0:is>
      </ns0:c>
      <ns0:c r="I16" s="223" t="n"/>
      <ns0:c r="J16" s="223" t="n"/>
      <ns0:c r="K16" s="223" t="n"/>
      <ns0:c r="L16" s="223" t="n"/>
    </ns0:row>
    <ns0:row r="17" ht="38" customHeight="1" s="2">
      <ns0:c r="A17" s="226" t="inlineStr">
        <ns0:is>
          <ns0:t>截图原报增量</ns0:t>
        </ns0:is>
      </ns0:c>
      <ns0:c r="B17" s="226" t="inlineStr">
        <ns0:is>
          <ns0:t>Baseline</ns0:t>
        </ns0:is>
      </ns0:c>
      <ns0:c r="C17" s="241" t="n">
        <ns0:v>5.08</ns0:v>
      </ns0:c>
      <ns0:c r="D17" s="241" t="n">
        <ns0:v>4.18</ns0:v>
      </ns0:c>
      <ns0:c r="E17" s="241" t="n">
        <ns0:v>6</ns0:v>
      </ns0:c>
      <ns0:c r="F17" s="241" t="n">
        <ns0:v>6.62</ns0:v>
      </ns0:c>
      <ns0:c r="G17" s="241" t="n">
        <ns0:v>2.05</ns0:v>
      </ns0:c>
      <ns0:c r="H17" s="241" t="n">
        <ns0:v>3.5</ns0:v>
      </ns0:c>
      <ns0:c r="I17" s="226" t="n"/>
      <ns0:c r="J17" s="226" t="n"/>
      <ns0:c r="K17" s="226" t="n"/>
      <ns0:c r="L17" s="226" t="n"/>
    </ns0:row>
    <ns0:row r="18" ht="38" customHeight="1" s="2">
      <ns0:c r="A18" s="279" t="inlineStr">
        <ns0:is>
          <ns0:t>显示值重算增量</ns0:t>
        </ns0:is>
      </ns0:c>
      <ns0:c r="B18" s="279" t="inlineStr">
        <ns0:is>
          <ns0:t>Baseline</ns0:t>
        </ns0:is>
      </ns0:c>
      <ns0:c r="C18" s="281">
        <ns0:f>ROUND((C7-C6)*100,2)</ns0:f>
        <ns0:v>5.07</ns0:v>
      </ns0:c>
      <ns0:c r="D18" s="281">
        <ns0:f>ROUND((D7-D6)*100,2)</ns0:f>
        <ns0:v>4.18</ns0:v>
      </ns0:c>
      <ns0:c r="E18" s="281">
        <ns0:f>ROUND((E7-E6)*100,2)</ns0:f>
        <ns0:v>6.01</ns0:v>
      </ns0:c>
      <ns0:c r="F18" s="281">
        <ns0:f>ROUND((F7-F6)*100,2)</ns0:f>
        <ns0:v>6.62</ns0:v>
      </ns0:c>
      <ns0:c r="G18" s="281">
        <ns0:f>ROUND((G7-G6)*100,2)</ns0:f>
        <ns0:v>2.05</ns0:v>
      </ns0:c>
      <ns0:c r="H18" s="281">
        <ns0:f>ROUND((H7-H6)*100,2)</ns0:f>
        <ns0:v>3.5</ns0:v>
      </ns0:c>
      <ns0:c r="I18" s="279" t="n"/>
      <ns0:c r="J18" s="279" t="n"/>
      <ns0:c r="K18" s="279" t="n"/>
      <ns0:c r="L18" s="279" t="n"/>
    </ns0:row>
    <ns0:row r="19" ht="60" customHeight="1" s="2">
      <ns0:c r="A19" s="279" t="inlineStr">
        <ns0:is>
          <ns0:t>v7_merge_auto_20260909_133115_1287091</ns0:t>
        </ns0:is>
      </ns0:c>
      <ns0:c r="B19" s="279" t="inlineStr">
        <ns0:is>
          <ns0:t>v7_auto_office2</ns0:t>
        </ns0:is>
      </ns0:c>
      <ns0:c r="C19" s="281">
        <ns0:f>(C9-C8)*100</ns0:f>
        <ns0:v>-10.6542783685253</ns0:v>
      </ns0:c>
      <ns0:c r="D19" s="281">
        <ns0:f>(D9-D8)*100</ns0:f>
        <ns0:v>-12.8378455660641</ns0:v>
      </ns0:c>
      <ns0:c r="E19" s="281">
        <ns0:f>(E9-E8)*100</ns0:f>
        <ns0:v>-15.3469435759974</ns0:v>
      </ns0:c>
      <ns0:c r="F19" s="281">
        <ns0:f>(F9-F8)*100</ns0:f>
        <ns0:v>-15.1723214904302</ns0:v>
      </ns0:c>
      <ns0:c r="G19" s="281">
        <ns0:f>(G9-G8)*100</ns0:f>
        <ns0:v>2.36587311484303</ns0:v>
      </ns0:c>
      <ns0:c r="H19" s="281">
        <ns0:f>(H9-H8)*100</ns0:f>
        <ns0:v>-2.3773405160966</ns0:v>
      </ns0:c>
      <ns0:c r="I19" s="279" t="n"/>
      <ns0:c r="J19" s="279" t="n"/>
      <ns0:c r="K19" s="279" t="n"/>
      <ns0:c r="L19" s="279" t="n"/>
    </ns0:row>
    <ns0:row r="20" ht="66" customHeight="1" s="2">
      <ns0:c r="A20" s="279" t="inlineStr">
        <ns0:is>
          <ns0:t>v7_CLIP_auto_20260909_184833_3119794</ns0:t>
        </ns0:is>
      </ns0:c>
      <ns0:c r="B20" s="279" t="inlineStr">
        <ns0:is>
          <ns0:t>v7_auto_office2</ns0:t>
        </ns0:is>
      </ns0:c>
      <ns0:c r="C20" s="281">
        <ns0:f>(C10-C8)*100</ns0:f>
        <ns0:v>-2.6806134245813684</ns0:v>
      </ns0:c>
      <ns0:c r="D20" s="281">
        <ns0:f>(D10-D8)*100</ns0:f>
        <ns0:v>-3.9602431108497815</ns0:v>
      </ns0:c>
      <ns0:c r="E20" s="281">
        <ns0:f>(E10-E8)*100</ns0:f>
        <ns0:v>-9.073541462905393</ns0:v>
      </ns0:c>
      <ns0:c r="F20" s="281">
        <ns0:f>(F10-F8)*100</ns0:f>
        <ns0:v>-6.095864831298137</ns0:v>
      </ns0:c>
      <ns0:c r="G20" s="281">
        <ns0:f>(G10-G8)*100</ns0:f>
        <ns0:v>5.621675650206925</ns0:v>
      </ns0:c>
      <ns0:c r="H20" s="281">
        <ns0:f>(H10-H8)*100</ns0:f>
        <ns0:v>1.8946330403598055</ns0:v>
      </ns0:c>
      <ns0:c r="I20" s="279" t="n"/>
      <ns0:c r="J20" s="279" t="n"/>
      <ns0:c r="K20" s="279" t="n"/>
      <ns0:c r="L20" s="279" t="n"/>
    </ns0:row>
    <ns0:row r="21" ht="66" customHeight="1" s="2">
      <ns0:c r="A21" s="279" t="inlineStr">
        <ns0:is>
          <ns0:t>v7_CLIP_auto_20260909_184833_3119794</ns0:t>
        </ns0:is>
      </ns0:c>
      <ns0:c r="B21" s="279" t="inlineStr">
        <ns0:is>
          <ns0:t>v7_merge_auto</ns0:t>
        </ns0:is>
      </ns0:c>
      <ns0:c r="C21" s="281">
        <ns0:f>(C10-C9)*100</ns0:f>
        <ns0:v>7.97366494394392</ns0:v>
      </ns0:c>
      <ns0:c r="D21" s="281">
        <ns0:f>(D10-D9)*100</ns0:f>
        <ns0:v>8.877602455214346</ns0:v>
      </ns0:c>
      <ns0:c r="E21" s="281">
        <ns0:f>(E10-E9)*100</ns0:f>
        <ns0:v>6.273402113091997</ns0:v>
      </ns0:c>
      <ns0:c r="F21" s="281">
        <ns0:f>(F10-F9)*100</ns0:f>
        <ns0:v>9.076456659132043</ns0:v>
      </ns0:c>
      <ns0:c r="G21" s="281">
        <ns0:f>(G10-G9)*100</ns0:f>
        <ns0:v>3.255802535363894</ns0:v>
      </ns0:c>
      <ns0:c r="H21" s="281">
        <ns0:f>(H10-H9)*100</ns0:f>
        <ns0:v>4.27197355645641</ns0:v>
      </ns0:c>
      <ns0:c r="I21" s="279" t="n"/>
      <ns0:c r="J21" s="279" t="n"/>
      <ns0:c r="K21" s="279" t="n"/>
      <ns0:c r="L21" s="279" t="n"/>
    </ns0:row>
    <ns0:row r="22" ht="44" customHeight="1" s="2">
      <ns0:c r="A22" s="216" t="inlineStr">
        <ns0:is>
          <ns0:t>截图原报增量与显示值重算在 mIoU、mPrecision 上相差 0.01 个百分点，可能来自四舍五入。原始精度未取得，两种口径分别保留。</ns0:t>
        </ns0:is>
      </ns0:c>
    </ns0:row>
    <ns0:row r="23"/>
    <ns0:row r="24" ht="26" customHeight="1" s="2">
      <ns0:c r="A24" s="236" t="inlineStr">
        <ns0:is>
          <ns0:t>C. 实例 PQ 与几何覆盖率</ns0:t>
        </ns0:is>
      </ns0:c>
    </ns0:row>
    <ns0:row r="25" ht="48" customHeight="1" s="2">
      <ns0:c r="A25" s="223" t="inlineStr">
        <ns0:is>
          <ns0:t>方法</ns0:t>
        </ns0:is>
      </ns0:c>
      <ns0:c r="B25" s="223" t="inlineStr">
        <ns0:is>
          <ns0:t>PQ</ns0:t>
        </ns0:is>
      </ns0:c>
      <ns0:c r="C25" s="223" t="inlineStr">
        <ns0:is>
          <ns0:t>RQ</ns0:t>
        </ns0:is>
      </ns0:c>
      <ns0:c r="D25" s="223" t="inlineStr">
        <ns0:is>
          <ns0:t>SQ</ns0:t>
        </ns0:is>
      </ns0:c>
      <ns0:c r="E25" s="223" t="inlineStr">
        <ns0:is>
          <ns0:t>TP</ns0:t>
        </ns0:is>
      </ns0:c>
      <ns0:c r="F25" s="223" t="inlineStr">
        <ns0:is>
          <ns0:t>FP</ns0:t>
        </ns0:is>
      </ns0:c>
      <ns0:c r="G25" s="223" t="inlineStr">
        <ns0:is>
          <ns0:t>FN</ns0:t>
        </ns0:is>
      </ns0:c>
      <ns0:c r="H25" s="223" t="inlineStr">
        <ns0:is>
          <ns0:t>GT 实例数</ns0:t>
        </ns0:is>
      </ns0:c>
      <ns0:c r="I25" s="223" t="inlineStr">
        <ns0:is>
          <ns0:t>预测实例数</ns0:t>
        </ns0:is>
      </ns0:c>
      <ns0:c r="J25" s="223" t="inlineStr">
        <ns0:is>
          <ns0:t>覆盖率 2.5cm</ns0:t>
        </ns0:is>
      </ns0:c>
      <ns0:c r="K25" s="223" t="inlineStr">
        <ns0:is>
          <ns0:t>覆盖率 5cm</ns0:t>
        </ns0:is>
      </ns0:c>
      <ns0:c r="L25" s="223" t="inlineStr">
        <ns0:is>
          <ns0:t>覆盖率 10cm</ns0:t>
        </ns0:is>
      </ns0:c>
    </ns0:row>
    <ns0:row r="26" ht="38" customHeight="1" s="2">
      <ns0:c r="A26" s="226" t="inlineStr">
        <ns0:is>
          <ns0:t>Baseline</ns0:t>
        </ns0:is>
      </ns0:c>
      <ns0:c r="B26" s="226" t="n"/>
      <ns0:c r="C26" s="230" t="n"/>
      <ns0:c r="D26" s="230" t="n"/>
      <ns0:c r="E26" s="230" t="n"/>
      <ns0:c r="F26" s="230" t="n"/>
      <ns0:c r="G26" s="230" t="n"/>
      <ns0:c r="H26" s="230" t="n"/>
      <ns0:c r="I26" s="226" t="n"/>
      <ns0:c r="J26" s="226" t="n"/>
      <ns0:c r="K26" s="226" t="n"/>
      <ns0:c r="L26" s="226" t="n"/>
    </ns0:row>
    <ns0:row r="27" ht="38" customHeight="1" s="2">
      <ns0:c r="A27" s="279" t="inlineStr">
        <ns0:is>
          <ns0:t>人工关联+合并</ns0:t>
        </ns0:is>
      </ns0:c>
      <ns0:c r="B27" s="279" t="n"/>
      <ns0:c r="C27" s="231" t="n"/>
      <ns0:c r="D27" s="231" t="n"/>
      <ns0:c r="E27" s="231" t="n"/>
      <ns0:c r="F27" s="231" t="n"/>
      <ns0:c r="G27" s="231" t="n"/>
      <ns0:c r="H27" s="231" t="n"/>
      <ns0:c r="I27" s="279" t="n"/>
      <ns0:c r="J27" s="279" t="n"/>
      <ns0:c r="K27" s="279" t="n"/>
      <ns0:c r="L27" s="279" t="n"/>
    </ns0:row>
    <ns0:row r="28" ht="60" customHeight="1" s="2">
      <ns0:c r="A28" s="226" t="inlineStr">
        <ns0:is>
          <ns0:t>v7_auto_office2</ns0:t>
        </ns0:is>
      </ns0:c>
      <ns0:c r="B28" s="239" t="n">
        <ns0:v>0.4880132945198348</ns0:v>
      </ns0:c>
      <ns0:c r="C28" s="239" t="n">
        <ns0:v>0.5833333333333334</ns0:v>
      </ns0:c>
      <ns0:c r="D28" s="239" t="n">
        <ns0:v>0.8365942191768596</ns0:v>
      </ns0:c>
      <ns0:c r="E28" s="226" t="n">
        <ns0:v>28</ns0:v>
      </ns0:c>
      <ns0:c r="F28" s="305" t="n">
        <ns0:v>12</ns0:v>
      </ns0:c>
      <ns0:c r="G28" s="226" t="n">
        <ns0:v>28</ns0:v>
      </ns0:c>
      <ns0:c r="H28" s="226" t="n">
        <ns0:v>56</ns0:v>
      </ns0:c>
      <ns0:c r="I28" s="226" t="n">
        <ns0:v>57</ns0:v>
      </ns0:c>
      <ns0:c r="J28" s="239" t="n">
        <ns0:v>0.9559145146629834</ns0:v>
      </ns0:c>
      <ns0:c r="K28" s="239" t="n">
        <ns0:v>0.9622436972367973</ns0:v>
      </ns0:c>
      <ns0:c r="L28" s="239" t="n">
        <ns0:v>0.9680606074316993</ns0:v>
      </ns0:c>
    </ns0:row>
    <ns0:row r="29" ht="60" customHeight="1" s="2">
      <ns0:c r="A29" s="226" t="inlineStr">
        <ns0:is>
          <ns0:t>v7_merge_auto_20260909_133115_1287091</ns0:t>
        </ns0:is>
      </ns0:c>
      <ns0:c r="B29" s="239" t="n">
        <ns0:v>0.4967194516700229</ns0:v>
      </ns0:c>
      <ns0:c r="C29" s="239" t="n">
        <ns0:v>0.5684210526315789</ns0:v>
      </ns0:c>
      <ns0:c r="D29" s="306" t="n">
        <ns0:v>0.8738582946046699</ns0:v>
      </ns0:c>
      <ns0:c r="E29" s="226" t="n">
        <ns0:v>27</ns0:v>
      </ns0:c>
      <ns0:c r="F29" s="305" t="n">
        <ns0:v>12</ns0:v>
      </ns0:c>
      <ns0:c r="G29" s="226" t="n">
        <ns0:v>29</ns0:v>
      </ns0:c>
      <ns0:c r="H29" s="226" t="n">
        <ns0:v>56</ns0:v>
      </ns0:c>
      <ns0:c r="I29" s="226" t="n">
        <ns0:v>55</ns0:v>
      </ns0:c>
      <ns0:c r="J29" s="239" t="n">
        <ns0:v>0.9682415917446361</ns0:v>
      </ns0:c>
      <ns0:c r="K29" s="239" t="n">
        <ns0:v>0.975199570844047</ns0:v>
      </ns0:c>
      <ns0:c r="L29" s="306" t="n">
        <ns0:v>0.9809427237333345</ns0:v>
      </ns0:c>
    </ns0:row>
    <ns0:row r="30" ht="66" customHeight="1" s="2">
      <ns0:c r="A30" s="226" t="inlineStr">
        <ns0:is>
          <ns0:t>v7_CLIP_auto_20260909_184833_3119794</ns0:t>
        </ns0:is>
      </ns0:c>
      <ns0:c r="B30" s="276">
        <ns0:v>0.49010852858077125</ns0:v>
      </ns0:c>
      <ns0:c r="C30" s="239">
        <ns0:v>0.5684210526315789</ns0:v>
      </ns0:c>
      <ns0:c r="D30" s="276">
        <ns0:v>0.8622279669476531</ns0:v>
      </ns0:c>
      <ns0:c r="E30" s="226">
        <ns0:v>27</ns0:v>
      </ns0:c>
      <ns0:c r="F30" s="305">
        <ns0:v>12</ns0:v>
      </ns0:c>
      <ns0:c r="G30" s="226">
        <ns0:v>29</ns0:v>
      </ns0:c>
      <ns0:c r="H30" s="226">
        <ns0:v>56</ns0:v>
      </ns0:c>
      <ns0:c r="I30" s="226">
        <ns0:v>56</ns0:v>
      </ns0:c>
      <ns0:c r="J30" s="306">
        <ns0:v>0.9684532566174714</ns0:v>
      </ns0:c>
      <ns0:c r="K30" s="276">
        <ns0:v>0.9751456474357405</ns0:v>
      </ns0:c>
      <ns0:c r="L30" s="276">
        <ns0:v>0.980940244496171</ns0:v>
      </ns0:c>
    </ns0:row>
    <ns0:row r="31" ht="66" customHeight="1" s="2">
      <ns0:c r="A31" s="226" t="inlineStr">
        <ns0:is>
          <ns0:t>OVI-MAP</ns0:t>
        </ns0:is>
      </ns0:c>
      <ns0:c r="B31" s="306">
        <ns0:v>0.576422924207592</ns0:v>
      </ns0:c>
      <ns0:c r="C31" s="306">
        <ns0:v>0.672897196261682</ns0:v>
      </ns0:c>
      <ns0:c r="D31" s="276">
        <ns0:v>0.85662851236406</ns0:v>
      </ns0:c>
      <ns0:c r="E31" s="305">
        <ns0:v>36</ns0:v>
      </ns0:c>
      <ns0:c r="F31" s="277">
        <ns0:v>15</ns0:v>
      </ns0:c>
      <ns0:c r="G31" s="305">
        <ns0:v>20</ns0:v>
      </ns0:c>
      <ns0:c r="H31" s="226">
        <ns0:v>56</ns0:v>
      </ns0:c>
      <ns0:c r="I31" s="226" t="n"/>
      <ns0:c r="J31" s="276" t="n"/>
      <ns0:c r="K31" s="306">
        <ns0:v>0.990895001516983</ns0:v>
      </ns0:c>
      <ns0:c r="L31" s="276" t="n"/>
    </ns0:row>
    <ns0:row r="32" ht="44" customHeight="1" s="2">
      <ns0:c r="A32" s="216" t="inlineStr">
        <ns0:is>
          <ns0:t>截图Baseline/人工行的PQ和覆盖率无对应实验来源，继续留空。OVI-MAP已补入现有旧口径PQ与5cm覆盖；其余空白未在原表记录。</ns0:t>
        </ns0:is>
      </ns0:c>
    </ns0:row>
    <ns0:row r="33"/>
    <ns0:row r="34" ht="28" customHeight="1" s="2">
      <ns0:c r="A34" s="236" t="inlineStr">
        <ns0:is>
          <ns0:t>D. 服务器实验完成状态与诊断</ns0:t>
        </ns0:is>
      </ns0:c>
    </ns0:row>
    <ns0:row r="35" ht="48" customHeight="1" s="2">
      <ns0:c r="A35" s="223" t="inlineStr">
        <ns0:is>
          <ns0:t>实验目录</ns0:t>
        </ns0:is>
      </ns0:c>
      <ns0:c r="B35" s="223" t="inlineStr">
        <ns0:is>
          <ns0:t>状态</ns0:t>
        </ns0:is>
      </ns0:c>
      <ns0:c r="C35" s="223" t="inlineStr">
        <ns0:is>
          <ns0:t>处理帧</ns0:t>
        </ns0:is>
      </ns0:c>
      <ns0:c r="D35" s="223" t="inlineStr">
        <ns0:is>
          <ns0:t>对象数</ns0:t>
        </ns0:is>
      </ns0:c>
      <ns0:c r="E35" s="223" t="inlineStr">
        <ns0:is>
          <ns0:t>对象点数</ns0:t>
        </ns0:is>
      </ns0:c>
      <ns0:c r="F35" s="223" t="inlineStr">
        <ns0:is>
          <ns0:t>语义评测总秒</ns0:t>
        </ns0:is>
      </ns0:c>
      <ns0:c r="G35" s="223" t="inlineStr">
        <ns0:is>
          <ns0:t>场景计算秒</ns0:t>
        </ns0:is>
      </ns0:c>
      <ns0:c r="H35" s="223" t="inlineStr">
        <ns0:is>
          <ns0:t>IoU为0类数</ns0:t>
        </ns0:is>
      </ns0:c>
      <ns0:c r="I35" s="223" t="inlineStr">
        <ns0:is>
          <ns0:t>评测类别数</ns0:t>
        </ns0:is>
      </ns0:c>
      <ns0:c r="J35" s="223" t="inlineStr">
        <ns0:is>
          <ns0:t>前景参考点数</ns0:t>
        </ns0:is>
      </ns0:c>
      <ns0:c r="K35" s="223" t="inlineStr">
        <ns0:is>
          <ns0:t>说明</ns0:t>
        </ns0:is>
      </ns0:c>
      <ns0:c r="L35" s="223" t="n"/>
    </ns0:row>
    <ns0:row r="36" ht="60" customHeight="1" s="2">
      <ns0:c r="A36" s="226" t="inlineStr">
        <ns0:is>
          <ns0:t>v7_auto_office2</ns0:t>
        </ns0:is>
      </ns0:c>
      <ns0:c r="B36" s="226" t="inlineStr">
        <ns0:is>
          <ns0:t>完成</ns0:t>
        </ns0:is>
      </ns0:c>
      <ns0:c r="C36" s="226" t="n">
        <ns0:v>400</ns0:v>
      </ns0:c>
      <ns0:c r="D36" s="226" t="n">
        <ns0:v>57</ns0:v>
      </ns0:c>
      <ns0:c r="E36" s="226" t="n">
        <ns0:v>546274</ns0:v>
      </ns0:c>
      <ns0:c r="F36" s="226" t="n">
        <ns0:v>63.385</ns0:v>
      </ns0:c>
      <ns0:c r="G36" s="226" t="n">
        <ns0:v>47.757</ns0:v>
      </ns0:c>
      <ns0:c r="H36" s="226" t="n">
        <ns0:v>4</ns0:v>
      </ns0:c>
      <ns0:c r="I36" s="226" t="n">
        <ns0:v>15</ns0:v>
      </ns0:c>
      <ns0:c r="J36" s="226" t="n">
        <ns0:v>3226799</ns0:v>
      </ns0:c>
      <ns0:c r="K36" s="226" t="inlineStr">
        <ns0:is>
          <ns0:t>完整在线结果；独立检测输入，未做因果归因</ns0:t>
        </ns0:is>
      </ns0:c>
      <ns0:c r="L36" s="226" t="n"/>
    </ns0:row>
    <ns0:row r="37" ht="60" customHeight="1" s="2">
      <ns0:c r="A37" s="226" t="inlineStr">
        <ns0:is>
          <ns0:t>v7_merge_auto_20260909_133115_1287091</ns0:t>
        </ns0:is>
      </ns0:c>
      <ns0:c r="B37" s="226" t="inlineStr">
        <ns0:is>
          <ns0:t>完成</ns0:t>
        </ns0:is>
      </ns0:c>
      <ns0:c r="C37" s="226" t="n">
        <ns0:v>400</ns0:v>
      </ns0:c>
      <ns0:c r="D37" s="226" t="n">
        <ns0:v>55</ns0:v>
      </ns0:c>
      <ns0:c r="E37" s="226" t="n">
        <ns0:v>684804</ns0:v>
      </ns0:c>
      <ns0:c r="F37" s="226" t="n">
        <ns0:v>34.595</ns0:v>
      </ns0:c>
      <ns0:c r="G37" s="226" t="n">
        <ns0:v>19.541</ns0:v>
      </ns0:c>
      <ns0:c r="H37" s="226" t="n">
        <ns0:v>7</ns0:v>
      </ns0:c>
      <ns0:c r="I37" s="226" t="n">
        <ns0:v>15</ns0:v>
      </ns0:c>
      <ns0:c r="J37" s="226" t="n">
        <ns0:v>3226799</ns0:v>
      </ns0:c>
      <ns0:c r="K37" s="226" t="inlineStr">
        <ns0:is>
          <ns0:t>完整在线结果；独立检测输入，未做因果归因</ns0:t>
        </ns0:is>
      </ns0:c>
      <ns0:c r="L37" s="226" t="n"/>
    </ns0:row>
    <ns0:row r="38" ht="66" customHeight="1" s="2">
      <ns0:c r="A38" s="226" t="inlineStr">
        <ns0:is>
          <ns0:t>v7_CLIP_auto_20260909_184833_3119794</ns0:t>
        </ns0:is>
      </ns0:c>
      <ns0:c r="B38" s="226" t="inlineStr">
        <ns0:is>
          <ns0:t>完成</ns0:t>
        </ns0:is>
      </ns0:c>
      <ns0:c r="C38" s="226">
        <ns0:v>400</ns0:v>
      </ns0:c>
      <ns0:c r="D38" s="226">
        <ns0:v>56</ns0:v>
      </ns0:c>
      <ns0:c r="E38" s="226">
        <ns0:v>734778</ns0:v>
      </ns0:c>
      <ns0:c r="F38" s="226">
        <ns0:v>32.678</ns0:v>
      </ns0:c>
      <ns0:c r="G38" s="226">
        <ns0:v>18.577</ns0:v>
      </ns0:c>
      <ns0:c r="H38" s="226">
        <ns0:v>6</ns0:v>
      </ns0:c>
      <ns0:c r="I38" s="226">
        <ns0:v>15</ns0:v>
      </ns0:c>
      <ns0:c r="J38" s="226">
        <ns0:v>3226799</ns0:v>
      </ns0:c>
      <ns0:c r="K38" s="226" t="inlineStr">
        <ns0:is>
          <ns0:t>已完成且证据校验通过</ns0:t>
        </ns0:is>
      </ns0:c>
      <ns0:c r="L38" s="226" t="n"/>
    </ns0:row>
    <ns0:row r="39"/>
    <ns0:row r="40" ht="26" customHeight="1" s="2">
      <ns0:c r="A40" s="236" t="inlineStr">
        <ns0:is>
          <ns0:t>E. 来源与可比性说明</ns0:t>
        </ns0:is>
      </ns0:c>
    </ns0:row>
    <ns0:row r="41" ht="44" customHeight="1" s="2">
      <ns0:c r="A41" s="216" t="inlineStr">
        <ns0:is>
          <ns0:t>来源：本次提供的“语义评测结果”截图，包含 Baseline、人工关联+合并及 Point Accuracy；记录日期：2026-09-08。</ns0:t>
        </ns0:is>
      </ns0:c>
    </ns0:row>
    <ns0:row r="42" ht="44" customHeight="1" s="2">
      <ns0:c r="A42" s="216" t="inlineStr">
        <ns0:is>
          <ns0:t>main/ali-my语义来源：本工作簿「语义8场景」第24/25行。OVI-MAP语义/PQ/5cm覆盖来源：OVI_MAP_统一指标对比.xlsx「office2旧版指标」B列。</ns0:t>
        </ns0:is>
      </ns0:c>
    </ns0:row>
    <ns0:row r="43" ht="44" customHeight="1" s="2">
      <ns0:c r="A43" s="216" t="inlineStr">
        <ns0:is>
          <ns0:t>比较前须确认两组使用相同的场景、输入帧、检测结果和评测支持集；本表不将 office2 与 room0 的绝对数值直接混比。</ns0:t>
        </ns0:is>
      </ns0:c>
    </ns0:row>
    <ns0:row r="44" ht="64" customHeight="1" s="2">
      <ns0:c r="A44" s="216" t="inlineStr">
        <ns0:is>
          <ns0:t>v7_auto_office2 semantic：/home/chenkejun/beauty/conceptgraphs/results/experiments/oracle_three_error_20260828/pilot/b0_dataset/Replica/office2/exps/v7_auto_office2/point_semantic_ali_dev_nexclude6_20260908_221216_030167491/semseg_results.json</ns0:t>
        </ns0:is>
      </ns0:c>
    </ns0:row>
    <ns0:row r="45" ht="64" customHeight="1" s="2">
      <ns0:c r="A45" s="216" t="inlineStr">
        <ns0:is>
          <ns0:t>v7_auto_office2 pq：/home/chenkejun/beauty/conceptgraphs/results/experiments/oracle_three_error_20260828/pilot/b0_dataset/Replica/office2/exps/v7_auto_office2/instance_pq_fixed_support_20260909_155544_903932431/instance_pq.csv</ns0:t>
        </ns0:is>
      </ns0:c>
    </ns0:row>
    <ns0:row r="46" ht="64" customHeight="1" s="2">
      <ns0:c r="A46" s="216" t="inlineStr">
        <ns0:is>
          <ns0:t>v7_auto_office2 coverage：/home/chenkejun/beauty/conceptgraphs/results/experiments/oracle_three_error_20260828/pilot/b0_dataset/Replica/office2/exps/v7_auto_office2/geometry_coverage_fixed_support_20260909_155640_936665581/coverage.csv</ns0:t>
        </ns0:is>
      </ns0:c>
    </ns0:row>
    <ns0:row r="47" ht="64" customHeight="1" s="2">
      <ns0:c r="A47" s="216" t="inlineStr">
        <ns0:is>
          <ns0:t>v7_merge_auto_20260909_133115_1287091 semantic：/home/chenkejun/beauty/conceptgraphs/results/experiments/oracle_three_error_20260828/pilot/b0_dataset/Replica/office2/exps/v7_merge_auto_20260909_133115_1287091/point_semantic_ali_dev_nexclude6_20260909_155132_933607685/semseg_results.json</ns0:t>
        </ns0:is>
      </ns0:c>
    </ns0:row>
    <ns0:row r="48" ht="64" customHeight="1" s="2">
      <ns0:c r="A48" s="216" t="inlineStr">
        <ns0:is>
          <ns0:t>v7_merge_auto_20260909_133115_1287091 pq：/home/chenkejun/beauty/conceptgraphs/results/experiments/oracle_three_error_20260828/pilot/b0_dataset/Replica/office2/exps/v7_merge_auto_20260909_133115_1287091/instance_pq_fixed_support_20260909_155725_720621099/instance_pq.csv</ns0:t>
        </ns0:is>
      </ns0:c>
    </ns0:row>
    <ns0:row r="49" ht="64" customHeight="1" s="2">
      <ns0:c r="A49" s="216" t="inlineStr">
        <ns0:is>
          <ns0:t>v7_merge_auto_20260909_133115_1287091 coverage：/home/chenkejun/beauty/conceptgraphs/results/experiments/oracle_three_error_20260828/pilot/b0_dataset/Replica/office2/exps/v7_merge_auto_20260909_133115_1287091/geometry_coverage_fixed_support_20260909_155801_262653294/coverage.csv</ns0:t>
        </ns0:is>
      </ns0:c>
    </ns0:row>
    <ns0:row r="50" ht="64" customHeight="1" s="2">
      <ns0:c r="A50" s="216" t="inlineStr">
        <ns0:is>
          <ns0:t>服务器语义mF1沿用ali-dev原公式；PQ与覆盖率为fixed-support，按统一stride5参考点云评测。不同检测输入及代码变化尚未逐项控制，不将差值归因于单一模块。</ns0:t>
        </ns0:is>
      </ns0:c>
    </ns0:row>
    <ns0:row r="51" ht="68" customHeight="1" s="2">
      <ns0:c r="A51" s="216" t="inlineStr">
        <ns0:is>
          <ns0:t>v7_CLIP_auto_20260909_184833_3119794 semantic：/home/chenkejun/beauty/conceptgraphs/results/experiments/oracle_three_error_20260828/pilot/b0_dataset/Replica/office2/exps/v7_CLIP_auto_20260909_184833_3119794/point_semantic_ali_dev_nexclude6_20260909_230938_489583088/semseg_results.json</ns0:t>
        </ns0:is>
      </ns0:c>
    </ns0:row>
    <ns0:row r="52" ht="68" customHeight="1" s="2">
      <ns0:c r="A52" s="216" t="inlineStr">
        <ns0:is>
          <ns0:t>v7_CLIP_auto_20260909_184833_3119794 pq：/home/chenkejun/beauty/conceptgraphs/results/experiments/oracle_three_error_20260828/pilot/b0_dataset/Replica/office2/exps/v7_CLIP_auto_20260909_184833_3119794/instance_pq_fixed_support_20260909_232134_077171125/instance_pq.csv</ns0:t>
        </ns0:is>
      </ns0:c>
    </ns0:row>
    <ns0:row r="53" ht="68" customHeight="1" s="2">
      <ns0:c r="A53" s="216" t="inlineStr">
        <ns0:is>
          <ns0:t>v7_CLIP_auto_20260909_184833_3119794 coverage：/home/chenkejun/beauty/conceptgraphs/results/experiments/oracle_three_error_20260828/pilot/b0_dataset/Replica/office2/exps/v7_CLIP_auto_20260909_184833_3119794/geometry_coverage_fixed_support_20260909_232218_408881351/coverage.csv</ns0:t>
        </ns0:is>
      </ns0:c>
    </ns0:row>
    <ns0:row r="54" ht="68" customHeight="1" s="2">
      <ns0:c r="A54" s="216" t="inlineStr">
        <ns0:is>
          <ns0:t>v7_CLIP_auto_20260909_184833_3119794 common：/home/chenkejun/beauty/conceptgraphs/results/experiments/oracle_three_error_20260828/pilot/b0_dataset/Replica/office2/exps/v7_CLIP_auto_20260909_184833_3119794/ovimap_common_eval_20260909/result.json</ns0:t>
        </ns0:is>
      </ns0:c>
    </ns0:row>
    <ns0:row r="55" ht="26" customHeight="1" s="2">
      <ns0:c r="A55" s="236" t="inlineStr">
        <ns0:is>
          <ns0:t>D. 补充指标与计时</ns0:t>
        </ns0:is>
      </ns0:c>
    </ns0:row>
    <ns0:row r="56" ht="32" customHeight="1" s="2">
      <ns0:c r="A56" s="223" t="inlineStr">
        <ns0:is>
          <ns0:t>指标</ns0:t>
        </ns0:is>
      </ns0:c>
      <ns0:c r="B56" s="223" t="inlineStr">
        <ns0:is>
          <ns0:t>数值</ns0:t>
        </ns0:is>
      </ns0:c>
      <ns0:c r="C56" s="223" t="inlineStr">
        <ns0:is>
          <ns0:t>单位</ns0:t>
        </ns0:is>
      </ns0:c>
      <ns0:c r="D56" s="223" t="n"/>
      <ns0:c r="E56" s="223" t="n"/>
      <ns0:c r="F56" s="223" t="n"/>
      <ns0:c r="G56" s="223" t="n"/>
      <ns0:c r="H56" s="223" t="n"/>
      <ns0:c r="I56" s="223" t="n"/>
      <ns0:c r="J56" s="223" t="n"/>
      <ns0:c r="K56" s="223" t="n"/>
      <ns0:c r="L56" s="223" t="n"/>
    </ns0:row>
    <ns0:row r="57" ht="36" customHeight="1" s="2">
      <ns0:c r="A57" s="279" t="inlineStr">
        <ns0:is>
          <ns0:t>语义标准mF1</ns0:t>
        </ns0:is>
      </ns0:c>
      <ns0:c r="B57" s="278">
        <ns0:v>0.44161326760601993</ns0:v>
      </ns0:c>
      <ns0:c r="C57" s="279" t="inlineStr">
        <ns0:is>
          <ns0:t>比例</ns0:t>
        </ns0:is>
      </ns0:c>
      <ns0:c r="D57" s="278" t="n"/>
      <ns0:c r="E57" s="278" t="n"/>
      <ns0:c r="F57" s="278" t="n"/>
      <ns0:c r="G57" s="276" t="n"/>
      <ns0:c r="H57" s="278" t="n"/>
      <ns0:c r="I57" s="279" t="n"/>
      <ns0:c r="J57" s="279" t="n"/>
      <ns0:c r="K57" s="279" t="n"/>
      <ns0:c r="L57" s="277" t="n"/>
    </ns0:row>
    <ns0:row r="58" ht="36" customHeight="1" s="2">
      <ns0:c r="A58" s="279" t="inlineStr">
        <ns0:is>
          <ns0:t>已记录HTTP尝试</ns0:t>
        </ns0:is>
      </ns0:c>
      <ns0:c r="B58" s="280">
        <ns0:v>1749</ns0:v>
      </ns0:c>
      <ns0:c r="C58" s="279" t="inlineStr">
        <ns0:is>
          <ns0:t>次</ns0:t>
        </ns0:is>
      </ns0:c>
      <ns0:c r="D58" s="278" t="n"/>
      <ns0:c r="E58" s="278" t="n"/>
      <ns0:c r="F58" s="278" t="n"/>
      <ns0:c r="G58" s="276" t="n"/>
      <ns0:c r="H58" s="278" t="n"/>
      <ns0:c r="I58" s="279" t="n"/>
      <ns0:c r="J58" s="279" t="n"/>
      <ns0:c r="K58" s="279" t="n"/>
      <ns0:c r="L58" s="277" t="n"/>
    </ns0:row>
    <ns0:row r="59" ht="36" customHeight="1" s="2">
      <ns0:c r="A59" s="279" t="inlineStr">
        <ns0:is>
          <ns0:t>PQ评估耗时</ns0:t>
        </ns0:is>
      </ns0:c>
      <ns0:c r="B59" s="281">
        <ns0:v>43.40653592348099</ns0:v>
      </ns0:c>
      <ns0:c r="C59" s="279" t="inlineStr">
        <ns0:is>
          <ns0:t>秒</ns0:t>
        </ns0:is>
      </ns0:c>
      <ns0:c r="D59" s="278" t="n"/>
      <ns0:c r="E59" s="278" t="n"/>
      <ns0:c r="F59" s="278" t="n"/>
      <ns0:c r="G59" s="276" t="n"/>
      <ns0:c r="H59" s="278" t="n"/>
      <ns0:c r="I59" s="279" t="n"/>
      <ns0:c r="J59" s="279" t="n"/>
      <ns0:c r="K59" s="279" t="n"/>
      <ns0:c r="L59" s="277" t="n"/>
    </ns0:row>
    <ns0:row r="60" ht="36" customHeight="1" s="2">
      <ns0:c r="A60" s="279" t="inlineStr">
        <ns0:is>
          <ns0:t>覆盖率评估耗时</ns0:t>
        </ns0:is>
      </ns0:c>
      <ns0:c r="B60" s="281">
        <ns0:v>29.808426713570952</ns0:v>
      </ns0:c>
      <ns0:c r="C60" s="279" t="inlineStr">
        <ns0:is>
          <ns0:t>秒</ns0:t>
        </ns0:is>
      </ns0:c>
      <ns0:c r="D60" s="278" t="n"/>
      <ns0:c r="E60" s="278" t="n"/>
      <ns0:c r="F60" s="278" t="n"/>
      <ns0:c r="G60" s="276" t="n"/>
      <ns0:c r="H60" s="278" t="n"/>
      <ns0:c r="I60" s="279" t="n"/>
      <ns0:c r="J60" s="279" t="n"/>
      <ns0:c r="K60" s="279" t="n"/>
      <ns0:c r="L60" s="277" t="n"/>
    </ns0:row>
    <ns0:row r="61" ht="36" customHeight="1" s="2">
      <ns0:c r="A61" s="279" t="inlineStr">
        <ns0:is>
          <ns0:t>统一评估耗时</ns0:t>
        </ns0:is>
      </ns0:c>
      <ns0:c r="B61" s="281">
        <ns0:v>16.634946286678314</ns0:v>
      </ns0:c>
      <ns0:c r="C61" s="279" t="inlineStr">
        <ns0:is>
          <ns0:t>秒</ns0:t>
        </ns0:is>
      </ns0:c>
      <ns0:c r="D61" s="278" t="n"/>
      <ns0:c r="E61" s="278" t="n"/>
      <ns0:c r="F61" s="278" t="n"/>
      <ns0:c r="G61" s="276" t="n"/>
      <ns0:c r="H61" s="278" t="n"/>
      <ns0:c r="I61" s="279" t="n"/>
      <ns0:c r="J61" s="279" t="n"/>
      <ns0:c r="K61" s="279" t="n"/>
      <ns0:c r="L61" s="277" t="n"/>
    </ns0:row>
    <ns0:row r="62" ht="44" customHeight="1" s="2">
      <ns0:c r="A62" s="216" t="inlineStr">
        <ns0:is>
          <ns0:t>黄色为同场景同口径记录中的最优（含并列），截图未绑定实验不混比。OVI-MAP使用原生SigLIP；不同检测输入不能作单模块因果归因。</ns0:t>
        </ns0:is>
      </ns0:c>
    </ns0:row>
    <ns0:row r="63" ht="26" customHeight="1" s="2">
      <ns0:c r="A63" s="236" t="inlineStr">
        <ns0:is>
          <ns0:t>逐类语义指标（当前实验）</ns0:t>
        </ns0:is>
      </ns0:c>
    </ns0:row>
    <ns0:row r="64" ht="42" customHeight="1" s="2">
      <ns0:c r="A64" s="223" t="inlineStr">
        <ns0:is>
          <ns0:t>类别</ns0:t>
        </ns0:is>
      </ns0:c>
      <ns0:c r="B64" s="223" t="inlineStr">
        <ns0:is>
          <ns0:t>IoU</ns0:t>
        </ns0:is>
      </ns0:c>
      <ns0:c r="C64" s="223" t="inlineStr">
        <ns0:is>
          <ns0:t>Precision</ns0:t>
        </ns0:is>
      </ns0:c>
      <ns0:c r="D64" s="223" t="inlineStr">
        <ns0:is>
          <ns0:t>Recall</ns0:t>
        </ns0:is>
      </ns0:c>
      <ns0:c r="E64" s="223" t="inlineStr">
        <ns0:is>
          <ns0:t>F1原公式</ns0:t>
        </ns0:is>
      </ns0:c>
      <ns0:c r="F64" s="223" t="inlineStr">
        <ns0:is>
          <ns0:t>F1标准公式</ns0:t>
        </ns0:is>
      </ns0:c>
      <ns0:c r="G64" s="223" t="n"/>
      <ns0:c r="H64" s="223" t="n"/>
      <ns0:c r="I64" s="223" t="n"/>
      <ns0:c r="J64" s="223" t="n"/>
      <ns0:c r="K64" s="223" t="n"/>
      <ns0:c r="L64" s="223" t="n"/>
    </ns0:row>
    <ns0:row r="65" ht="30" customHeight="1" s="2">
      <ns0:c r="A65" s="279" t="inlineStr">
        <ns0:is>
          <ns0:t>bin</ns0:t>
        </ns0:is>
      </ns0:c>
      <ns0:c r="B65" s="278">
        <ns0:v>0.2961608138238573</ns0:v>
      </ns0:c>
      <ns0:c r="C65" s="278">
        <ns0:v>0.2961608138238573</ns0:v>
      </ns0:c>
      <ns0:c r="D65" s="278">
        <ns0:v>1</ns0:v>
      </ns0:c>
      <ns0:c r="E65" s="278">
        <ns0:v>0.4569815884961699</ns0:v>
      </ns0:c>
      <ns0:c r="F65" s="278">
        <ns0:v>0.4569815884961699</ns0:v>
      </ns0:c>
      <ns0:c r="G65" s="276" t="n"/>
      <ns0:c r="H65" s="278" t="n"/>
      <ns0:c r="I65" s="279" t="n"/>
      <ns0:c r="J65" s="279" t="n"/>
      <ns0:c r="K65" s="279" t="n"/>
      <ns0:c r="L65" s="277" t="n"/>
    </ns0:row>
    <ns0:row r="66" ht="30" customHeight="1" s="2">
      <ns0:c r="A66" s="279" t="inlineStr">
        <ns0:is>
          <ns0:t>bottle</ns0:t>
        </ns0:is>
      </ns0:c>
      <ns0:c r="B66" s="278">
        <ns0:v>0</ns0:v>
      </ns0:c>
      <ns0:c r="C66" s="278">
        <ns0:v>0</ns0:v>
      </ns0:c>
      <ns0:c r="D66" s="278">
        <ns0:v>0</ns0:v>
      </ns0:c>
      <ns0:c r="E66" s="278">
        <ns0:v>0</ns0:v>
      </ns0:c>
      <ns0:c r="F66" s="278">
        <ns0:v>0</ns0:v>
      </ns0:c>
      <ns0:c r="G66" s="276" t="n"/>
      <ns0:c r="H66" s="278" t="n"/>
      <ns0:c r="I66" s="279" t="n"/>
      <ns0:c r="J66" s="279" t="n"/>
      <ns0:c r="K66" s="279" t="n"/>
      <ns0:c r="L66" s="277" t="n"/>
    </ns0:row>
    <ns0:row r="67" ht="30" customHeight="1" s="2">
      <ns0:c r="A67" s="279" t="inlineStr">
        <ns0:is>
          <ns0:t>camera</ns0:t>
        </ns0:is>
      </ns0:c>
      <ns0:c r="B67" s="278">
        <ns0:v>0</ns0:v>
      </ns0:c>
      <ns0:c r="C67" s="278">
        <ns0:v>0</ns0:v>
      </ns0:c>
      <ns0:c r="D67" s="278">
        <ns0:v>0</ns0:v>
      </ns0:c>
      <ns0:c r="E67" s="278">
        <ns0:v>0</ns0:v>
      </ns0:c>
      <ns0:c r="F67" s="278">
        <ns0:v>0</ns0:v>
      </ns0:c>
      <ns0:c r="G67" s="276" t="n"/>
      <ns0:c r="H67" s="278" t="n"/>
      <ns0:c r="I67" s="279" t="n"/>
      <ns0:c r="J67" s="279" t="n"/>
      <ns0:c r="K67" s="279" t="n"/>
      <ns0:c r="L67" s="277" t="n"/>
    </ns0:row>
    <ns0:row r="68" ht="30" customHeight="1" s="2">
      <ns0:c r="A68" s="279" t="inlineStr">
        <ns0:is>
          <ns0:t>chair</ns0:t>
        </ns0:is>
      </ns0:c>
      <ns0:c r="B68" s="278">
        <ns0:v>0.7666225222641935</ns0:v>
      </ns0:c>
      <ns0:c r="C68" s="278">
        <ns0:v>0.8135613195101615</ns0:v>
      </ns0:c>
      <ns0:c r="D68" s="278">
        <ns0:v>0.9300082440230832</ns0:v>
      </ns0:c>
      <ns0:c r="E68" s="278">
        <ns0:v>0.8678962399750807</ns0:v>
      </ns0:c>
      <ns0:c r="F68" s="278">
        <ns0:v>0.8678962399750807</ns0:v>
      </ns0:c>
      <ns0:c r="G68" s="276" t="n"/>
      <ns0:c r="H68" s="278" t="n"/>
      <ns0:c r="I68" s="279" t="n"/>
      <ns0:c r="J68" s="279" t="n"/>
      <ns0:c r="K68" s="279" t="n"/>
      <ns0:c r="L68" s="277" t="n"/>
    </ns0:row>
    <ns0:row r="69" ht="30" customHeight="1" s="2">
      <ns0:c r="A69" s="279" t="inlineStr">
        <ns0:is>
          <ns0:t>cushion</ns0:t>
        </ns0:is>
      </ns0:c>
      <ns0:c r="B69" s="278">
        <ns0:v>0.8795019237328195</ns0:v>
      </ns0:c>
      <ns0:c r="C69" s="278">
        <ns0:v>0.9304320303845545</ns0:v>
      </ns0:c>
      <ns0:c r="D69" s="278">
        <ns0:v>0.941408927004541</ns0:v>
      </ns0:c>
      <ns0:c r="E69" s="278">
        <ns0:v>0.9358882931985176</ns0:v>
      </ns0:c>
      <ns0:c r="F69" s="278">
        <ns0:v>0.9358882931985176</ns0:v>
      </ns0:c>
      <ns0:c r="G69" s="276" t="n"/>
      <ns0:c r="H69" s="278" t="n"/>
      <ns0:c r="I69" s="279" t="n"/>
      <ns0:c r="J69" s="279" t="n"/>
      <ns0:c r="K69" s="279" t="n"/>
      <ns0:c r="L69" s="277" t="n"/>
    </ns0:row>
    <ns0:row r="70" ht="30" customHeight="1" s="2">
      <ns0:c r="A70" s="279" t="inlineStr">
        <ns0:is>
          <ns0:t>lamp</ns0:t>
        </ns0:is>
      </ns0:c>
      <ns0:c r="B70" s="278">
        <ns0:v>0</ns0:v>
      </ns0:c>
      <ns0:c r="C70" s="278">
        <ns0:v>0</ns0:v>
      </ns0:c>
      <ns0:c r="D70" s="278">
        <ns0:v>0</ns0:v>
      </ns0:c>
      <ns0:c r="E70" s="278">
        <ns0:v>0</ns0:v>
      </ns0:c>
      <ns0:c r="F70" s="278">
        <ns0:v>0</ns0:v>
      </ns0:c>
      <ns0:c r="G70" s="276" t="n"/>
      <ns0:c r="H70" s="278" t="n"/>
      <ns0:c r="I70" s="279" t="n"/>
      <ns0:c r="J70" s="279" t="n"/>
      <ns0:c r="K70" s="279" t="n"/>
      <ns0:c r="L70" s="277" t="n"/>
    </ns0:row>
    <ns0:row r="71" ht="30" customHeight="1" s="2">
      <ns0:c r="A71" s="279" t="inlineStr">
        <ns0:is>
          <ns0:t>panel</ns0:t>
        </ns0:is>
      </ns0:c>
      <ns0:c r="B71" s="278">
        <ns0:v>0</ns0:v>
      </ns0:c>
      <ns0:c r="C71" s="278">
        <ns0:v>0</ns0:v>
      </ns0:c>
      <ns0:c r="D71" s="278">
        <ns0:v>0</ns0:v>
      </ns0:c>
      <ns0:c r="E71" s="278">
        <ns0:v>0</ns0:v>
      </ns0:c>
      <ns0:c r="F71" s="278">
        <ns0:v>0</ns0:v>
      </ns0:c>
      <ns0:c r="G71" s="276" t="n"/>
      <ns0:c r="H71" s="278" t="n"/>
      <ns0:c r="I71" s="279" t="n"/>
      <ns0:c r="J71" s="279" t="n"/>
      <ns0:c r="K71" s="279" t="n"/>
      <ns0:c r="L71" s="277" t="n"/>
    </ns0:row>
    <ns0:row r="72" ht="30" customHeight="1" s="2">
      <ns0:c r="A72" s="279" t="inlineStr">
        <ns0:is>
          <ns0:t>sofa</ns0:t>
        </ns0:is>
      </ns0:c>
      <ns0:c r="B72" s="278">
        <ns0:v>0.8858368740345367</ns0:v>
      </ns0:c>
      <ns0:c r="C72" s="278">
        <ns0:v>0.9890906265688126</ns0:v>
      </ns0:c>
      <ns0:c r="D72" s="278">
        <ns0:v>0.8945773559204765</ns0:v>
      </ns0:c>
      <ns0:c r="E72" s="278">
        <ns0:v>0.9394628838064747</ns0:v>
      </ns0:c>
      <ns0:c r="F72" s="278">
        <ns0:v>0.9394628838064747</ns0:v>
      </ns0:c>
      <ns0:c r="G72" s="276" t="n"/>
      <ns0:c r="H72" s="278" t="n"/>
      <ns0:c r="I72" s="279" t="n"/>
      <ns0:c r="J72" s="279" t="n"/>
      <ns0:c r="K72" s="279" t="n"/>
      <ns0:c r="L72" s="277" t="n"/>
    </ns0:row>
    <ns0:row r="73" ht="30" customHeight="1" s="2">
      <ns0:c r="A73" s="279" t="inlineStr">
        <ns0:is>
          <ns0:t>stool</ns0:t>
        </ns0:is>
      </ns0:c>
      <ns0:c r="B73" s="278">
        <ns0:v>0.9000617966178236</ns0:v>
      </ns0:c>
      <ns0:c r="C73" s="278">
        <ns0:v>0.9998613824787453</ns0:v>
      </ns0:c>
      <ns0:c r="D73" s="278">
        <ns0:v>0.9001741218139571</ns0:v>
      </ns0:c>
      <ns0:c r="E73" s="278">
        <ns0:v>0.9474026562925112</ns0:v>
      </ns0:c>
      <ns0:c r="F73" s="278">
        <ns0:v>0.9474026562925112</ns0:v>
      </ns0:c>
      <ns0:c r="G73" s="276" t="n"/>
      <ns0:c r="H73" s="278" t="n"/>
      <ns0:c r="I73" s="279" t="n"/>
      <ns0:c r="J73" s="279" t="n"/>
      <ns0:c r="K73" s="279" t="n"/>
      <ns0:c r="L73" s="277" t="n"/>
    </ns0:row>
    <ns0:row r="74" ht="30" customHeight="1" s="2">
      <ns0:c r="A74" s="279" t="inlineStr">
        <ns0:is>
          <ns0:t>table</ns0:t>
        </ns0:is>
      </ns0:c>
      <ns0:c r="B74" s="278">
        <ns0:v>0.4697857404586041</ns0:v>
      </ns0:c>
      <ns0:c r="C74" s="278">
        <ns0:v>0.9926912708875409</ns0:v>
      </ns0:c>
      <ns0:c r="D74" s="278">
        <ns0:v>0.47141628276694214</ns0:v>
      </ns0:c>
      <ns0:c r="E74" s="278">
        <ns0:v>0.6392574475678626</ns0:v>
      </ns0:c>
      <ns0:c r="F74" s="278">
        <ns0:v>0.6392574475678626</ns0:v>
      </ns0:c>
      <ns0:c r="G74" s="276" t="n"/>
      <ns0:c r="H74" s="278" t="n"/>
      <ns0:c r="I74" s="279" t="n"/>
      <ns0:c r="J74" s="279" t="n"/>
      <ns0:c r="K74" s="279" t="n"/>
      <ns0:c r="L74" s="277" t="n"/>
    </ns0:row>
    <ns0:row r="75" ht="30" customHeight="1" s="2">
      <ns0:c r="A75" s="279" t="inlineStr">
        <ns0:is>
          <ns0:t>tablet</ns0:t>
        </ns0:is>
      </ns0:c>
      <ns0:c r="B75" s="278">
        <ns0:v>0</ns0:v>
      </ns0:c>
      <ns0:c r="C75" s="278">
        <ns0:v>0</ns0:v>
      </ns0:c>
      <ns0:c r="D75" s="278">
        <ns0:v>0</ns0:v>
      </ns0:c>
      <ns0:c r="E75" s="278">
        <ns0:v>0</ns0:v>
      </ns0:c>
      <ns0:c r="F75" s="278">
        <ns0:v>0</ns0:v>
      </ns0:c>
      <ns0:c r="G75" s="276" t="n"/>
      <ns0:c r="H75" s="278" t="n"/>
      <ns0:c r="I75" s="279" t="n"/>
      <ns0:c r="J75" s="279" t="n"/>
      <ns0:c r="K75" s="279" t="n"/>
      <ns0:c r="L75" s="277" t="n"/>
    </ns0:row>
    <ns0:row r="76" ht="30" customHeight="1" s="2">
      <ns0:c r="A76" s="279" t="inlineStr">
        <ns0:is>
          <ns0:t>tissue-paper</ns0:t>
        </ns0:is>
      </ns0:c>
      <ns0:c r="B76" s="278">
        <ns0:v>0</ns0:v>
      </ns0:c>
      <ns0:c r="C76" s="278">
        <ns0:v>0</ns0:v>
      </ns0:c>
      <ns0:c r="D76" s="278">
        <ns0:v>0</ns0:v>
      </ns0:c>
      <ns0:c r="E76" s="278">
        <ns0:v>0</ns0:v>
      </ns0:c>
      <ns0:c r="F76" s="278">
        <ns0:v>0</ns0:v>
      </ns0:c>
      <ns0:c r="G76" s="276" t="n"/>
      <ns0:c r="H76" s="278" t="n"/>
      <ns0:c r="I76" s="279" t="n"/>
      <ns0:c r="J76" s="279" t="n"/>
      <ns0:c r="K76" s="279" t="n"/>
      <ns0:c r="L76" s="277" t="n"/>
    </ns0:row>
    <ns0:row r="77" ht="30" customHeight="1" s="2">
      <ns0:c r="A77" s="279" t="inlineStr">
        <ns0:is>
          <ns0:t>tv-screen</ns0:t>
        </ns0:is>
      </ns0:c>
      <ns0:c r="B77" s="278">
        <ns0:v>0.9775647898204419</ns0:v>
      </ns0:c>
      <ns0:c r="C77" s="278">
        <ns0:v>0.9775647898204419</ns0:v>
      </ns0:c>
      <ns0:c r="D77" s="278">
        <ns0:v>1</ns0:v>
      </ns0:c>
      <ns0:c r="E77" s="278">
        <ns0:v>0.9886551326687025</ns0:v>
      </ns0:c>
      <ns0:c r="F77" s="278">
        <ns0:v>0.9886551326687025</ns0:v>
      </ns0:c>
      <ns0:c r="G77" s="276" t="n"/>
      <ns0:c r="H77" s="278" t="n"/>
      <ns0:c r="I77" s="279" t="n"/>
      <ns0:c r="J77" s="279" t="n"/>
      <ns0:c r="K77" s="279" t="n"/>
      <ns0:c r="L77" s="277" t="n"/>
    </ns0:row>
    <ns0:row r="78" ht="30" customHeight="1" s="2">
      <ns0:c r="A78" s="279" t="inlineStr">
        <ns0:is>
          <ns0:t>vent</ns0:t>
        </ns0:is>
      </ns0:c>
      <ns0:c r="B78" s="278">
        <ns0:v>0.011549316928776605</ns0:v>
      </ns0:c>
      <ns0:c r="C78" s="278">
        <ns0:v>0.011549316928776605</ns0:v>
      </ns0:c>
      <ns0:c r="D78" s="278">
        <ns0:v>1</ns0:v>
      </ns0:c>
      <ns0:c r="E78" s="278">
        <ns0:v>0.022834906287796535</ns0:v>
      </ns0:c>
      <ns0:c r="F78" s="278">
        <ns0:v>0.022834906287796535</ns0:v>
      </ns0:c>
      <ns0:c r="G78" s="276" t="n"/>
      <ns0:c r="H78" s="278" t="n"/>
      <ns0:c r="I78" s="279" t="n"/>
      <ns0:c r="J78" s="279" t="n"/>
      <ns0:c r="K78" s="279" t="n"/>
      <ns0:c r="L78" s="277" t="n"/>
    </ns0:row>
    <ns0:row r="79" ht="30" customHeight="1" s="2">
      <ns0:c r="A79" s="279" t="inlineStr">
        <ns0:is>
          <ns0:t>wall-plug</ns0:t>
        </ns0:is>
      </ns0:c>
      <ns0:c r="B79" s="278">
        <ns0:v>0.7033161622665808</ns0:v>
      </ns0:c>
      <ns0:c r="C79" s="278">
        <ns0:v>0.7290171867178374</ns0:v>
      </ns0:c>
      <ns0:c r="D79" s="278">
        <ns0:v>0.9522667829119442</ns0:v>
      </ns0:c>
      <ns0:c r="E79" s="278">
        <ns0:v>0.8258198657971836</ns0:v>
      </ns0:c>
      <ns0:c r="F79" s="278">
        <ns0:v>0.8258198657971836</ns0:v>
      </ns0:c>
      <ns0:c r="G79" s="276" t="n"/>
      <ns0:c r="H79" s="278" t="n"/>
      <ns0:c r="I79" s="279" t="n"/>
      <ns0:c r="J79" s="279" t="n"/>
      <ns0:c r="K79" s="279" t="n"/>
      <ns0:c r="L79" s="277" t="n"/>
    </ns0:row>
  </ns0:sheetData>
  <ns0:mergeCells count="26">
    <ns0:mergeCell ref="A54:L54"/>
    <ns0:mergeCell ref="A41:L41"/>
    <ns0:mergeCell ref="A46:L46"/>
    <ns0:mergeCell ref="A55:L55"/>
    <ns0:mergeCell ref="A50:L50"/>
    <ns0:mergeCell ref="A2:L2"/>
    <ns0:mergeCell ref="A42:L42"/>
    <ns0:mergeCell ref="A47:L47"/>
    <ns0:mergeCell ref="A32:L32"/>
    <ns0:mergeCell ref="A22:L22"/>
    <ns0:mergeCell ref="A53:L53"/>
    <ns0:mergeCell ref="A4:L4"/>
    <ns0:mergeCell ref="A62:L62"/>
    <ns0:mergeCell ref="A52:L52"/>
    <ns0:mergeCell ref="A43:L43"/>
    <ns0:mergeCell ref="A63:L63"/>
    <ns0:mergeCell ref="A44:L44"/>
    <ns0:mergeCell ref="A40:L40"/>
    <ns0:mergeCell ref="A34:L34"/>
    <ns0:mergeCell ref="A48:L48"/>
    <ns0:mergeCell ref="A24:L24"/>
    <ns0:mergeCell ref="A15:L15"/>
    <ns0:mergeCell ref="A49:L49"/>
    <ns0:mergeCell ref="A51:L51"/>
    <ns0:mergeCell ref="A1:L1"/>
    <ns0:mergeCell ref="A45:L45"/>
  </ns0:mergeCells>
  <ns0:pageMargins left="0.7" right="0.7" top="0.75" bottom="0.75" header="0.3" footer="0.3"/>
</ns0:worksheet>
</file>

<file path=xl/worksheets/sheet19.xml><?xml version="1.0" encoding="utf-8"?>
<ns0:worksheet xmlns:ns0="http://schemas.openxmlformats.org/spreadsheetml/2006/main">
  <ns0:sheetPr>
    <ns0:outlinePr summaryBelow="1" summaryRight="1"/>
    <ns0:pageSetUpPr/>
  </ns0:sheetPr>
  <ns0:dimension ref="A1:L58"/>
  <ns0:sheetViews>
    <ns0:sheetView showGridLines="0" workbookViewId="0">
      <ns0:pane xSplit="2" ySplit="5" topLeftCell="C6" activePane="bottomRight" state="frozen"/>
      <ns0:selection activeCell="A1" sqref="A1"/>
    </ns0:sheetView>
  </ns0:sheetViews>
  <ns0:sheetFormatPr baseColWidth="8" defaultRowHeight="15"/>
  <ns0:cols>
    <ns0:col width="24" customWidth="1" style="2" min="1" max="1"/>
    <ns0:col width="20" customWidth="1" style="2" min="2" max="2"/>
    <ns0:col width="13" customWidth="1" style="2" min="3" max="3"/>
    <ns0:col width="14" customWidth="1" style="2" min="4" max="4"/>
    <ns0:col width="14" customWidth="1" style="2" min="5" max="5"/>
    <ns0:col width="14" customWidth="1" style="2" min="6" max="6"/>
    <ns0:col width="13" customWidth="1" style="2" min="7" max="7"/>
    <ns0:col width="16" customWidth="1" style="2" min="8" max="8"/>
    <ns0:col width="15" customWidth="1" style="2" min="9" max="9"/>
    <ns0:col width="15" customWidth="1" style="2" min="10" max="10"/>
    <ns0:col width="15" customWidth="1" style="2" min="11" max="11"/>
    <ns0:col width="15" customWidth="1" style="2" min="12" max="12"/>
  </ns0:cols>
  <ns0:sheetData>
    <ns0:row r="1" ht="36" customHeight="1" s="2">
      <ns0:c r="A1" s="237" t="inlineStr">
        <ns0:is>
          <ns0:t>room1：点级语义、实例PQ和几何覆盖率</ns0:t>
        </ns0:is>
      </ns0:c>
    </ns0:row>
    <ns0:row r="2" ht="44" customHeight="1" s="2">
      <ns0:c r="A2" s="216" t="inlineStr">
        <ns0:is>
          <ns0:t>400帧，stride5；19类；3,772,646固定前景参考点。main/ali-my语义取自本工作簿「语义8场景」第16/17行，黄色为本区已记录最优。</ns0:t>
        </ns0:is>
      </ns0:c>
    </ns0:row>
    <ns0:row r="3"/>
    <ns0:row r="4" ht="26" customHeight="1" s="2">
      <ns0:c r="A4" s="236" t="inlineStr">
        <ns0:is>
          <ns0:t>A. 点级语义指标</ns0:t>
        </ns0:is>
      </ns0:c>
    </ns0:row>
    <ns0:row r="5" ht="44" customHeight="1" s="2">
      <ns0:c r="A5" s="223" t="inlineStr">
        <ns0:is>
          <ns0:t>实验目录</ns0:t>
        </ns0:is>
      </ns0:c>
      <ns0:c r="B5" s="223" t="inlineStr">
        <ns0:is>
          <ns0:t>模式 / stride</ns0:t>
        </ns0:is>
      </ns0:c>
      <ns0:c r="C5" s="223" t="inlineStr">
        <ns0:is>
          <ns0:t>mIoU</ns0:t>
        </ns0:is>
      </ns0:c>
      <ns0:c r="D5" s="223" t="inlineStr">
        <ns0:is>
          <ns0:t>mRecall / mAcc</ns0:t>
        </ns0:is>
      </ns0:c>
      <ns0:c r="E5" s="223" t="inlineStr">
        <ns0:is>
          <ns0:t>mPrecision</ns0:t>
        </ns0:is>
      </ns0:c>
      <ns0:c r="F5" s="223" t="inlineStr">
        <ns0:is>
          <ns0:t>mF1（原公式）</ns0:t>
        </ns0:is>
      </ns0:c>
      <ns0:c r="G5" s="223" t="inlineStr">
        <ns0:is>
          <ns0:t>fwIoU</ns0:t>
        </ns0:is>
      </ns0:c>
      <ns0:c r="H5" s="223" t="inlineStr">
        <ns0:is>
          <ns0:t>Point Accuracy</ns0:t>
        </ns0:is>
      </ns0:c>
      <ns0:c r="I5" s="223" t="inlineStr">
        <ns0:is>
          <ns0:t>IoU&gt;0.15类数</ns0:t>
        </ns0:is>
      </ns0:c>
      <ns0:c r="J5" s="223" t="inlineStr">
        <ns0:is>
          <ns0:t>IoU&gt;0.25类数</ns0:t>
        </ns0:is>
      </ns0:c>
      <ns0:c r="K5" s="223" t="inlineStr">
        <ns0:is>
          <ns0:t>IoU&gt;0.50类数</ns0:t>
        </ns0:is>
      </ns0:c>
      <ns0:c r="L5" s="223" t="inlineStr">
        <ns0:is>
          <ns0:t>IoU&gt;0.75类数</ns0:t>
        </ns0:is>
      </ns0:c>
    </ns0:row>
    <ns0:row r="6" ht="66" customHeight="1" s="2">
      <ns0:c r="A6" s="279" t="inlineStr">
        <ns0:is>
          <ns0:t>v7_CLIP_auto_20260909_205426_16948</ns0:t>
        </ns0:is>
      </ns0:c>
      <ns0:c r="B6" s="279" t="inlineStr">
        <ns0:is>
          <ns0:t>VLM（CLIP auto）/ 5</ns0:t>
        </ns0:is>
      </ns0:c>
      <ns0:c r="C6" s="306">
        <ns0:v>0.2651028245856874</ns0:v>
      </ns0:c>
      <ns0:c r="D6" s="306">
        <ns0:v>0.5007804829615917</ns0:v>
      </ns0:c>
      <ns0:c r="E6" s="278">
        <ns0:v>0.2742659998415357</ns0:v>
      </ns0:c>
      <ns0:c r="F6" s="306">
        <ns0:v>0.3180053261980074</ns0:v>
      </ns0:c>
      <ns0:c r="G6" s="276">
        <ns0:v>0.41422373177950594</ns0:v>
      </ns0:c>
      <ns0:c r="H6" s="278">
        <ns0:v>0.5537225066968913</ns0:v>
      </ns0:c>
      <ns0:c r="I6" s="305">
        <ns0:v>9</ns0:v>
      </ns0:c>
      <ns0:c r="J6" s="305">
        <ns0:v>7</ns0:v>
      </ns0:c>
      <ns0:c r="K6" s="305">
        <ns0:v>4</ns0:v>
      </ns0:c>
      <ns0:c r="L6" s="305">
        <ns0:v>3</ns0:v>
      </ns0:c>
    </ns0:row>
    <ns0:row r="7" ht="66" customHeight="1" s="2">
      <ns0:c r="A7" s="279" t="inlineStr">
        <ns0:is>
          <ns0:t>main（历史复现）</ns0:t>
        </ns0:is>
      </ns0:c>
      <ns0:c r="B7" s="279" t="inlineStr">
        <ns0:is>
          <ns0:t>main / 5</ns0:t>
        </ns0:is>
      </ns0:c>
      <ns0:c r="C7" s="278">
        <ns0:v>0.2455057859</ns0:v>
      </ns0:c>
      <ns0:c r="D7" s="278">
        <ns0:v>0.429511889</ns0:v>
      </ns0:c>
      <ns0:c r="E7" s="306">
        <ns0:v>0.3295752399</ns0:v>
      </ns0:c>
      <ns0:c r="F7" s="278">
        <ns0:v>0.2954497174</ns0:v>
      </ns0:c>
      <ns0:c r="G7" s="306">
        <ns0:v>0.427754735</ns0:v>
      </ns0:c>
      <ns0:c r="H7" s="278">
        <ns0:v>0.5444518251</ns0:v>
      </ns0:c>
      <ns0:c r="I7" s="279">
        <ns0:v>7</ns0:v>
      </ns0:c>
      <ns0:c r="J7" s="305">
        <ns0:v>7</ns0:v>
      </ns0:c>
      <ns0:c r="K7" s="305">
        <ns0:v>4</ns0:v>
      </ns0:c>
      <ns0:c r="L7" s="277">
        <ns0:v>2</ns0:v>
      </ns0:c>
    </ns0:row>
    <ns0:row r="8" ht="66" customHeight="1" s="2">
      <ns0:c r="A8" s="279" t="inlineStr">
        <ns0:is>
          <ns0:t>ali-my（历史）</ns0:t>
        </ns0:is>
      </ns0:c>
      <ns0:c r="B8" s="279" t="inlineStr">
        <ns0:is>
          <ns0:t>ali-my / 5</ns0:t>
        </ns0:is>
      </ns0:c>
      <ns0:c r="C8" s="278">
        <ns0:v>0.227630101</ns0:v>
      </ns0:c>
      <ns0:c r="D8" s="278">
        <ns0:v>0.4252447247</ns0:v>
      </ns0:c>
      <ns0:c r="E8" s="278">
        <ns0:v>0.2688495668</ns0:v>
      </ns0:c>
      <ns0:c r="F8" s="278">
        <ns0:v>0.2788215945</ns0:v>
      </ns0:c>
      <ns0:c r="G8" s="276">
        <ns0:v>0.4249301315</ns0:v>
      </ns0:c>
      <ns0:c r="H8" s="306">
        <ns0:v>0.5598993386</ns0:v>
      </ns0:c>
      <ns0:c r="I8" s="279">
        <ns0:v>7</ns0:v>
      </ns0:c>
      <ns0:c r="J8" s="279">
        <ns0:v>6</ns0:v>
      </ns0:c>
      <ns0:c r="K8" s="305">
        <ns0:v>4</ns0:v>
      </ns0:c>
      <ns0:c r="L8" s="277">
        <ns0:v>2</ns0:v>
      </ns0:c>
    </ns0:row>
    <ns0:row r="9"/>
    <ns0:row r="10" ht="26" customHeight="1" s="2">
      <ns0:c r="A10" s="236" t="inlineStr">
        <ns0:is>
          <ns0:t>B. 实例PQ与几何覆盖率（fixed-support）</ns0:t>
        </ns0:is>
      </ns0:c>
    </ns0:row>
    <ns0:row r="11" ht="44" customHeight="1" s="2">
      <ns0:c r="A11" s="223" t="inlineStr">
        <ns0:is>
          <ns0:t>实验目录</ns0:t>
        </ns0:is>
      </ns0:c>
      <ns0:c r="B11" s="223" t="inlineStr">
        <ns0:is>
          <ns0:t>PQ</ns0:t>
        </ns0:is>
      </ns0:c>
      <ns0:c r="C11" s="223" t="inlineStr">
        <ns0:is>
          <ns0:t>RQ</ns0:t>
        </ns0:is>
      </ns0:c>
      <ns0:c r="D11" s="223" t="inlineStr">
        <ns0:is>
          <ns0:t>SQ</ns0:t>
        </ns0:is>
      </ns0:c>
      <ns0:c r="E11" s="223" t="inlineStr">
        <ns0:is>
          <ns0:t>TP</ns0:t>
        </ns0:is>
      </ns0:c>
      <ns0:c r="F11" s="223" t="inlineStr">
        <ns0:is>
          <ns0:t>FP</ns0:t>
        </ns0:is>
      </ns0:c>
      <ns0:c r="G11" s="223" t="inlineStr">
        <ns0:is>
          <ns0:t>FN</ns0:t>
        </ns0:is>
      </ns0:c>
      <ns0:c r="H11" s="223" t="inlineStr">
        <ns0:is>
          <ns0:t>GT实例数</ns0:t>
        </ns0:is>
      </ns0:c>
      <ns0:c r="I11" s="223" t="inlineStr">
        <ns0:is>
          <ns0:t>预测实例数</ns0:t>
        </ns0:is>
      </ns0:c>
      <ns0:c r="J11" s="223" t="inlineStr">
        <ns0:is>
          <ns0:t>覆盖率2.5cm</ns0:t>
        </ns0:is>
      </ns0:c>
      <ns0:c r="K11" s="223" t="inlineStr">
        <ns0:is>
          <ns0:t>覆盖率5cm</ns0:t>
        </ns0:is>
      </ns0:c>
      <ns0:c r="L11" s="223" t="inlineStr">
        <ns0:is>
          <ns0:t>覆盖率10cm</ns0:t>
        </ns0:is>
      </ns0:c>
    </ns0:row>
    <ns0:row r="12" ht="66" customHeight="1" s="2">
      <ns0:c r="A12" s="226" t="inlineStr">
        <ns0:is>
          <ns0:t>v7_CLIP_auto_20260909_205426_16948</ns0:t>
        </ns0:is>
      </ns0:c>
      <ns0:c r="B12" s="276">
        <ns0:v>0.4823830691063389</ns0:v>
      </ns0:c>
      <ns0:c r="C12" s="239">
        <ns0:v>0.6041666666666666</ns0:v>
      </ns0:c>
      <ns0:c r="D12" s="276">
        <ns0:v>0.7984271488656643</ns0:v>
      </ns0:c>
      <ns0:c r="E12" s="226">
        <ns0:v>29</ns0:v>
      </ns0:c>
      <ns0:c r="F12" s="277">
        <ns0:v>16</ns0:v>
      </ns0:c>
      <ns0:c r="G12" s="226">
        <ns0:v>22</ns0:v>
      </ns0:c>
      <ns0:c r="H12" s="226">
        <ns0:v>51</ns0:v>
      </ns0:c>
      <ns0:c r="I12" s="226">
        <ns0:v>58</ns0:v>
      </ns0:c>
      <ns0:c r="J12" s="276">
        <ns0:v>0.9654685332257519</ns0:v>
      </ns0:c>
      <ns0:c r="K12" s="276">
        <ns0:v>0.9735376709078986</ns0:v>
      </ns0:c>
      <ns0:c r="L12" s="276">
        <ns0:v>0.9823312338342903</ns0:v>
      </ns0:c>
    </ns0:row>
    <ns0:row r="13"/>
    <ns0:row r="14" ht="26" customHeight="1" s="2">
      <ns0:c r="A14" s="236" t="inlineStr">
        <ns0:is>
          <ns0:t>C. 完成状态与诊断</ns0:t>
        </ns0:is>
      </ns0:c>
    </ns0:row>
    <ns0:row r="15" ht="44" customHeight="1" s="2">
      <ns0:c r="A15" s="223" t="inlineStr">
        <ns0:is>
          <ns0:t>实验目录</ns0:t>
        </ns0:is>
      </ns0:c>
      <ns0:c r="B15" s="223" t="inlineStr">
        <ns0:is>
          <ns0:t>状态</ns0:t>
        </ns0:is>
      </ns0:c>
      <ns0:c r="C15" s="223" t="inlineStr">
        <ns0:is>
          <ns0:t>帧数</ns0:t>
        </ns0:is>
      </ns0:c>
      <ns0:c r="D15" s="223" t="inlineStr">
        <ns0:is>
          <ns0:t>对象数</ns0:t>
        </ns0:is>
      </ns0:c>
      <ns0:c r="E15" s="223" t="inlineStr">
        <ns0:is>
          <ns0:t>对象点数</ns0:t>
        </ns0:is>
      </ns0:c>
      <ns0:c r="F15" s="223" t="inlineStr">
        <ns0:is>
          <ns0:t>语义评测总秒</ns0:t>
        </ns0:is>
      </ns0:c>
      <ns0:c r="G15" s="223" t="inlineStr">
        <ns0:is>
          <ns0:t>场景计算秒</ns0:t>
        </ns0:is>
      </ns0:c>
      <ns0:c r="H15" s="223" t="inlineStr">
        <ns0:is>
          <ns0:t>零IoU类数</ns0:t>
        </ns0:is>
      </ns0:c>
      <ns0:c r="I15" s="223" t="inlineStr">
        <ns0:is>
          <ns0:t>评测类别数</ns0:t>
        </ns0:is>
      </ns0:c>
      <ns0:c r="J15" s="223" t="inlineStr">
        <ns0:is>
          <ns0:t>前景参考点数</ns0:t>
        </ns0:is>
      </ns0:c>
      <ns0:c r="K15" s="223" t="inlineStr">
        <ns0:is>
          <ns0:t>说明</ns0:t>
        </ns0:is>
      </ns0:c>
      <ns0:c r="L15" s="223" t="n"/>
    </ns0:row>
    <ns0:row r="16" ht="66" customHeight="1" s="2">
      <ns0:c r="A16" s="226" t="inlineStr">
        <ns0:is>
          <ns0:t>v7_CLIP_auto_20260909_205426_16948</ns0:t>
        </ns0:is>
      </ns0:c>
      <ns0:c r="B16" s="226" t="inlineStr">
        <ns0:is>
          <ns0:t>完成</ns0:t>
        </ns0:is>
      </ns0:c>
      <ns0:c r="C16" s="226">
        <ns0:v>400</ns0:v>
      </ns0:c>
      <ns0:c r="D16" s="226">
        <ns0:v>58</ns0:v>
      </ns0:c>
      <ns0:c r="E16" s="226">
        <ns0:v>635790</ns0:v>
      </ns0:c>
      <ns0:c r="F16" s="226">
        <ns0:v>44.464</ns0:v>
      </ns0:c>
      <ns0:c r="G16" s="226">
        <ns0:v>30.489</ns0:v>
      </ns0:c>
      <ns0:c r="H16" s="226">
        <ns0:v>9</ns0:v>
      </ns0:c>
      <ns0:c r="I16" s="226">
        <ns0:v>19</ns0:v>
      </ns0:c>
      <ns0:c r="J16" s="226">
        <ns0:v>3772646</ns0:v>
      </ns0:c>
      <ns0:c r="K16" s="226" t="inlineStr">
        <ns0:is>
          <ns0:t>已完成且证据校验通过</ns0:t>
        </ns0:is>
      </ns0:c>
      <ns0:c r="L16" s="226" t="n"/>
    </ns0:row>
    <ns0:row r="17"/>
    <ns0:row r="18" ht="26" customHeight="1" s="2">
      <ns0:c r="A18" s="236" t="inlineStr">
        <ns0:is>
          <ns0:t>D. 补充指标与计时</ns0:t>
        </ns0:is>
      </ns0:c>
    </ns0:row>
    <ns0:row r="19" ht="44" customHeight="1" s="2">
      <ns0:c r="A19" s="223" t="inlineStr">
        <ns0:is>
          <ns0:t>指标</ns0:t>
        </ns0:is>
      </ns0:c>
      <ns0:c r="B19" s="223" t="inlineStr">
        <ns0:is>
          <ns0:t>数值</ns0:t>
        </ns0:is>
      </ns0:c>
      <ns0:c r="C19" s="223" t="inlineStr">
        <ns0:is>
          <ns0:t>单位</ns0:t>
        </ns0:is>
      </ns0:c>
      <ns0:c r="D19" s="223" t="n"/>
      <ns0:c r="E19" s="223" t="n"/>
      <ns0:c r="F19" s="223" t="n"/>
      <ns0:c r="G19" s="223" t="n"/>
      <ns0:c r="H19" s="223" t="n"/>
      <ns0:c r="I19" s="223" t="n"/>
      <ns0:c r="J19" s="223" t="n"/>
      <ns0:c r="K19" s="223" t="n"/>
      <ns0:c r="L19" s="223" t="n"/>
    </ns0:row>
    <ns0:row r="20" ht="30" customHeight="1" s="2">
      <ns0:c r="A20" s="279" t="inlineStr">
        <ns0:is>
          <ns0:t>语义标准mF1</ns0:t>
        </ns0:is>
      </ns0:c>
      <ns0:c r="B20" s="278">
        <ns0:v>0.3180053261980074</ns0:v>
      </ns0:c>
      <ns0:c r="C20" s="279" t="inlineStr">
        <ns0:is>
          <ns0:t>比例</ns0:t>
        </ns0:is>
      </ns0:c>
      <ns0:c r="D20" s="278" t="n"/>
      <ns0:c r="E20" s="278" t="n"/>
      <ns0:c r="F20" s="278" t="n"/>
      <ns0:c r="G20" s="276" t="n"/>
      <ns0:c r="H20" s="278" t="n"/>
      <ns0:c r="I20" s="279" t="n"/>
      <ns0:c r="J20" s="279" t="n"/>
      <ns0:c r="K20" s="279" t="n"/>
      <ns0:c r="L20" s="277" t="n"/>
    </ns0:row>
    <ns0:row r="21" ht="30" customHeight="1" s="2">
      <ns0:c r="A21" s="279" t="inlineStr">
        <ns0:is>
          <ns0:t>HTTP已记录尝试</ns0:t>
        </ns0:is>
      </ns0:c>
      <ns0:c r="B21" s="280">
        <ns0:v>1035</ns0:v>
      </ns0:c>
      <ns0:c r="C21" s="279" t="inlineStr">
        <ns0:is>
          <ns0:t>次</ns0:t>
        </ns0:is>
      </ns0:c>
      <ns0:c r="D21" s="278" t="n"/>
      <ns0:c r="E21" s="278" t="n"/>
      <ns0:c r="F21" s="278" t="n"/>
      <ns0:c r="G21" s="276" t="n"/>
      <ns0:c r="H21" s="278" t="n"/>
      <ns0:c r="I21" s="279" t="n"/>
      <ns0:c r="J21" s="279" t="n"/>
      <ns0:c r="K21" s="279" t="n"/>
      <ns0:c r="L21" s="277" t="n"/>
    </ns0:row>
    <ns0:row r="22" ht="30" customHeight="1" s="2">
      <ns0:c r="A22" s="279" t="inlineStr">
        <ns0:is>
          <ns0:t>HTTP重试</ns0:t>
        </ns0:is>
      </ns0:c>
      <ns0:c r="B22" s="280">
        <ns0:v>0</ns0:v>
      </ns0:c>
      <ns0:c r="C22" s="279" t="inlineStr">
        <ns0:is>
          <ns0:t>次</ns0:t>
        </ns0:is>
      </ns0:c>
      <ns0:c r="D22" s="278" t="n"/>
      <ns0:c r="E22" s="278" t="n"/>
      <ns0:c r="F22" s="278" t="n"/>
      <ns0:c r="G22" s="276" t="n"/>
      <ns0:c r="H22" s="278" t="n"/>
      <ns0:c r="I22" s="279" t="n"/>
      <ns0:c r="J22" s="279" t="n"/>
      <ns0:c r="K22" s="279" t="n"/>
      <ns0:c r="L22" s="277" t="n"/>
    </ns0:row>
    <ns0:row r="23" ht="30" customHeight="1" s="2">
      <ns0:c r="A23" s="279" t="inlineStr">
        <ns0:is>
          <ns0:t>PQ评估耗时</ns0:t>
        </ns0:is>
      </ns0:c>
      <ns0:c r="B23" s="281">
        <ns0:v>39.14667833968997</ns0:v>
      </ns0:c>
      <ns0:c r="C23" s="279" t="inlineStr">
        <ns0:is>
          <ns0:t>秒</ns0:t>
        </ns0:is>
      </ns0:c>
      <ns0:c r="D23" s="278" t="n"/>
      <ns0:c r="E23" s="278" t="n"/>
      <ns0:c r="F23" s="278" t="n"/>
      <ns0:c r="G23" s="276" t="n"/>
      <ns0:c r="H23" s="278" t="n"/>
      <ns0:c r="I23" s="279" t="n"/>
      <ns0:c r="J23" s="279" t="n"/>
      <ns0:c r="K23" s="279" t="n"/>
      <ns0:c r="L23" s="277" t="n"/>
    </ns0:row>
    <ns0:row r="24" ht="30" customHeight="1" s="2">
      <ns0:c r="A24" s="279" t="inlineStr">
        <ns0:is>
          <ns0:t>覆盖率评估耗时</ns0:t>
        </ns0:is>
      </ns0:c>
      <ns0:c r="B24" s="281">
        <ns0:v>28.563920819200575</ns0:v>
      </ns0:c>
      <ns0:c r="C24" s="279" t="inlineStr">
        <ns0:is>
          <ns0:t>秒</ns0:t>
        </ns0:is>
      </ns0:c>
      <ns0:c r="D24" s="278" t="n"/>
      <ns0:c r="E24" s="278" t="n"/>
      <ns0:c r="F24" s="278" t="n"/>
      <ns0:c r="G24" s="276" t="n"/>
      <ns0:c r="H24" s="278" t="n"/>
      <ns0:c r="I24" s="279" t="n"/>
      <ns0:c r="J24" s="279" t="n"/>
      <ns0:c r="K24" s="279" t="n"/>
      <ns0:c r="L24" s="277" t="n"/>
    </ns0:row>
    <ns0:row r="25" ht="30" customHeight="1" s="2">
      <ns0:c r="A25" s="279" t="inlineStr">
        <ns0:is>
          <ns0:t>统一评估耗时</ns0:t>
        </ns0:is>
      </ns0:c>
      <ns0:c r="B25" s="281">
        <ns0:v>13.270642790012062</ns0:v>
      </ns0:c>
      <ns0:c r="C25" s="279" t="inlineStr">
        <ns0:is>
          <ns0:t>秒</ns0:t>
        </ns0:is>
      </ns0:c>
      <ns0:c r="D25" s="278" t="n"/>
      <ns0:c r="E25" s="278" t="n"/>
      <ns0:c r="F25" s="278" t="n"/>
      <ns0:c r="G25" s="276" t="n"/>
      <ns0:c r="H25" s="278" t="n"/>
      <ns0:c r="I25" s="279" t="n"/>
      <ns0:c r="J25" s="279" t="n"/>
      <ns0:c r="K25" s="279" t="n"/>
      <ns0:c r="L25" s="277" t="n"/>
    </ns0:row>
    <ns0:row r="26" ht="30" customHeight="1" s="2">
      <ns0:c r="A26" s="279" t="inlineStr">
        <ns0:is>
          <ns0:t>未覆盖前景点数</ns0:t>
        </ns0:is>
      </ns0:c>
      <ns0:c r="B26" s="280">
        <ns0:v>99833</ns0:v>
      </ns0:c>
      <ns0:c r="C26" s="279" t="inlineStr">
        <ns0:is>
          <ns0:t>点</ns0:t>
        </ns0:is>
      </ns0:c>
      <ns0:c r="D26" s="278" t="n"/>
      <ns0:c r="E26" s="278" t="n"/>
      <ns0:c r="F26" s="278" t="n"/>
      <ns0:c r="G26" s="276" t="n"/>
      <ns0:c r="H26" s="278" t="n"/>
      <ns0:c r="I26" s="279" t="n"/>
      <ns0:c r="J26" s="279" t="n"/>
      <ns0:c r="K26" s="279" t="n"/>
      <ns0:c r="L26" s="277" t="n"/>
    </ns0:row>
    <ns0:row r="27" ht="30" customHeight="1" s="2">
      <ns0:c r="A27" s="279" t="inlineStr">
        <ns0:is>
          <ns0:t>前景最近距离均值</ns0:t>
        </ns0:is>
      </ns0:c>
      <ns0:c r="B27" s="287">
        <ns0:v>0.00836037508573775</ns0:v>
      </ns0:c>
      <ns0:c r="C27" s="279" t="inlineStr">
        <ns0:is>
          <ns0:t>m</ns0:t>
        </ns0:is>
      </ns0:c>
      <ns0:c r="D27" s="278" t="n"/>
      <ns0:c r="E27" s="278" t="n"/>
      <ns0:c r="F27" s="278" t="n"/>
      <ns0:c r="G27" s="276" t="n"/>
      <ns0:c r="H27" s="278" t="n"/>
      <ns0:c r="I27" s="279" t="n"/>
      <ns0:c r="J27" s="279" t="n"/>
      <ns0:c r="K27" s="279" t="n"/>
      <ns0:c r="L27" s="277" t="n"/>
    </ns0:row>
    <ns0:row r="28"/>
    <ns0:row r="29" ht="26" customHeight="1" s="2">
      <ns0:c r="A29" s="236" t="inlineStr">
        <ns0:is>
          <ns0:t>E. 来源与口径</ns0:t>
        </ns0:is>
      </ns0:c>
    </ns0:row>
    <ns0:row r="30" ht="44" customHeight="1" s="2">
      <ns0:c r="A30" s="216" t="inlineStr">
        <ns0:is>
          <ns0:t>原始在线结果从空图开始；本次仅补测，没有重跑建图。语义mF1主表保留旧公式；标准公式单独报告。</ns0:t>
        </ns0:is>
      </ns0:c>
    </ns0:row>
    <ns0:row r="31" ht="44" customHeight="1" s="2">
      <ns0:c r="A31" s="216" t="inlineStr">
        <ns0:is>
          <ns0:t>本表为SLAM固定支持集；完整GT网格统一指标见 OVI_MAP_统一指标对比.xlsx 的 room1统一指标，不混比。</ns0:t>
        </ns0:is>
      </ns0:c>
    </ns0:row>
    <ns0:row r="32" ht="44" customHeight="1" s="2">
      <ns0:c r="A32" s="216" t="inlineStr">
        <ns0:is>
          <ns0:t>仅语义指标补入历史main/ali-my对照；固定支持PQ和统一网格指标尚无这两组的同口径记录。比较完整方法结果，不作单模块因果归因。</ns0:t>
        </ns0:is>
      </ns0:c>
    </ns0:row>
    <ns0:row r="33" ht="70" customHeight="1" s="2">
      <ns0:c r="A33" s="216" t="inlineStr">
        <ns0:is>
          <ns0:t>semantic：/home/chenkejun/beauty/conceptgraphs/results/experiments/oracle_three_error_20260828/pilot/b0_dataset/Replica/room1/exps/v7_CLIP_auto_20260909_205426_16948/point_semantic_ali_dev_nexclude6_20260909_232306_235858442/semseg_results.json</ns0:t>
        </ns0:is>
      </ns0:c>
    </ns0:row>
    <ns0:row r="34" ht="70" customHeight="1" s="2">
      <ns0:c r="A34" s="216" t="inlineStr">
        <ns0:is>
          <ns0:t>pq：/home/chenkejun/beauty/conceptgraphs/results/experiments/oracle_three_error_20260828/pilot/b0_dataset/Replica/room1/exps/v7_CLIP_auto_20260909_205426_16948/instance_pq_fixed_support_20260909_232351_622976778/instance_pq.csv</ns0:t>
        </ns0:is>
      </ns0:c>
    </ns0:row>
    <ns0:row r="35" ht="70" customHeight="1" s="2">
      <ns0:c r="A35" s="216" t="inlineStr">
        <ns0:is>
          <ns0:t>coverage：/home/chenkejun/beauty/conceptgraphs/results/experiments/oracle_three_error_20260828/pilot/b0_dataset/Replica/room1/exps/v7_CLIP_auto_20260909_205426_16948/geometry_coverage_fixed_support_20260909_232431_509562582/coverage.csv</ns0:t>
        </ns0:is>
      </ns0:c>
    </ns0:row>
    <ns0:row r="36" ht="70" customHeight="1" s="2">
      <ns0:c r="A36" s="216" t="inlineStr">
        <ns0:is>
          <ns0:t>common：/home/chenkejun/beauty/conceptgraphs/results/experiments/oracle_three_error_20260828/pilot/b0_dataset/Replica/room1/exps/v7_CLIP_auto_20260909_205426_16948/ovimap_common_eval_20260909/result.json</ns0:t>
        </ns0:is>
      </ns0:c>
    </ns0:row>
    <ns0:row r="37"/>
    <ns0:row r="38" ht="26" customHeight="1" s="2">
      <ns0:c r="A38" s="236" t="inlineStr">
        <ns0:is>
          <ns0:t>逐类语义指标（当前实验）</ns0:t>
        </ns0:is>
      </ns0:c>
    </ns0:row>
    <ns0:row r="39" ht="44" customHeight="1" s="2">
      <ns0:c r="A39" s="223" t="inlineStr">
        <ns0:is>
          <ns0:t>类别</ns0:t>
        </ns0:is>
      </ns0:c>
      <ns0:c r="B39" s="223" t="inlineStr">
        <ns0:is>
          <ns0:t>IoU</ns0:t>
        </ns0:is>
      </ns0:c>
      <ns0:c r="C39" s="223" t="inlineStr">
        <ns0:is>
          <ns0:t>Precision</ns0:t>
        </ns0:is>
      </ns0:c>
      <ns0:c r="D39" s="223" t="inlineStr">
        <ns0:is>
          <ns0:t>Recall</ns0:t>
        </ns0:is>
      </ns0:c>
      <ns0:c r="E39" s="223" t="inlineStr">
        <ns0:is>
          <ns0:t>F1原公式</ns0:t>
        </ns0:is>
      </ns0:c>
      <ns0:c r="F39" s="223" t="inlineStr">
        <ns0:is>
          <ns0:t>F1标准公式</ns0:t>
        </ns0:is>
      </ns0:c>
      <ns0:c r="G39" s="223" t="n"/>
      <ns0:c r="H39" s="223" t="n"/>
      <ns0:c r="I39" s="223" t="n"/>
      <ns0:c r="J39" s="223" t="n"/>
      <ns0:c r="K39" s="223" t="n"/>
      <ns0:c r="L39" s="223" t="n"/>
    </ns0:row>
    <ns0:row r="40" ht="30" customHeight="1" s="2">
      <ns0:c r="A40" s="279" t="inlineStr">
        <ns0:is>
          <ns0:t>basket</ns0:t>
        </ns0:is>
      </ns0:c>
      <ns0:c r="B40" s="278">
        <ns0:v>0.4592058474911102</ns0:v>
      </ns0:c>
      <ns0:c r="C40" s="278">
        <ns0:v>0.4601451666116793</ns0:v>
      </ns0:c>
      <ns0:c r="D40" s="278">
        <ns0:v>0.995574273681205</ns0:v>
      </ns0:c>
      <ns0:c r="E40" s="278">
        <ns0:v>0.6293914573884789</ns0:v>
      </ns0:c>
      <ns0:c r="F40" s="278">
        <ns0:v>0.6293914573884789</ns0:v>
      </ns0:c>
      <ns0:c r="G40" s="276" t="n"/>
      <ns0:c r="H40" s="278" t="n"/>
      <ns0:c r="I40" s="279" t="n"/>
      <ns0:c r="J40" s="279" t="n"/>
      <ns0:c r="K40" s="279" t="n"/>
      <ns0:c r="L40" s="277" t="n"/>
    </ns0:row>
    <ns0:row r="41" ht="30" customHeight="1" s="2">
      <ns0:c r="A41" s="279" t="inlineStr">
        <ns0:is>
          <ns0:t>bed</ns0:t>
        </ns0:is>
      </ns0:c>
      <ns0:c r="B41" s="278">
        <ns0:v>0</ns0:v>
      </ns0:c>
      <ns0:c r="C41" s="278">
        <ns0:v>0</ns0:v>
      </ns0:c>
      <ns0:c r="D41" s="278">
        <ns0:v>0</ns0:v>
      </ns0:c>
      <ns0:c r="E41" s="278">
        <ns0:v>0</ns0:v>
      </ns0:c>
      <ns0:c r="F41" s="278">
        <ns0:v>0</ns0:v>
      </ns0:c>
      <ns0:c r="G41" s="276" t="n"/>
      <ns0:c r="H41" s="278" t="n"/>
      <ns0:c r="I41" s="279" t="n"/>
      <ns0:c r="J41" s="279" t="n"/>
      <ns0:c r="K41" s="279" t="n"/>
      <ns0:c r="L41" s="277" t="n"/>
    </ns0:row>
    <ns0:row r="42" ht="30" customHeight="1" s="2">
      <ns0:c r="A42" s="279" t="inlineStr">
        <ns0:is>
          <ns0:t>blanket</ns0:t>
        </ns0:is>
      </ns0:c>
      <ns0:c r="B42" s="278">
        <ns0:v>0</ns0:v>
      </ns0:c>
      <ns0:c r="C42" s="278">
        <ns0:v>0</ns0:v>
      </ns0:c>
      <ns0:c r="D42" s="278">
        <ns0:v>0</ns0:v>
      </ns0:c>
      <ns0:c r="E42" s="278">
        <ns0:v>0</ns0:v>
      </ns0:c>
      <ns0:c r="F42" s="278">
        <ns0:v>0</ns0:v>
      </ns0:c>
      <ns0:c r="G42" s="276" t="n"/>
      <ns0:c r="H42" s="278" t="n"/>
      <ns0:c r="I42" s="279" t="n"/>
      <ns0:c r="J42" s="279" t="n"/>
      <ns0:c r="K42" s="279" t="n"/>
      <ns0:c r="L42" s="277" t="n"/>
    </ns0:row>
    <ns0:row r="43" ht="30" customHeight="1" s="2">
      <ns0:c r="A43" s="279" t="inlineStr">
        <ns0:is>
          <ns0:t>blinds</ns0:t>
        </ns0:is>
      </ns0:c>
      <ns0:c r="B43" s="278">
        <ns0:v>0.9997197917731324</ns0:v>
      </ns0:c>
      <ns0:c r="C43" s="278">
        <ns0:v>0.9997450500080964</ns0:v>
      </ns0:c>
      <ns0:c r="D43" s="278">
        <ns0:v>0.9999747288810983</ns0:v>
      </ns0:c>
      <ns0:c r="E43" s="278">
        <ns0:v>0.9998598762546531</ns0:v>
      </ns0:c>
      <ns0:c r="F43" s="278">
        <ns0:v>0.9998598762546531</ns0:v>
      </ns0:c>
      <ns0:c r="G43" s="276" t="n"/>
      <ns0:c r="H43" s="278" t="n"/>
      <ns0:c r="I43" s="279" t="n"/>
      <ns0:c r="J43" s="279" t="n"/>
      <ns0:c r="K43" s="279" t="n"/>
      <ns0:c r="L43" s="277" t="n"/>
    </ns0:row>
    <ns0:row r="44" ht="30" customHeight="1" s="2">
      <ns0:c r="A44" s="279" t="inlineStr">
        <ns0:is>
          <ns0:t>book</ns0:t>
        </ns0:is>
      </ns0:c>
      <ns0:c r="B44" s="278">
        <ns0:v>0.8673366834170855</ns0:v>
      </ns0:c>
      <ns0:c r="C44" s="278">
        <ns0:v>0.9000834376303714</ns0:v>
      </ns0:c>
      <ns0:c r="D44" s="278">
        <ns0:v>0.9597419928825622</ns0:v>
      </ns0:c>
      <ns0:c r="E44" s="278">
        <ns0:v>0.9289558665231432</ns0:v>
      </ns0:c>
      <ns0:c r="F44" s="278">
        <ns0:v>0.9289558665231432</ns0:v>
      </ns0:c>
      <ns0:c r="G44" s="276" t="n"/>
      <ns0:c r="H44" s="278" t="n"/>
      <ns0:c r="I44" s="279" t="n"/>
      <ns0:c r="J44" s="279" t="n"/>
      <ns0:c r="K44" s="279" t="n"/>
      <ns0:c r="L44" s="277" t="n"/>
    </ns0:row>
    <ns0:row r="45" ht="30" customHeight="1" s="2">
      <ns0:c r="A45" s="279" t="inlineStr">
        <ns0:is>
          <ns0:t>cabinet</ns0:t>
        </ns0:is>
      </ns0:c>
      <ns0:c r="B45" s="278">
        <ns0:v>0</ns0:v>
      </ns0:c>
      <ns0:c r="C45" s="278">
        <ns0:v>0</ns0:v>
      </ns0:c>
      <ns0:c r="D45" s="278">
        <ns0:v>0</ns0:v>
      </ns0:c>
      <ns0:c r="E45" s="278">
        <ns0:v>0</ns0:v>
      </ns0:c>
      <ns0:c r="F45" s="278">
        <ns0:v>0</ns0:v>
      </ns0:c>
      <ns0:c r="G45" s="276" t="n"/>
      <ns0:c r="H45" s="278" t="n"/>
      <ns0:c r="I45" s="279" t="n"/>
      <ns0:c r="J45" s="279" t="n"/>
      <ns0:c r="K45" s="279" t="n"/>
      <ns0:c r="L45" s="277" t="n"/>
    </ns0:row>
    <ns0:row r="46" ht="30" customHeight="1" s="2">
      <ns0:c r="A46" s="279" t="inlineStr">
        <ns0:is>
          <ns0:t>comforter</ns0:t>
        </ns0:is>
      </ns0:c>
      <ns0:c r="B46" s="278">
        <ns0:v>0.37970462777763</ns0:v>
      </ns0:c>
      <ns0:c r="C46" s="278">
        <ns0:v>0.37970462777763</ns0:v>
      </ns0:c>
      <ns0:c r="D46" s="278">
        <ns0:v>1</ns0:v>
      </ns0:c>
      <ns0:c r="E46" s="278">
        <ns0:v>0.5504143715010106</ns0:v>
      </ns0:c>
      <ns0:c r="F46" s="278">
        <ns0:v>0.5504143715010106</ns0:v>
      </ns0:c>
      <ns0:c r="G46" s="276" t="n"/>
      <ns0:c r="H46" s="278" t="n"/>
      <ns0:c r="I46" s="279" t="n"/>
      <ns0:c r="J46" s="279" t="n"/>
      <ns0:c r="K46" s="279" t="n"/>
      <ns0:c r="L46" s="277" t="n"/>
    </ns0:row>
    <ns0:row r="47" ht="30" customHeight="1" s="2">
      <ns0:c r="A47" s="279" t="inlineStr">
        <ns0:is>
          <ns0:t>indoor-plant</ns0:t>
        </ns0:is>
      </ns0:c>
      <ns0:c r="B47" s="278">
        <ns0:v>0.6891488873594861</ns0:v>
      </ns0:c>
      <ns0:c r="C47" s="278">
        <ns0:v>0.692102110404571</ns0:v>
      </ns0:c>
      <ns0:c r="D47" s="278">
        <ns0:v>0.993846357440614</ns0:v>
      </ns0:c>
      <ns0:c r="E47" s="278">
        <ns0:v>0.8159717506451175</ns0:v>
      </ns0:c>
      <ns0:c r="F47" s="278">
        <ns0:v>0.8159717506451175</ns0:v>
      </ns0:c>
      <ns0:c r="G47" s="276" t="n"/>
      <ns0:c r="H47" s="278" t="n"/>
      <ns0:c r="I47" s="279" t="n"/>
      <ns0:c r="J47" s="279" t="n"/>
      <ns0:c r="K47" s="279" t="n"/>
      <ns0:c r="L47" s="277" t="n"/>
    </ns0:row>
    <ns0:row r="48" ht="30" customHeight="1" s="2">
      <ns0:c r="A48" s="279" t="inlineStr">
        <ns0:is>
          <ns0:t>lamp</ns0:t>
        </ns0:is>
      </ns0:c>
      <ns0:c r="B48" s="278">
        <ns0:v>0</ns0:v>
      </ns0:c>
      <ns0:c r="C48" s="278">
        <ns0:v>0</ns0:v>
      </ns0:c>
      <ns0:c r="D48" s="278">
        <ns0:v>0</ns0:v>
      </ns0:c>
      <ns0:c r="E48" s="278">
        <ns0:v>0</ns0:v>
      </ns0:c>
      <ns0:c r="F48" s="278">
        <ns0:v>0</ns0:v>
      </ns0:c>
      <ns0:c r="G48" s="276" t="n"/>
      <ns0:c r="H48" s="278" t="n"/>
      <ns0:c r="I48" s="279" t="n"/>
      <ns0:c r="J48" s="279" t="n"/>
      <ns0:c r="K48" s="279" t="n"/>
      <ns0:c r="L48" s="277" t="n"/>
    </ns0:row>
    <ns0:row r="49" ht="30" customHeight="1" s="2">
      <ns0:c r="A49" s="279" t="inlineStr">
        <ns0:is>
          <ns0:t>nightstand</ns0:t>
        </ns0:is>
      </ns0:c>
      <ns0:c r="B49" s="278">
        <ns0:v>0.15654369882091873</ns0:v>
      </ns0:c>
      <ns0:c r="C49" s="278">
        <ns0:v>0.15792971702971567</ns0:v>
      </ns0:c>
      <ns0:c r="D49" s="278">
        <ns0:v>0.9469139974132809</ns0:v>
      </ns0:c>
      <ns0:c r="E49" s="278">
        <ns0:v>0.270709526982012</ns0:v>
      </ns0:c>
      <ns0:c r="F49" s="278">
        <ns0:v>0.270709526982012</ns0:v>
      </ns0:c>
      <ns0:c r="G49" s="276" t="n"/>
      <ns0:c r="H49" s="278" t="n"/>
      <ns0:c r="I49" s="279" t="n"/>
      <ns0:c r="J49" s="279" t="n"/>
      <ns0:c r="K49" s="279" t="n"/>
      <ns0:c r="L49" s="277" t="n"/>
    </ns0:row>
    <ns0:row r="50" ht="30" customHeight="1" s="2">
      <ns0:c r="A50" s="279" t="inlineStr">
        <ns0:is>
          <ns0:t>panel</ns0:t>
        </ns0:is>
      </ns0:c>
      <ns0:c r="B50" s="278">
        <ns0:v>0</ns0:v>
      </ns0:c>
      <ns0:c r="C50" s="278">
        <ns0:v>0</ns0:v>
      </ns0:c>
      <ns0:c r="D50" s="278">
        <ns0:v>0</ns0:v>
      </ns0:c>
      <ns0:c r="E50" s="278">
        <ns0:v>0</ns0:v>
      </ns0:c>
      <ns0:c r="F50" s="278">
        <ns0:v>0</ns0:v>
      </ns0:c>
      <ns0:c r="G50" s="276" t="n"/>
      <ns0:c r="H50" s="278" t="n"/>
      <ns0:c r="I50" s="279" t="n"/>
      <ns0:c r="J50" s="279" t="n"/>
      <ns0:c r="K50" s="279" t="n"/>
      <ns0:c r="L50" s="277" t="n"/>
    </ns0:row>
    <ns0:row r="51" ht="30" customHeight="1" s="2">
      <ns0:c r="A51" s="279" t="inlineStr">
        <ns0:is>
          <ns0:t>picture</ns0:t>
        </ns0:is>
      </ns0:c>
      <ns0:c r="B51" s="278">
        <ns0:v>0.8903463877666838</ns0:v>
      </ns0:c>
      <ns0:c r="C51" s="278">
        <ns0:v>0.8931120711615744</ns0:v>
      </ns0:c>
      <ns0:c r="D51" s="278">
        <ns0:v>0.9965339915365584</ns0:v>
      </ns0:c>
      <ns0:c r="E51" s="278">
        <ns0:v>0.9419928469496723</ns0:v>
      </ns0:c>
      <ns0:c r="F51" s="278">
        <ns0:v>0.9419928469496723</ns0:v>
      </ns0:c>
      <ns0:c r="G51" s="276" t="n"/>
      <ns0:c r="H51" s="278" t="n"/>
      <ns0:c r="I51" s="279" t="n"/>
      <ns0:c r="J51" s="279" t="n"/>
      <ns0:c r="K51" s="279" t="n"/>
      <ns0:c r="L51" s="277" t="n"/>
    </ns0:row>
    <ns0:row r="52" ht="30" customHeight="1" s="2">
      <ns0:c r="A52" s="279" t="inlineStr">
        <ns0:is>
          <ns0:t>pillow</ns0:t>
        </ns0:is>
      </ns0:c>
      <ns0:c r="B52" s="278">
        <ns0:v>0.4133207537962278</ns0:v>
      </ns0:c>
      <ns0:c r="C52" s="278">
        <ns0:v>0.5466003523664267</ns0:v>
      </ns0:c>
      <ns0:c r="D52" s="278">
        <ns0:v>0.6289552438308964</ns0:v>
      </ns0:c>
      <ns0:c r="E52" s="278">
        <ns0:v>0.5848930650541062</ns0:v>
      </ns0:c>
      <ns0:c r="F52" s="278">
        <ns0:v>0.5848930650541062</ns0:v>
      </ns0:c>
      <ns0:c r="G52" s="276" t="n"/>
      <ns0:c r="H52" s="278" t="n"/>
      <ns0:c r="I52" s="279" t="n"/>
      <ns0:c r="J52" s="279" t="n"/>
      <ns0:c r="K52" s="279" t="n"/>
      <ns0:c r="L52" s="277" t="n"/>
    </ns0:row>
    <ns0:row r="53" ht="30" customHeight="1" s="2">
      <ns0:c r="A53" s="279" t="inlineStr">
        <ns0:is>
          <ns0:t>plate</ns0:t>
        </ns0:is>
      </ns0:c>
      <ns0:c r="B53" s="278">
        <ns0:v>0</ns0:v>
      </ns0:c>
      <ns0:c r="C53" s="278">
        <ns0:v>0</ns0:v>
      </ns0:c>
      <ns0:c r="D53" s="278">
        <ns0:v>0</ns0:v>
      </ns0:c>
      <ns0:c r="E53" s="278">
        <ns0:v>0</ns0:v>
      </ns0:c>
      <ns0:c r="F53" s="278">
        <ns0:v>0</ns0:v>
      </ns0:c>
      <ns0:c r="G53" s="276" t="n"/>
      <ns0:c r="H53" s="278" t="n"/>
      <ns0:c r="I53" s="279" t="n"/>
      <ns0:c r="J53" s="279" t="n"/>
      <ns0:c r="K53" s="279" t="n"/>
      <ns0:c r="L53" s="277" t="n"/>
    </ns0:row>
    <ns0:row r="54" ht="30" customHeight="1" s="2">
      <ns0:c r="A54" s="279" t="inlineStr">
        <ns0:is>
          <ns0:t>switch</ns0:t>
        </ns0:is>
      </ns0:c>
      <ns0:c r="B54" s="278">
        <ns0:v>0.025733163324446504</ns0:v>
      </ns0:c>
      <ns0:c r="C54" s="278">
        <ns0:v>0.025737638397774043</ns0:v>
      </ns0:c>
      <ns0:c r="D54" s="278">
        <ns0:v>0.9932885906040269</ns0:v>
      </ns0:c>
      <ns0:c r="E54" s="278">
        <ns0:v>0.05017516103514522</ns0:v>
      </ns0:c>
      <ns0:c r="F54" s="278">
        <ns0:v>0.05017516103514522</ns0:v>
      </ns0:c>
      <ns0:c r="G54" s="276" t="n"/>
      <ns0:c r="H54" s="278" t="n"/>
      <ns0:c r="I54" s="279" t="n"/>
      <ns0:c r="J54" s="279" t="n"/>
      <ns0:c r="K54" s="279" t="n"/>
      <ns0:c r="L54" s="277" t="n"/>
    </ns0:row>
    <ns0:row r="55" ht="30" customHeight="1" s="2">
      <ns0:c r="A55" s="279" t="inlineStr">
        <ns0:is>
          <ns0:t>vase</ns0:t>
        </ns0:is>
      </ns0:c>
      <ns0:c r="B55" s="278">
        <ns0:v>0</ns0:v>
      </ns0:c>
      <ns0:c r="C55" s="278">
        <ns0:v>0</ns0:v>
      </ns0:c>
      <ns0:c r="D55" s="278">
        <ns0:v>0</ns0:v>
      </ns0:c>
      <ns0:c r="E55" s="278">
        <ns0:v>0</ns0:v>
      </ns0:c>
      <ns0:c r="F55" s="278">
        <ns0:v>0</ns0:v>
      </ns0:c>
      <ns0:c r="G55" s="276" t="n"/>
      <ns0:c r="H55" s="278" t="n"/>
      <ns0:c r="I55" s="279" t="n"/>
      <ns0:c r="J55" s="279" t="n"/>
      <ns0:c r="K55" s="279" t="n"/>
      <ns0:c r="L55" s="277" t="n"/>
    </ns0:row>
    <ns0:row r="56" ht="30" customHeight="1" s="2">
      <ns0:c r="A56" s="279" t="inlineStr">
        <ns0:is>
          <ns0:t>vent</ns0:t>
        </ns0:is>
      </ns0:c>
      <ns0:c r="B56" s="278">
        <ns0:v>0.15589382560133994</ns0:v>
      </ns0:c>
      <ns0:c r="C56" s="278">
        <ns0:v>0.15589382560133994</ns0:v>
      </ns0:c>
      <ns0:c r="D56" s="278">
        <ns0:v>1</ns0:v>
      </ns0:c>
      <ns0:c r="E56" s="278">
        <ns0:v>0.26973727542880166</ns0:v>
      </ns0:c>
      <ns0:c r="F56" s="278">
        <ns0:v>0.26973727542880166</ns0:v>
      </ns0:c>
      <ns0:c r="G56" s="276" t="n"/>
      <ns0:c r="H56" s="278" t="n"/>
      <ns0:c r="I56" s="279" t="n"/>
      <ns0:c r="J56" s="279" t="n"/>
      <ns0:c r="K56" s="279" t="n"/>
      <ns0:c r="L56" s="277" t="n"/>
    </ns0:row>
    <ns0:row r="57" ht="30" customHeight="1" s="2">
      <ns0:c r="A57" s="279" t="inlineStr">
        <ns0:is>
          <ns0:t>wall-plug</ns0:t>
        </ns0:is>
      </ns0:c>
      <ns0:c r="B57" s="278">
        <ns0:v>0</ns0:v>
      </ns0:c>
      <ns0:c r="C57" s="278">
        <ns0:v>0</ns0:v>
      </ns0:c>
      <ns0:c r="D57" s="278">
        <ns0:v>0</ns0:v>
      </ns0:c>
      <ns0:c r="E57" s="278">
        <ns0:v>0</ns0:v>
      </ns0:c>
      <ns0:c r="F57" s="278">
        <ns0:v>0</ns0:v>
      </ns0:c>
      <ns0:c r="G57" s="276" t="n"/>
      <ns0:c r="H57" s="278" t="n"/>
      <ns0:c r="I57" s="279" t="n"/>
      <ns0:c r="J57" s="279" t="n"/>
      <ns0:c r="K57" s="279" t="n"/>
      <ns0:c r="L57" s="277" t="n"/>
    </ns0:row>
    <ns0:row r="58" ht="30" customHeight="1" s="2">
      <ns0:c r="A58" s="279" t="inlineStr">
        <ns0:is>
          <ns0:t>rug</ns0:t>
        </ns0:is>
      </ns0:c>
      <ns0:c r="B58" s="278">
        <ns0:v>0</ns0:v>
      </ns0:c>
      <ns0:c r="C58" s="278">
        <ns0:v>0</ns0:v>
      </ns0:c>
      <ns0:c r="D58" s="278">
        <ns0:v>0</ns0:v>
      </ns0:c>
      <ns0:c r="E58" s="278">
        <ns0:v>0</ns0:v>
      </ns0:c>
      <ns0:c r="F58" s="278">
        <ns0:v>0</ns0:v>
      </ns0:c>
      <ns0:c r="G58" s="276" t="n"/>
      <ns0:c r="H58" s="278" t="n"/>
      <ns0:c r="I58" s="279" t="n"/>
      <ns0:c r="J58" s="279" t="n"/>
      <ns0:c r="K58" s="279" t="n"/>
      <ns0:c r="L58" s="277" t="n"/>
    </ns0:row>
  </ns0:sheetData>
  <ns0:mergeCells count="15">
    <ns0:mergeCell ref="A30:L30"/>
    <ns0:mergeCell ref="A2:L2"/>
    <ns0:mergeCell ref="A38:L38"/>
    <ns0:mergeCell ref="A29:L29"/>
    <ns0:mergeCell ref="A10:L10"/>
    <ns0:mergeCell ref="A33:L33"/>
    <ns0:mergeCell ref="A1:L1"/>
    <ns0:mergeCell ref="A32:L32"/>
    <ns0:mergeCell ref="A36:L36"/>
    <ns0:mergeCell ref="A14:L14"/>
    <ns0:mergeCell ref="A31:L31"/>
    <ns0:mergeCell ref="A18:L18"/>
    <ns0:mergeCell ref="A34:L34"/>
    <ns0:mergeCell ref="A35:L35"/>
    <ns0:mergeCell ref="A4:L4"/>
  </ns0:mergeCells>
  <ns0:pageMargins left="0.7" right="0.7" top="0.75" bottom="0.75" header="0.3" footer="0.3"/>
</ns0:worksheet>
</file>

<file path=xl/worksheets/sheet20.xml><?xml version="1.0" encoding="utf-8"?>
<ns0:worksheet xmlns:ns0="http://schemas.openxmlformats.org/spreadsheetml/2006/main">
  <ns0:sheetPr>
    <ns0:outlinePr summaryBelow="1" summaryRight="1"/>
    <ns0:pageSetUpPr/>
  </ns0:sheetPr>
  <ns0:dimension ref="A1:L55"/>
  <ns0:sheetViews>
    <ns0:sheetView showGridLines="0" workbookViewId="0">
      <ns0:pane xSplit="2" ySplit="5" topLeftCell="C6" activePane="bottomRight" state="frozen"/>
      <ns0:selection activeCell="A1" sqref="A1"/>
    </ns0:sheetView>
  </ns0:sheetViews>
  <ns0:sheetFormatPr baseColWidth="8" defaultRowHeight="15"/>
  <ns0:cols>
    <ns0:col width="24" customWidth="1" style="2" min="1" max="1"/>
    <ns0:col width="20" customWidth="1" style="2" min="2" max="2"/>
    <ns0:col width="13" customWidth="1" style="2" min="3" max="3"/>
    <ns0:col width="14" customWidth="1" style="2" min="4" max="4"/>
    <ns0:col width="14" customWidth="1" style="2" min="5" max="5"/>
    <ns0:col width="14" customWidth="1" style="2" min="6" max="6"/>
    <ns0:col width="13" customWidth="1" style="2" min="7" max="7"/>
    <ns0:col width="16" customWidth="1" style="2" min="8" max="8"/>
    <ns0:col width="15" customWidth="1" style="2" min="9" max="9"/>
    <ns0:col width="15" customWidth="1" style="2" min="10" max="10"/>
    <ns0:col width="15" customWidth="1" style="2" min="11" max="11"/>
    <ns0:col width="15" customWidth="1" style="2" min="12" max="12"/>
  </ns0:cols>
  <ns0:sheetData>
    <ns0:row r="1" ht="36" customHeight="1" s="2">
      <ns0:c r="A1" s="237" t="inlineStr">
        <ns0:is>
          <ns0:t>room2：点级语义、实例PQ和几何覆盖率</ns0:t>
        </ns0:is>
      </ns0:c>
    </ns0:row>
    <ns0:row r="2" ht="52" customHeight="1" s="2">
      <ns0:c r="A2" s="216" t="inlineStr">
        <ns0:is>
          <ns0:t>400帧，stride5；16类；3513164语义有效计分点；几何固定参考点3513164。黄色仅比较相同评测类别数和参考点数的已有结果。</ns0:t>
        </ns0:is>
      </ns0:c>
    </ns0:row>
    <ns0:row r="3"/>
    <ns0:row r="4" ht="26" customHeight="1" s="2">
      <ns0:c r="A4" s="236" t="inlineStr">
        <ns0:is>
          <ns0:t>A. 点级语义指标</ns0:t>
        </ns0:is>
      </ns0:c>
    </ns0:row>
    <ns0:row r="5" ht="44" customHeight="1" s="2">
      <ns0:c r="A5" s="223" t="inlineStr">
        <ns0:is>
          <ns0:t>实验目录</ns0:t>
        </ns0:is>
      </ns0:c>
      <ns0:c r="B5" s="223" t="inlineStr">
        <ns0:is>
          <ns0:t>模式 / stride</ns0:t>
        </ns0:is>
      </ns0:c>
      <ns0:c r="C5" s="223" t="inlineStr">
        <ns0:is>
          <ns0:t>mIoU</ns0:t>
        </ns0:is>
      </ns0:c>
      <ns0:c r="D5" s="223" t="inlineStr">
        <ns0:is>
          <ns0:t>mRecall / mAcc</ns0:t>
        </ns0:is>
      </ns0:c>
      <ns0:c r="E5" s="223" t="inlineStr">
        <ns0:is>
          <ns0:t>mPrecision</ns0:t>
        </ns0:is>
      </ns0:c>
      <ns0:c r="F5" s="223" t="inlineStr">
        <ns0:is>
          <ns0:t>mF1（原公式）</ns0:t>
        </ns0:is>
      </ns0:c>
      <ns0:c r="G5" s="223" t="inlineStr">
        <ns0:is>
          <ns0:t>fwIoU</ns0:t>
        </ns0:is>
      </ns0:c>
      <ns0:c r="H5" s="223" t="inlineStr">
        <ns0:is>
          <ns0:t>Point Accuracy</ns0:t>
        </ns0:is>
      </ns0:c>
      <ns0:c r="I5" s="223" t="inlineStr">
        <ns0:is>
          <ns0:t>IoU&gt;0.15类数</ns0:t>
        </ns0:is>
      </ns0:c>
      <ns0:c r="J5" s="223" t="inlineStr">
        <ns0:is>
          <ns0:t>IoU&gt;0.25类数</ns0:t>
        </ns0:is>
      </ns0:c>
      <ns0:c r="K5" s="223" t="inlineStr">
        <ns0:is>
          <ns0:t>IoU&gt;0.50类数</ns0:t>
        </ns0:is>
      </ns0:c>
      <ns0:c r="L5" s="223" t="inlineStr">
        <ns0:is>
          <ns0:t>IoU&gt;0.75类数</ns0:t>
        </ns0:is>
      </ns0:c>
    </ns0:row>
    <ns0:row r="6" ht="66" customHeight="1" s="2">
      <ns0:c r="A6" s="279" t="inlineStr">
        <ns0:is>
          <ns0:t>v7_CLIP_auto_20260909_224359_1079274</ns0:t>
        </ns0:is>
      </ns0:c>
      <ns0:c r="B6" s="279" t="inlineStr">
        <ns0:is>
          <ns0:t>VLM（CLIP auto）/ 5</ns0:t>
        </ns0:is>
      </ns0:c>
      <ns0:c r="C6" s="276">
        <ns0:v>0.2191711033989298</ns0:v>
      </ns0:c>
      <ns0:c r="D6" s="276">
        <ns0:v>0.40260892629120937</ns0:v>
      </ns0:c>
      <ns0:c r="E6" s="278">
        <ns0:v>0.3536391623469203</ns0:v>
      </ns0:c>
      <ns0:c r="F6" s="276">
        <ns0:v>0.2633721769381982</ns0:v>
      </ns0:c>
      <ns0:c r="G6" s="276">
        <ns0:v>0.3529359500487934</ns0:v>
      </ns0:c>
      <ns0:c r="H6" s="278">
        <ns0:v>0.3866659797265371</ns0:v>
      </ns0:c>
      <ns0:c r="I6" s="277">
        <ns0:v>5</ns0:v>
      </ns0:c>
      <ns0:c r="J6" s="277">
        <ns0:v>5</ns0:v>
      </ns0:c>
      <ns0:c r="K6" s="277">
        <ns0:v>3</ns0:v>
      </ns0:c>
      <ns0:c r="L6" s="277">
        <ns0:v>2</ns0:v>
      </ns0:c>
    </ns0:row>
    <ns0:row r="7" ht="70" customHeight="1" s="2">
      <ns0:c r="A7" s="279" t="inlineStr">
        <ns0:is>
          <ns0:t>main（历史）</ns0:t>
        </ns0:is>
      </ns0:c>
      <ns0:c r="B7" s="279" t="inlineStr">
        <ns0:is>
          <ns0:t>main / 5</ns0:t>
        </ns0:is>
      </ns0:c>
      <ns0:c r="C7" s="278">
        <ns0:v>0.2675509219</ns0:v>
      </ns0:c>
      <ns0:c r="D7" s="278">
        <ns0:v>0.3940038778</ns0:v>
      </ns0:c>
      <ns0:c r="E7" s="276">
        <ns0:v>0.4073923041</ns0:v>
      </ns0:c>
      <ns0:c r="F7" s="278">
        <ns0:v>0.3200088873</ns0:v>
      </ns0:c>
      <ns0:c r="G7" s="276">
        <ns0:v>0.3497561461</ns0:v>
      </ns0:c>
      <ns0:c r="H7" s="278">
        <ns0:v>0.3722325516</ns0:v>
      </ns0:c>
      <ns0:c r="I7" s="305">
        <ns0:v>7</ns0:v>
      </ns0:c>
      <ns0:c r="J7" s="305">
        <ns0:v>6</ns0:v>
      </ns0:c>
      <ns0:c r="K7" s="277">
        <ns0:v>4</ns0:v>
      </ns0:c>
      <ns0:c r="L7" s="277">
        <ns0:v>3</ns0:v>
      </ns0:c>
    </ns0:row>
    <ns0:row r="8" ht="70" customHeight="1" s="2">
      <ns0:c r="A8" s="279" t="inlineStr">
        <ns0:is>
          <ns0:t>ali-my（历史）</ns0:t>
        </ns0:is>
      </ns0:c>
      <ns0:c r="B8" s="279" t="inlineStr">
        <ns0:is>
          <ns0:t>ali-my / 5</ns0:t>
        </ns0:is>
      </ns0:c>
      <ns0:c r="C8" s="306">
        <ns0:v>0.3070822627</ns0:v>
      </ns0:c>
      <ns0:c r="D8" s="306">
        <ns0:v>0.4369015774</ns0:v>
      </ns0:c>
      <ns0:c r="E8" s="306">
        <ns0:v>0.4321038126</ns0:v>
      </ns0:c>
      <ns0:c r="F8" s="306">
        <ns0:v>0.3440614401</ns0:v>
      </ns0:c>
      <ns0:c r="G8" s="306">
        <ns0:v>0.3842919255</ns0:v>
      </ns0:c>
      <ns0:c r="H8" s="306">
        <ns0:v>0.4226457973</ns0:v>
      </ns0:c>
      <ns0:c r="I8" s="279">
        <ns0:v>6</ns0:v>
      </ns0:c>
      <ns0:c r="J8" s="305">
        <ns0:v>6</ns0:v>
      </ns0:c>
      <ns0:c r="K8" s="305">
        <ns0:v>5</ns0:v>
      </ns0:c>
      <ns0:c r="L8" s="305">
        <ns0:v>4</ns0:v>
      </ns0:c>
    </ns0:row>
    <ns0:row r="9"/>
    <ns0:row r="10" ht="26" customHeight="1" s="2">
      <ns0:c r="A10" s="236" t="inlineStr">
        <ns0:is>
          <ns0:t>B. 实例PQ与几何覆盖率（fixed-support）</ns0:t>
        </ns0:is>
      </ns0:c>
    </ns0:row>
    <ns0:row r="11" ht="44" customHeight="1" s="2">
      <ns0:c r="A11" s="223" t="inlineStr">
        <ns0:is>
          <ns0:t>实验目录</ns0:t>
        </ns0:is>
      </ns0:c>
      <ns0:c r="B11" s="223" t="inlineStr">
        <ns0:is>
          <ns0:t>PQ</ns0:t>
        </ns0:is>
      </ns0:c>
      <ns0:c r="C11" s="223" t="inlineStr">
        <ns0:is>
          <ns0:t>RQ</ns0:t>
        </ns0:is>
      </ns0:c>
      <ns0:c r="D11" s="223" t="inlineStr">
        <ns0:is>
          <ns0:t>SQ</ns0:t>
        </ns0:is>
      </ns0:c>
      <ns0:c r="E11" s="223" t="inlineStr">
        <ns0:is>
          <ns0:t>TP</ns0:t>
        </ns0:is>
      </ns0:c>
      <ns0:c r="F11" s="223" t="inlineStr">
        <ns0:is>
          <ns0:t>FP</ns0:t>
        </ns0:is>
      </ns0:c>
      <ns0:c r="G11" s="223" t="inlineStr">
        <ns0:is>
          <ns0:t>FN</ns0:t>
        </ns0:is>
      </ns0:c>
      <ns0:c r="H11" s="223" t="inlineStr">
        <ns0:is>
          <ns0:t>GT实例数</ns0:t>
        </ns0:is>
      </ns0:c>
      <ns0:c r="I11" s="223" t="inlineStr">
        <ns0:is>
          <ns0:t>预测实例数</ns0:t>
        </ns0:is>
      </ns0:c>
      <ns0:c r="J11" s="223" t="inlineStr">
        <ns0:is>
          <ns0:t>覆盖率2.5cm</ns0:t>
        </ns0:is>
      </ns0:c>
      <ns0:c r="K11" s="223" t="inlineStr">
        <ns0:is>
          <ns0:t>覆盖率5cm</ns0:t>
        </ns0:is>
      </ns0:c>
      <ns0:c r="L11" s="223" t="inlineStr">
        <ns0:is>
          <ns0:t>覆盖率10cm</ns0:t>
        </ns0:is>
      </ns0:c>
    </ns0:row>
    <ns0:row r="12" ht="66" customHeight="1" s="2">
      <ns0:c r="A12" s="226" t="inlineStr">
        <ns0:is>
          <ns0:t>v7_CLIP_auto_20260909_224359_1079274</ns0:t>
        </ns0:is>
      </ns0:c>
      <ns0:c r="B12" s="276">
        <ns0:v>0.49028343584379075</ns0:v>
      </ns0:c>
      <ns0:c r="C12" s="239">
        <ns0:v>0.5918367346938775</ns0:v>
      </ns0:c>
      <ns0:c r="D12" s="276">
        <ns0:v>0.8284099433222671</ns0:v>
      </ns0:c>
      <ns0:c r="E12" s="226">
        <ns0:v>29</ns0:v>
      </ns0:c>
      <ns0:c r="F12" s="277">
        <ns0:v>14</ns0:v>
      </ns0:c>
      <ns0:c r="G12" s="226">
        <ns0:v>26</ns0:v>
      </ns0:c>
      <ns0:c r="H12" s="226">
        <ns0:v>55</ns0:v>
      </ns0:c>
      <ns0:c r="I12" s="226">
        <ns0:v>55</ns0:v>
      </ns0:c>
      <ns0:c r="J12" s="276">
        <ns0:v>0.9089669596978678</ns0:v>
      </ns0:c>
      <ns0:c r="K12" s="276">
        <ns0:v>0.9191569195175631</ns0:v>
      </ns0:c>
      <ns0:c r="L12" s="276">
        <ns0:v>0.9362617287436624</ns0:v>
      </ns0:c>
    </ns0:row>
    <ns0:row r="13"/>
    <ns0:row r="14" ht="26" customHeight="1" s="2">
      <ns0:c r="A14" s="236" t="inlineStr">
        <ns0:is>
          <ns0:t>C. 完成状态与诊断</ns0:t>
        </ns0:is>
      </ns0:c>
    </ns0:row>
    <ns0:row r="15" ht="44" customHeight="1" s="2">
      <ns0:c r="A15" s="223" t="inlineStr">
        <ns0:is>
          <ns0:t>实验目录</ns0:t>
        </ns0:is>
      </ns0:c>
      <ns0:c r="B15" s="223" t="inlineStr">
        <ns0:is>
          <ns0:t>状态</ns0:t>
        </ns0:is>
      </ns0:c>
      <ns0:c r="C15" s="223" t="inlineStr">
        <ns0:is>
          <ns0:t>帧数</ns0:t>
        </ns0:is>
      </ns0:c>
      <ns0:c r="D15" s="223" t="inlineStr">
        <ns0:is>
          <ns0:t>对象数</ns0:t>
        </ns0:is>
      </ns0:c>
      <ns0:c r="E15" s="223" t="inlineStr">
        <ns0:is>
          <ns0:t>对象点数</ns0:t>
        </ns0:is>
      </ns0:c>
      <ns0:c r="F15" s="223" t="inlineStr">
        <ns0:is>
          <ns0:t>语义评测总秒</ns0:t>
        </ns0:is>
      </ns0:c>
      <ns0:c r="G15" s="223" t="inlineStr">
        <ns0:is>
          <ns0:t>场景计算秒</ns0:t>
        </ns0:is>
      </ns0:c>
      <ns0:c r="H15" s="223" t="inlineStr">
        <ns0:is>
          <ns0:t>零IoU类数</ns0:t>
        </ns0:is>
      </ns0:c>
      <ns0:c r="I15" s="223" t="inlineStr">
        <ns0:is>
          <ns0:t>评测类别数</ns0:t>
        </ns0:is>
      </ns0:c>
      <ns0:c r="J15" s="223" t="inlineStr">
        <ns0:is>
          <ns0:t>语义计分点数</ns0:t>
        </ns0:is>
      </ns0:c>
      <ns0:c r="K15" s="223" t="inlineStr">
        <ns0:is>
          <ns0:t>说明</ns0:t>
        </ns0:is>
      </ns0:c>
      <ns0:c r="L15" s="223" t="n"/>
    </ns0:row>
    <ns0:row r="16" ht="66" customHeight="1" s="2">
      <ns0:c r="A16" s="226" t="inlineStr">
        <ns0:is>
          <ns0:t>v7_CLIP_auto_20260909_224359_1079274</ns0:t>
        </ns0:is>
      </ns0:c>
      <ns0:c r="B16" s="226" t="inlineStr">
        <ns0:is>
          <ns0:t>完成</ns0:t>
        </ns0:is>
      </ns0:c>
      <ns0:c r="C16" s="226">
        <ns0:v>400</ns0:v>
      </ns0:c>
      <ns0:c r="D16" s="226">
        <ns0:v>55</ns0:v>
      </ns0:c>
      <ns0:c r="E16" s="226">
        <ns0:v>514666</ns0:v>
      </ns0:c>
      <ns0:c r="F16" s="226">
        <ns0:v>31.198</ns0:v>
      </ns0:c>
      <ns0:c r="G16" s="226">
        <ns0:v>18.825</ns0:v>
      </ns0:c>
      <ns0:c r="H16" s="226">
        <ns0:v>7</ns0:v>
      </ns0:c>
      <ns0:c r="I16" s="226">
        <ns0:v>16</ns0:v>
      </ns0:c>
      <ns0:c r="J16" s="226">
        <ns0:v>3513164</ns0:v>
      </ns0:c>
      <ns0:c r="K16" s="226" t="inlineStr">
        <ns0:is>
          <ns0:t>地图哈希、完成状态及审计核验通过</ns0:t>
        </ns0:is>
      </ns0:c>
      <ns0:c r="L16" s="226" t="n"/>
    </ns0:row>
    <ns0:row r="17"/>
    <ns0:row r="18" ht="26" customHeight="1" s="2">
      <ns0:c r="A18" s="236" t="inlineStr">
        <ns0:is>
          <ns0:t>D. 补充指标与计时</ns0:t>
        </ns0:is>
      </ns0:c>
    </ns0:row>
    <ns0:row r="19" ht="44" customHeight="1" s="2">
      <ns0:c r="A19" s="223" t="inlineStr">
        <ns0:is>
          <ns0:t>指标</ns0:t>
        </ns0:is>
      </ns0:c>
      <ns0:c r="B19" s="223" t="inlineStr">
        <ns0:is>
          <ns0:t>数值</ns0:t>
        </ns0:is>
      </ns0:c>
      <ns0:c r="C19" s="223" t="inlineStr">
        <ns0:is>
          <ns0:t>单位</ns0:t>
        </ns0:is>
      </ns0:c>
      <ns0:c r="D19" s="223" t="n"/>
      <ns0:c r="E19" s="223" t="n"/>
      <ns0:c r="F19" s="223" t="n"/>
      <ns0:c r="G19" s="223" t="n"/>
      <ns0:c r="H19" s="223" t="n"/>
      <ns0:c r="I19" s="223" t="n"/>
      <ns0:c r="J19" s="223" t="n"/>
      <ns0:c r="K19" s="223" t="n"/>
      <ns0:c r="L19" s="223" t="n"/>
    </ns0:row>
    <ns0:row r="20" ht="30" customHeight="1" s="2">
      <ns0:c r="A20" s="279" t="inlineStr">
        <ns0:is>
          <ns0:t>语义标准mF1</ns0:t>
        </ns0:is>
      </ns0:c>
      <ns0:c r="B20" s="278">
        <ns0:v>0.2641011323695738</ns0:v>
      </ns0:c>
      <ns0:c r="C20" s="279" t="inlineStr">
        <ns0:is>
          <ns0:t>比例</ns0:t>
        </ns0:is>
      </ns0:c>
      <ns0:c r="D20" s="278" t="n"/>
      <ns0:c r="E20" s="278" t="n"/>
      <ns0:c r="F20" s="278" t="n"/>
      <ns0:c r="G20" s="276" t="n"/>
      <ns0:c r="H20" s="278" t="n"/>
      <ns0:c r="I20" s="279" t="n"/>
      <ns0:c r="J20" s="279" t="n"/>
      <ns0:c r="K20" s="279" t="n"/>
      <ns0:c r="L20" s="277" t="n"/>
    </ns0:row>
    <ns0:row r="21" ht="30" customHeight="1" s="2">
      <ns0:c r="A21" s="279" t="inlineStr">
        <ns0:is>
          <ns0:t>HTTP已记录尝试</ns0:t>
        </ns0:is>
      </ns0:c>
      <ns0:c r="B21" s="280">
        <ns0:v>776</ns0:v>
      </ns0:c>
      <ns0:c r="C21" s="279" t="inlineStr">
        <ns0:is>
          <ns0:t>次</ns0:t>
        </ns0:is>
      </ns0:c>
      <ns0:c r="D21" s="278" t="n"/>
      <ns0:c r="E21" s="278" t="n"/>
      <ns0:c r="F21" s="278" t="n"/>
      <ns0:c r="G21" s="276" t="n"/>
      <ns0:c r="H21" s="278" t="n"/>
      <ns0:c r="I21" s="279" t="n"/>
      <ns0:c r="J21" s="279" t="n"/>
      <ns0:c r="K21" s="279" t="n"/>
      <ns0:c r="L21" s="277" t="n"/>
    </ns0:row>
    <ns0:row r="22" ht="30" customHeight="1" s="2">
      <ns0:c r="A22" s="279" t="inlineStr">
        <ns0:is>
          <ns0:t>HTTP重试</ns0:t>
        </ns0:is>
      </ns0:c>
      <ns0:c r="B22" s="280">
        <ns0:v>0</ns0:v>
      </ns0:c>
      <ns0:c r="C22" s="279" t="inlineStr">
        <ns0:is>
          <ns0:t>次</ns0:t>
        </ns0:is>
      </ns0:c>
      <ns0:c r="D22" s="278" t="n"/>
      <ns0:c r="E22" s="278" t="n"/>
      <ns0:c r="F22" s="278" t="n"/>
      <ns0:c r="G22" s="276" t="n"/>
      <ns0:c r="H22" s="278" t="n"/>
      <ns0:c r="I22" s="279" t="n"/>
      <ns0:c r="J22" s="279" t="n"/>
      <ns0:c r="K22" s="279" t="n"/>
      <ns0:c r="L22" s="277" t="n"/>
    </ns0:row>
    <ns0:row r="23" ht="30" customHeight="1" s="2">
      <ns0:c r="A23" s="279" t="inlineStr">
        <ns0:is>
          <ns0:t>PQ评估耗时</ns0:t>
        </ns0:is>
      </ns0:c>
      <ns0:c r="B23" s="281">
        <ns0:v>37.33944828156382</ns0:v>
      </ns0:c>
      <ns0:c r="C23" s="279" t="inlineStr">
        <ns0:is>
          <ns0:t>秒</ns0:t>
        </ns0:is>
      </ns0:c>
      <ns0:c r="D23" s="278" t="n"/>
      <ns0:c r="E23" s="278" t="n"/>
      <ns0:c r="F23" s="278" t="n"/>
      <ns0:c r="G23" s="276" t="n"/>
      <ns0:c r="H23" s="278" t="n"/>
      <ns0:c r="I23" s="279" t="n"/>
      <ns0:c r="J23" s="279" t="n"/>
      <ns0:c r="K23" s="279" t="n"/>
      <ns0:c r="L23" s="277" t="n"/>
    </ns0:row>
    <ns0:row r="24" ht="30" customHeight="1" s="2">
      <ns0:c r="A24" s="279" t="inlineStr">
        <ns0:is>
          <ns0:t>覆盖率评估耗时</ns0:t>
        </ns0:is>
      </ns0:c>
      <ns0:c r="B24" s="281">
        <ns0:v>23.996846228837967</ns0:v>
      </ns0:c>
      <ns0:c r="C24" s="279" t="inlineStr">
        <ns0:is>
          <ns0:t>秒</ns0:t>
        </ns0:is>
      </ns0:c>
      <ns0:c r="D24" s="278" t="n"/>
      <ns0:c r="E24" s="278" t="n"/>
      <ns0:c r="F24" s="278" t="n"/>
      <ns0:c r="G24" s="276" t="n"/>
      <ns0:c r="H24" s="278" t="n"/>
      <ns0:c r="I24" s="279" t="n"/>
      <ns0:c r="J24" s="279" t="n"/>
      <ns0:c r="K24" s="279" t="n"/>
      <ns0:c r="L24" s="277" t="n"/>
    </ns0:row>
    <ns0:row r="25" ht="30" customHeight="1" s="2">
      <ns0:c r="A25" s="279" t="inlineStr">
        <ns0:is>
          <ns0:t>统一评估耗时</ns0:t>
        </ns0:is>
      </ns0:c>
      <ns0:c r="B25" s="281">
        <ns0:v>16.977255075238645</ns0:v>
      </ns0:c>
      <ns0:c r="C25" s="279" t="inlineStr">
        <ns0:is>
          <ns0:t>秒</ns0:t>
        </ns0:is>
      </ns0:c>
      <ns0:c r="D25" s="278" t="n"/>
      <ns0:c r="E25" s="278" t="n"/>
      <ns0:c r="F25" s="278" t="n"/>
      <ns0:c r="G25" s="276" t="n"/>
      <ns0:c r="H25" s="278" t="n"/>
      <ns0:c r="I25" s="279" t="n"/>
      <ns0:c r="J25" s="279" t="n"/>
      <ns0:c r="K25" s="279" t="n"/>
      <ns0:c r="L25" s="277" t="n"/>
    </ns0:row>
    <ns0:row r="26" ht="30" customHeight="1" s="2">
      <ns0:c r="A26" s="279" t="inlineStr">
        <ns0:is>
          <ns0:t>未覆盖前景点数</ns0:t>
        </ns0:is>
      </ns0:c>
      <ns0:c r="B26" s="280">
        <ns0:v>284015</ns0:v>
      </ns0:c>
      <ns0:c r="C26" s="279" t="inlineStr">
        <ns0:is>
          <ns0:t>点</ns0:t>
        </ns0:is>
      </ns0:c>
      <ns0:c r="D26" s="278" t="n"/>
      <ns0:c r="E26" s="278" t="n"/>
      <ns0:c r="F26" s="278" t="n"/>
      <ns0:c r="G26" s="276" t="n"/>
      <ns0:c r="H26" s="278" t="n"/>
      <ns0:c r="I26" s="279" t="n"/>
      <ns0:c r="J26" s="279" t="n"/>
      <ns0:c r="K26" s="279" t="n"/>
      <ns0:c r="L26" s="277" t="n"/>
    </ns0:row>
    <ns0:row r="27" ht="30" customHeight="1" s="2">
      <ns0:c r="A27" s="279" t="inlineStr">
        <ns0:is>
          <ns0:t>前景最近距离均值</ns0:t>
        </ns0:is>
      </ns0:c>
      <ns0:c r="B27" s="287">
        <ns0:v>0.020969473692606887</ns0:v>
      </ns0:c>
      <ns0:c r="C27" s="279" t="inlineStr">
        <ns0:is>
          <ns0:t>m</ns0:t>
        </ns0:is>
      </ns0:c>
      <ns0:c r="D27" s="278" t="n"/>
      <ns0:c r="E27" s="278" t="n"/>
      <ns0:c r="F27" s="278" t="n"/>
      <ns0:c r="G27" s="276" t="n"/>
      <ns0:c r="H27" s="278" t="n"/>
      <ns0:c r="I27" s="279" t="n"/>
      <ns0:c r="J27" s="279" t="n"/>
      <ns0:c r="K27" s="279" t="n"/>
      <ns0:c r="L27" s="277" t="n"/>
    </ns0:row>
    <ns0:row r="28"/>
    <ns0:row r="29" ht="26" customHeight="1" s="2">
      <ns0:c r="A29" s="236" t="inlineStr">
        <ns0:is>
          <ns0:t>E. 来源与口径</ns0:t>
        </ns0:is>
      </ns0:c>
    </ns0:row>
    <ns0:row r="30" ht="52" customHeight="1" s="2">
      <ns0:c r="A30" s="216" t="inlineStr">
        <ns0:is>
          <ns0:t>从空图在线处理完整400帧。本次仅补算已有地图指标，未重跑建图。make_edges=false，关系指标不适用，不填0。</ns0:t>
        </ns0:is>
      </ns0:c>
    </ns0:row>
    <ns0:row r="31" ht="52" customHeight="1" s="2">
      <ns0:c r="A31" s="216" t="inlineStr">
        <ns0:is>
          <ns0:t>本页采用固定SLAM支持集；完整GT网格结果见 OVI_MAP_统一指标对比.xlsx 的 room2统一指标。</ns0:t>
        </ns0:is>
      </ns0:c>
    </ns0:row>
    <ns0:row r="32" ht="72" customHeight="1" s="2">
      <ns0:c r="A32" s="216" t="inlineStr">
        <ns0:is>
          <ns0:t>历史语义来源：「语义8场景」第18/19行。main参考点3513164，ali-my参考点3513164；不一致者不填入比较。PQ暂无历史同口径对照。</ns0:t>
        </ns0:is>
      </ns0:c>
    </ns0:row>
    <ns0:row r="33" ht="72" customHeight="1" s="2">
      <ns0:c r="A33" s="216" t="inlineStr">
        <ns0:is>
          <ns0:t>semantic：/home/chenkejun/beauty/conceptgraphs/results/experiments/oracle_three_error_20260828/pilot/b0_dataset/Replica/room2/exps/v7_CLIP_auto_20260909_224359_1079274/point_semantic_ali_dev_nexclude6_20260910_045709_026502541/semseg_results.json</ns0:t>
        </ns0:is>
      </ns0:c>
    </ns0:row>
    <ns0:row r="34" ht="72" customHeight="1" s="2">
      <ns0:c r="A34" s="216" t="inlineStr">
        <ns0:is>
          <ns0:t>pq：/home/chenkejun/beauty/conceptgraphs/results/experiments/oracle_three_error_20260828/pilot/b0_dataset/Replica/room2/exps/v7_CLIP_auto_20260909_224359_1079274/instance_pq_fixed_support_20260910_045741_144524022/instance_pq.csv</ns0:t>
        </ns0:is>
      </ns0:c>
    </ns0:row>
    <ns0:row r="35" ht="72" customHeight="1" s="2">
      <ns0:c r="A35" s="216" t="inlineStr">
        <ns0:is>
          <ns0:t>coverage：/home/chenkejun/beauty/conceptgraphs/results/experiments/oracle_three_error_20260828/pilot/b0_dataset/Replica/room2/exps/v7_CLIP_auto_20260909_224359_1079274/geometry_coverage_fixed_support_20260910_045819_098878355/coverage.csv</ns0:t>
        </ns0:is>
      </ns0:c>
    </ns0:row>
    <ns0:row r="36" ht="72" customHeight="1" s="2">
      <ns0:c r="A36" s="216" t="inlineStr">
        <ns0:is>
          <ns0:t>common：/home/chenkejun/beauty/conceptgraphs/results/experiments/oracle_three_error_20260828/pilot/b0_dataset/Replica/room2/exps/v7_CLIP_auto_20260909_224359_1079274/ovimap_common_eval_20260910/result.json</ns0:t>
        </ns0:is>
      </ns0:c>
    </ns0:row>
    <ns0:row r="37"/>
    <ns0:row r="38" ht="26" customHeight="1" s="2">
      <ns0:c r="A38" s="236" t="inlineStr">
        <ns0:is>
          <ns0:t>逐类语义指标（当前实验）</ns0:t>
        </ns0:is>
      </ns0:c>
    </ns0:row>
    <ns0:row r="39" ht="44" customHeight="1" s="2">
      <ns0:c r="A39" s="223" t="inlineStr">
        <ns0:is>
          <ns0:t>类别</ns0:t>
        </ns0:is>
      </ns0:c>
      <ns0:c r="B39" s="223" t="inlineStr">
        <ns0:is>
          <ns0:t>IoU</ns0:t>
        </ns0:is>
      </ns0:c>
      <ns0:c r="C39" s="223" t="inlineStr">
        <ns0:is>
          <ns0:t>Precision</ns0:t>
        </ns0:is>
      </ns0:c>
      <ns0:c r="D39" s="223" t="inlineStr">
        <ns0:is>
          <ns0:t>Recall</ns0:t>
        </ns0:is>
      </ns0:c>
      <ns0:c r="E39" s="223" t="inlineStr">
        <ns0:is>
          <ns0:t>F1原公式</ns0:t>
        </ns0:is>
      </ns0:c>
      <ns0:c r="F39" s="223" t="inlineStr">
        <ns0:is>
          <ns0:t>F1标准公式</ns0:t>
        </ns0:is>
      </ns0:c>
      <ns0:c r="G39" s="223" t="n"/>
      <ns0:c r="H39" s="223" t="n"/>
      <ns0:c r="I39" s="223" t="n"/>
      <ns0:c r="J39" s="223" t="n"/>
      <ns0:c r="K39" s="223" t="n"/>
      <ns0:c r="L39" s="223" t="n"/>
    </ns0:row>
    <ns0:row r="40" ht="30" customHeight="1" s="2">
      <ns0:c r="A40" s="279" t="inlineStr">
        <ns0:is>
          <ns0:t>blinds</ns0:t>
        </ns0:is>
      </ns0:c>
      <ns0:c r="B40" s="278">
        <ns0:v>1</ns0:v>
      </ns0:c>
      <ns0:c r="C40" s="278">
        <ns0:v>1</ns0:v>
      </ns0:c>
      <ns0:c r="D40" s="278">
        <ns0:v>1</ns0:v>
      </ns0:c>
      <ns0:c r="E40" s="278">
        <ns0:v>1</ns0:v>
      </ns0:c>
      <ns0:c r="F40" s="278">
        <ns0:v>1</ns0:v>
      </ns0:c>
      <ns0:c r="G40" s="276" t="n"/>
      <ns0:c r="H40" s="278" t="n"/>
      <ns0:c r="I40" s="279" t="n"/>
      <ns0:c r="J40" s="279" t="n"/>
      <ns0:c r="K40" s="279" t="n"/>
      <ns0:c r="L40" s="277" t="n"/>
    </ns0:row>
    <ns0:row r="41" ht="30" customHeight="1" s="2">
      <ns0:c r="A41" s="279" t="inlineStr">
        <ns0:is>
          <ns0:t>bottle</ns0:t>
        </ns0:is>
      </ns0:c>
      <ns0:c r="B41" s="278">
        <ns0:v>0</ns0:v>
      </ns0:c>
      <ns0:c r="C41" s="278">
        <ns0:v>0</ns0:v>
      </ns0:c>
      <ns0:c r="D41" s="278">
        <ns0:v>0</ns0:v>
      </ns0:c>
      <ns0:c r="E41" s="278">
        <ns0:v>0</ns0:v>
      </ns0:c>
      <ns0:c r="F41" s="278">
        <ns0:v>0</ns0:v>
      </ns0:c>
      <ns0:c r="G41" s="276" t="n"/>
      <ns0:c r="H41" s="278" t="n"/>
      <ns0:c r="I41" s="279" t="n"/>
      <ns0:c r="J41" s="279" t="n"/>
      <ns0:c r="K41" s="279" t="n"/>
      <ns0:c r="L41" s="277" t="n"/>
    </ns0:row>
    <ns0:row r="42" ht="30" customHeight="1" s="2">
      <ns0:c r="A42" s="279" t="inlineStr">
        <ns0:is>
          <ns0:t>box</ns0:t>
        </ns0:is>
      </ns0:c>
      <ns0:c r="B42" s="278">
        <ns0:v>0</ns0:v>
      </ns0:c>
      <ns0:c r="C42" s="278">
        <ns0:v>0</ns0:v>
      </ns0:c>
      <ns0:c r="D42" s="278">
        <ns0:v>0</ns0:v>
      </ns0:c>
      <ns0:c r="E42" s="278">
        <ns0:v>0</ns0:v>
      </ns0:c>
      <ns0:c r="F42" s="278">
        <ns0:v>0</ns0:v>
      </ns0:c>
      <ns0:c r="G42" s="276" t="n"/>
      <ns0:c r="H42" s="278" t="n"/>
      <ns0:c r="I42" s="279" t="n"/>
      <ns0:c r="J42" s="279" t="n"/>
      <ns0:c r="K42" s="279" t="n"/>
      <ns0:c r="L42" s="277" t="n"/>
    </ns0:row>
    <ns0:row r="43" ht="30" customHeight="1" s="2">
      <ns0:c r="A43" s="279" t="inlineStr">
        <ns0:is>
          <ns0:t>bowl</ns0:t>
        </ns0:is>
      </ns0:c>
      <ns0:c r="B43" s="278">
        <ns0:v>0</ns0:v>
      </ns0:c>
      <ns0:c r="C43" s="278">
        <ns0:v>0</ns0:v>
      </ns0:c>
      <ns0:c r="D43" s="278">
        <ns0:v>0</ns0:v>
      </ns0:c>
      <ns0:c r="E43" s="278">
        <ns0:v>0</ns0:v>
      </ns0:c>
      <ns0:c r="F43" s="278">
        <ns0:v>0</ns0:v>
      </ns0:c>
      <ns0:c r="G43" s="276" t="n"/>
      <ns0:c r="H43" s="278" t="n"/>
      <ns0:c r="I43" s="279" t="n"/>
      <ns0:c r="J43" s="279" t="n"/>
      <ns0:c r="K43" s="279" t="n"/>
      <ns0:c r="L43" s="277" t="n"/>
    </ns0:row>
    <ns0:row r="44" ht="30" customHeight="1" s="2">
      <ns0:c r="A44" s="279" t="inlineStr">
        <ns0:is>
          <ns0:t>chair</ns0:t>
        </ns0:is>
      </ns0:c>
      <ns0:c r="B44" s="278">
        <ns0:v>0.3511733808000175</ns0:v>
      </ns0:c>
      <ns0:c r="C44" s="278">
        <ns0:v>0.7974853841050981</ns0:v>
      </ns0:c>
      <ns0:c r="D44" s="278">
        <ns0:v>0.3855563248777827</ns0:v>
      </ns0:c>
      <ns0:c r="E44" s="278">
        <ns0:v>0.5198050609790594</ns0:v>
      </ns0:c>
      <ns0:c r="F44" s="278">
        <ns0:v>0.5198050609790594</ns0:v>
      </ns0:c>
      <ns0:c r="G44" s="276" t="n"/>
      <ns0:c r="H44" s="278" t="n"/>
      <ns0:c r="I44" s="279" t="n"/>
      <ns0:c r="J44" s="279" t="n"/>
      <ns0:c r="K44" s="279" t="n"/>
      <ns0:c r="L44" s="277" t="n"/>
    </ns0:row>
    <ns0:row r="45" ht="30" customHeight="1" s="2">
      <ns0:c r="A45" s="279" t="inlineStr">
        <ns0:is>
          <ns0:t>indoor-plant</ns0:t>
        </ns0:is>
      </ns0:c>
      <ns0:c r="B45" s="278">
        <ns0:v>0.05480179667304963</ns0:v>
      </ns0:c>
      <ns0:c r="C45" s="278">
        <ns0:v>0.05480179667304963</ns0:v>
      </ns0:c>
      <ns0:c r="D45" s="278">
        <ns0:v>1</ns0:v>
      </ns0:c>
      <ns0:c r="E45" s="278">
        <ns0:v>0.10390918340469267</ns0:v>
      </ns0:c>
      <ns0:c r="F45" s="278">
        <ns0:v>0.10390918340469267</ns0:v>
      </ns0:c>
      <ns0:c r="G45" s="276" t="n"/>
      <ns0:c r="H45" s="278" t="n"/>
      <ns0:c r="I45" s="279" t="n"/>
      <ns0:c r="J45" s="279" t="n"/>
      <ns0:c r="K45" s="279" t="n"/>
      <ns0:c r="L45" s="277" t="n"/>
    </ns0:row>
    <ns0:row r="46" ht="30" customHeight="1" s="2">
      <ns0:c r="A46" s="279" t="inlineStr">
        <ns0:is>
          <ns0:t>lamp</ns0:t>
        </ns0:is>
      </ns0:c>
      <ns0:c r="B46" s="278">
        <ns0:v>0</ns0:v>
      </ns0:c>
      <ns0:c r="C46" s="278">
        <ns0:v>0</ns0:v>
      </ns0:c>
      <ns0:c r="D46" s="278">
        <ns0:v>0</ns0:v>
      </ns0:c>
      <ns0:c r="E46" s="278">
        <ns0:v>0</ns0:v>
      </ns0:c>
      <ns0:c r="F46" s="278">
        <ns0:v>0</ns0:v>
      </ns0:c>
      <ns0:c r="G46" s="276" t="n"/>
      <ns0:c r="H46" s="278" t="n"/>
      <ns0:c r="I46" s="279" t="n"/>
      <ns0:c r="J46" s="279" t="n"/>
      <ns0:c r="K46" s="279" t="n"/>
      <ns0:c r="L46" s="277" t="n"/>
    </ns0:row>
    <ns0:row r="47" ht="30" customHeight="1" s="2">
      <ns0:c r="A47" s="279" t="inlineStr">
        <ns0:is>
          <ns0:t>plate</ns0:t>
        </ns0:is>
      </ns0:c>
      <ns0:c r="B47" s="278">
        <ns0:v>0</ns0:v>
      </ns0:c>
      <ns0:c r="C47" s="278">
        <ns0:v>0</ns0:v>
      </ns0:c>
      <ns0:c r="D47" s="278">
        <ns0:v>0</ns0:v>
      </ns0:c>
      <ns0:c r="E47" s="278">
        <ns0:v>0</ns0:v>
      </ns0:c>
      <ns0:c r="F47" s="278">
        <ns0:v>0</ns0:v>
      </ns0:c>
      <ns0:c r="G47" s="276" t="n"/>
      <ns0:c r="H47" s="278" t="n"/>
      <ns0:c r="I47" s="279" t="n"/>
      <ns0:c r="J47" s="279" t="n"/>
      <ns0:c r="K47" s="279" t="n"/>
      <ns0:c r="L47" s="277" t="n"/>
    </ns0:row>
    <ns0:row r="48" ht="30" customHeight="1" s="2">
      <ns0:c r="A48" s="279" t="inlineStr">
        <ns0:is>
          <ns0:t>sculpture</ns0:t>
        </ns0:is>
      </ns0:c>
      <ns0:c r="B48" s="278">
        <ns0:v>0.7037007175683302</ns0:v>
      </ns0:c>
      <ns0:c r="C48" s="278">
        <ns0:v>0.988896442329481</ns0:v>
      </ns0:c>
      <ns0:c r="D48" s="278">
        <ns0:v>0.7093051605038602</ns0:v>
      </ns0:c>
      <ns0:c r="E48" s="278">
        <ns0:v>0.8260848989636079</ns0:v>
      </ns0:c>
      <ns0:c r="F48" s="278">
        <ns0:v>0.8260848989636079</ns0:v>
      </ns0:c>
      <ns0:c r="G48" s="276" t="n"/>
      <ns0:c r="H48" s="278" t="n"/>
      <ns0:c r="I48" s="279" t="n"/>
      <ns0:c r="J48" s="279" t="n"/>
      <ns0:c r="K48" s="279" t="n"/>
      <ns0:c r="L48" s="277" t="n"/>
    </ns0:row>
    <ns0:row r="49" ht="30" customHeight="1" s="2">
      <ns0:c r="A49" s="279" t="inlineStr">
        <ns0:is>
          <ns0:t>shelf</ns0:t>
        </ns0:is>
      </ns0:c>
      <ns0:c r="B49" s="278">
        <ns0:v>0.8400618397320279</ns0:v>
      </ns0:c>
      <ns0:c r="C49" s="278">
        <ns0:v>0.8534049503706496</ns0:v>
      </ns0:c>
      <ns0:c r="D49" s="278">
        <ns0:v>0.9817281749855463</ns0:v>
      </ns0:c>
      <ns0:c r="E49" s="278">
        <ns0:v>0.9130800080657808</ns0:v>
      </ns0:c>
      <ns0:c r="F49" s="278">
        <ns0:v>0.9130800080657808</ns0:v>
      </ns0:c>
      <ns0:c r="G49" s="276" t="n"/>
      <ns0:c r="H49" s="278" t="n"/>
      <ns0:c r="I49" s="279" t="n"/>
      <ns0:c r="J49" s="279" t="n"/>
      <ns0:c r="K49" s="279" t="n"/>
      <ns0:c r="L49" s="277" t="n"/>
    </ns0:row>
    <ns0:row r="50" ht="30" customHeight="1" s="2">
      <ns0:c r="A50" s="279" t="inlineStr">
        <ns0:is>
          <ns0:t>switch</ns0:t>
        </ns0:is>
      </ns0:c>
      <ns0:c r="B50" s="278">
        <ns0:v>0.06807493639657698</ns0:v>
      </ns0:c>
      <ns0:c r="C50" s="278">
        <ns0:v>0.06865184263722594</ns0:v>
      </ns0:c>
      <ns0:c r="D50" s="278">
        <ns0:v>0.8901209677419355</ns0:v>
      </ns0:c>
      <ns0:c r="E50" s="278">
        <ns0:v>0.12221688921102924</ns0:v>
      </ns0:c>
      <ns0:c r="F50" s="278">
        <ns0:v>0.12747221019200233</ns0:v>
      </ns0:c>
      <ns0:c r="G50" s="276" t="n"/>
      <ns0:c r="H50" s="278" t="n"/>
      <ns0:c r="I50" s="279" t="n"/>
      <ns0:c r="J50" s="279" t="n"/>
      <ns0:c r="K50" s="279" t="n"/>
      <ns0:c r="L50" s="277" t="n"/>
    </ns0:row>
    <ns0:row r="51" ht="30" customHeight="1" s="2">
      <ns0:c r="A51" s="279" t="inlineStr">
        <ns0:is>
          <ns0:t>table</ns0:t>
        </ns0:is>
      </ns0:c>
      <ns0:c r="B51" s="278">
        <ns0:v>0</ns0:v>
      </ns0:c>
      <ns0:c r="C51" s="278">
        <ns0:v>0</ns0:v>
      </ns0:c>
      <ns0:c r="D51" s="278">
        <ns0:v>0</ns0:v>
      </ns0:c>
      <ns0:c r="E51" s="278">
        <ns0:v>0</ns0:v>
      </ns0:c>
      <ns0:c r="F51" s="278">
        <ns0:v>0</ns0:v>
      </ns0:c>
      <ns0:c r="G51" s="276" t="n"/>
      <ns0:c r="H51" s="278" t="n"/>
      <ns0:c r="I51" s="279" t="n"/>
      <ns0:c r="J51" s="279" t="n"/>
      <ns0:c r="K51" s="279" t="n"/>
      <ns0:c r="L51" s="277" t="n"/>
    </ns0:row>
    <ns0:row r="52" ht="30" customHeight="1" s="2">
      <ns0:c r="A52" s="279" t="inlineStr">
        <ns0:is>
          <ns0:t>vase</ns0:t>
        </ns0:is>
      </ns0:c>
      <ns0:c r="B52" s="278">
        <ns0:v>0.06980085164953331</ns0:v>
      </ns0:c>
      <ns0:c r="C52" s="278">
        <ns0:v>0.8804253472222222</ns0:v>
      </ns0:c>
      <ns0:c r="D52" s="278">
        <ns0:v>0.07046889519988189</ns0:v>
      </ns0:c>
      <ns0:c r="E52" s="278">
        <ns0:v>0.1240852030494448</ns0:v>
      </ns0:c>
      <ns0:c r="F52" s="278">
        <ns0:v>0.13049316897048063</ns0:v>
      </ns0:c>
      <ns0:c r="G52" s="276" t="n"/>
      <ns0:c r="H52" s="278" t="n"/>
      <ns0:c r="I52" s="279" t="n"/>
      <ns0:c r="J52" s="279" t="n"/>
      <ns0:c r="K52" s="279" t="n"/>
      <ns0:c r="L52" s="277" t="n"/>
    </ns0:row>
    <ns0:row r="53" ht="30" customHeight="1" s="2">
      <ns0:c r="A53" s="279" t="inlineStr">
        <ns0:is>
          <ns0:t>vent</ns0:t>
        </ns0:is>
      </ns0:c>
      <ns0:c r="B53" s="278">
        <ns0:v>0.014560834212998188</ns0:v>
      </ns0:c>
      <ns0:c r="C53" s="278">
        <ns0:v>0.014560834212998188</ns0:v>
      </ns0:c>
      <ns0:c r="D53" s="278">
        <ns0:v>1</ns0:v>
      </ns0:c>
      <ns0:c r="E53" s="278">
        <ns0:v>0.02870371834192304</ns0:v>
      </ns0:c>
      <ns0:c r="F53" s="278">
        <ns0:v>0.02870371834192304</ns0:v>
      </ns0:c>
      <ns0:c r="G53" s="276" t="n"/>
      <ns0:c r="H53" s="278" t="n"/>
      <ns0:c r="I53" s="279" t="n"/>
      <ns0:c r="J53" s="279" t="n"/>
      <ns0:c r="K53" s="279" t="n"/>
      <ns0:c r="L53" s="277" t="n"/>
    </ns0:row>
    <ns0:row r="54" ht="30" customHeight="1" s="2">
      <ns0:c r="A54" s="279" t="inlineStr">
        <ns0:is>
          <ns0:t>wall-plug</ns0:t>
        </ns0:is>
      </ns0:c>
      <ns0:c r="B54" s="278">
        <ns0:v>0.40456329735034346</ns0:v>
      </ns0:c>
      <ns0:c r="C54" s="278">
        <ns0:v>1</ns0:v>
      </ns0:c>
      <ns0:c r="D54" s="278">
        <ns0:v>0.40456329735034346</ns0:v>
      </ns0:c>
      <ns0:c r="E54" s="278">
        <ns0:v>0.5760698689956332</ns0:v>
      </ns0:c>
      <ns0:c r="F54" s="278">
        <ns0:v>0.5760698689956332</ns0:v>
      </ns0:c>
      <ns0:c r="G54" s="276" t="n"/>
      <ns0:c r="H54" s="278" t="n"/>
      <ns0:c r="I54" s="279" t="n"/>
      <ns0:c r="J54" s="279" t="n"/>
      <ns0:c r="K54" s="279" t="n"/>
      <ns0:c r="L54" s="277" t="n"/>
    </ns0:row>
    <ns0:row r="55" ht="30" customHeight="1" s="2">
      <ns0:c r="A55" s="279" t="inlineStr">
        <ns0:is>
          <ns0:t>rug</ns0:t>
        </ns0:is>
      </ns0:c>
      <ns0:c r="B55" s="278">
        <ns0:v>0</ns0:v>
      </ns0:c>
      <ns0:c r="C55" s="278">
        <ns0:v>0</ns0:v>
      </ns0:c>
      <ns0:c r="D55" s="278">
        <ns0:v>0</ns0:v>
      </ns0:c>
      <ns0:c r="E55" s="278">
        <ns0:v>0</ns0:v>
      </ns0:c>
      <ns0:c r="F55" s="278">
        <ns0:v>0</ns0:v>
      </ns0:c>
      <ns0:c r="G55" s="276" t="n"/>
      <ns0:c r="H55" s="278" t="n"/>
      <ns0:c r="I55" s="279" t="n"/>
      <ns0:c r="J55" s="279" t="n"/>
      <ns0:c r="K55" s="279" t="n"/>
      <ns0:c r="L55" s="277" t="n"/>
    </ns0:row>
  </ns0:sheetData>
  <ns0:mergeCells count="15">
    <ns0:mergeCell ref="A30:L30"/>
    <ns0:mergeCell ref="A2:L2"/>
    <ns0:mergeCell ref="A38:L38"/>
    <ns0:mergeCell ref="A29:L29"/>
    <ns0:mergeCell ref="A10:L10"/>
    <ns0:mergeCell ref="A33:L33"/>
    <ns0:mergeCell ref="A1:L1"/>
    <ns0:mergeCell ref="A32:L32"/>
    <ns0:mergeCell ref="A36:L36"/>
    <ns0:mergeCell ref="A14:L14"/>
    <ns0:mergeCell ref="A31:L31"/>
    <ns0:mergeCell ref="A18:L18"/>
    <ns0:mergeCell ref="A34:L34"/>
    <ns0:mergeCell ref="A35:L35"/>
    <ns0:mergeCell ref="A4:L4"/>
  </ns0:mergeCells>
  <ns0:pageMargins left="0.7" right="0.7" top="0.75" bottom="0.75" header="0.3" footer="0.3"/>
</ns0:worksheet>
</file>

<file path=xl/worksheets/sheet21.xml><?xml version="1.0" encoding="utf-8"?>
<ns0:worksheet xmlns:ns0="http://schemas.openxmlformats.org/spreadsheetml/2006/main">
  <ns0:sheetPr>
    <ns0:outlinePr summaryBelow="1" summaryRight="1"/>
    <ns0:pageSetUpPr/>
  </ns0:sheetPr>
  <ns0:dimension ref="A1:L58"/>
  <ns0:sheetViews>
    <ns0:sheetView showGridLines="0" workbookViewId="0">
      <ns0:pane xSplit="2" ySplit="5" topLeftCell="C6" activePane="bottomRight" state="frozen"/>
      <ns0:selection activeCell="A1" sqref="A1"/>
    </ns0:sheetView>
  </ns0:sheetViews>
  <ns0:sheetFormatPr baseColWidth="8" defaultRowHeight="15"/>
  <ns0:cols>
    <ns0:col width="24" customWidth="1" style="2" min="1" max="1"/>
    <ns0:col width="20" customWidth="1" style="2" min="2" max="2"/>
    <ns0:col width="13" customWidth="1" style="2" min="3" max="3"/>
    <ns0:col width="14" customWidth="1" style="2" min="4" max="4"/>
    <ns0:col width="14" customWidth="1" style="2" min="5" max="5"/>
    <ns0:col width="14" customWidth="1" style="2" min="6" max="6"/>
    <ns0:col width="13" customWidth="1" style="2" min="7" max="7"/>
    <ns0:col width="16" customWidth="1" style="2" min="8" max="8"/>
    <ns0:col width="15" customWidth="1" style="2" min="9" max="9"/>
    <ns0:col width="15" customWidth="1" style="2" min="10" max="10"/>
    <ns0:col width="15" customWidth="1" style="2" min="11" max="11"/>
    <ns0:col width="15" customWidth="1" style="2" min="12" max="12"/>
  </ns0:cols>
  <ns0:sheetData>
    <ns0:row r="1" ht="36" customHeight="1" s="2">
      <ns0:c r="A1" s="237" t="inlineStr">
        <ns0:is>
          <ns0:t>office0：点级语义、实例PQ和几何覆盖率</ns0:t>
        </ns0:is>
      </ns0:c>
    </ns0:row>
    <ns0:row r="2" ht="52" customHeight="1" s="2">
      <ns0:c r="A2" s="216" t="inlineStr">
        <ns0:is>
          <ns0:t>400帧，stride5；19类；4079896语义有效计分点；几何固定参考点4079896。黄色仅比较相同评测类别数和参考点数的已有结果。</ns0:t>
        </ns0:is>
      </ns0:c>
    </ns0:row>
    <ns0:row r="3"/>
    <ns0:row r="4" ht="26" customHeight="1" s="2">
      <ns0:c r="A4" s="236" t="inlineStr">
        <ns0:is>
          <ns0:t>A. 点级语义指标</ns0:t>
        </ns0:is>
      </ns0:c>
    </ns0:row>
    <ns0:row r="5" ht="44" customHeight="1" s="2">
      <ns0:c r="A5" s="223" t="inlineStr">
        <ns0:is>
          <ns0:t>实验目录</ns0:t>
        </ns0:is>
      </ns0:c>
      <ns0:c r="B5" s="223" t="inlineStr">
        <ns0:is>
          <ns0:t>模式 / stride</ns0:t>
        </ns0:is>
      </ns0:c>
      <ns0:c r="C5" s="223" t="inlineStr">
        <ns0:is>
          <ns0:t>mIoU</ns0:t>
        </ns0:is>
      </ns0:c>
      <ns0:c r="D5" s="223" t="inlineStr">
        <ns0:is>
          <ns0:t>mRecall / mAcc</ns0:t>
        </ns0:is>
      </ns0:c>
      <ns0:c r="E5" s="223" t="inlineStr">
        <ns0:is>
          <ns0:t>mPrecision</ns0:t>
        </ns0:is>
      </ns0:c>
      <ns0:c r="F5" s="223" t="inlineStr">
        <ns0:is>
          <ns0:t>mF1（原公式）</ns0:t>
        </ns0:is>
      </ns0:c>
      <ns0:c r="G5" s="223" t="inlineStr">
        <ns0:is>
          <ns0:t>fwIoU</ns0:t>
        </ns0:is>
      </ns0:c>
      <ns0:c r="H5" s="223" t="inlineStr">
        <ns0:is>
          <ns0:t>Point Accuracy</ns0:t>
        </ns0:is>
      </ns0:c>
      <ns0:c r="I5" s="223" t="inlineStr">
        <ns0:is>
          <ns0:t>IoU&gt;0.15类数</ns0:t>
        </ns0:is>
      </ns0:c>
      <ns0:c r="J5" s="223" t="inlineStr">
        <ns0:is>
          <ns0:t>IoU&gt;0.25类数</ns0:t>
        </ns0:is>
      </ns0:c>
      <ns0:c r="K5" s="223" t="inlineStr">
        <ns0:is>
          <ns0:t>IoU&gt;0.50类数</ns0:t>
        </ns0:is>
      </ns0:c>
      <ns0:c r="L5" s="223" t="inlineStr">
        <ns0:is>
          <ns0:t>IoU&gt;0.75类数</ns0:t>
        </ns0:is>
      </ns0:c>
    </ns0:row>
    <ns0:row r="6" ht="66" customHeight="1" s="2">
      <ns0:c r="A6" s="279" t="inlineStr">
        <ns0:is>
          <ns0:t>v7_CLIP_auto_20260909_235305_1676132</ns0:t>
        </ns0:is>
      </ns0:c>
      <ns0:c r="B6" s="279" t="inlineStr">
        <ns0:is>
          <ns0:t>VLM（CLIP auto）/ 5</ns0:t>
        </ns0:is>
      </ns0:c>
      <ns0:c r="C6" s="306">
        <ns0:v>0.26626413279140254</ns0:v>
      </ns0:c>
      <ns0:c r="D6" s="276">
        <ns0:v>0.4175561893610201</ns0:v>
      </ns0:c>
      <ns0:c r="E6" s="306">
        <ns0:v>0.3207261948806975</ns0:v>
      </ns0:c>
      <ns0:c r="F6" s="276">
        <ns0:v>0.3187789867343826</ns0:v>
      </ns0:c>
      <ns0:c r="G6" s="276">
        <ns0:v>0.48282305476824094</ns0:v>
      </ns0:c>
      <ns0:c r="H6" s="278">
        <ns0:v>0.5757926182432102</ns0:v>
      </ns0:c>
      <ns0:c r="I6" s="277">
        <ns0:v>8</ns0:v>
      </ns0:c>
      <ns0:c r="J6" s="305">
        <ns0:v>8</ns0:v>
      </ns0:c>
      <ns0:c r="K6" s="277">
        <ns0:v>5</ns0:v>
      </ns0:c>
      <ns0:c r="L6" s="305">
        <ns0:v>2</ns0:v>
      </ns0:c>
    </ns0:row>
    <ns0:row r="7" ht="70" customHeight="1" s="2">
      <ns0:c r="A7" s="279" t="inlineStr">
        <ns0:is>
          <ns0:t>main（历史）</ns0:t>
        </ns0:is>
      </ns0:c>
      <ns0:c r="B7" s="279" t="inlineStr">
        <ns0:is>
          <ns0:t>main / 5</ns0:t>
        </ns0:is>
      </ns0:c>
      <ns0:c r="C7" s="278">
        <ns0:v>0.2179319727</ns0:v>
      </ns0:c>
      <ns0:c r="D7" s="278">
        <ns0:v>0.4055500261</ns0:v>
      </ns0:c>
      <ns0:c r="E7" s="276">
        <ns0:v>0.2625306559</ns0:v>
      </ns0:c>
      <ns0:c r="F7" s="278">
        <ns0:v>0.2577071386</ns0:v>
      </ns0:c>
      <ns0:c r="G7" s="276">
        <ns0:v>0.3312591416</ns0:v>
      </ns0:c>
      <ns0:c r="H7" s="278">
        <ns0:v>0.3626050762</ns0:v>
      </ns0:c>
      <ns0:c r="I7" s="279">
        <ns0:v>7</ns0:v>
      </ns0:c>
      <ns0:c r="J7" s="277">
        <ns0:v>6</ns0:v>
      </ns0:c>
      <ns0:c r="K7" s="277">
        <ns0:v>4</ns0:v>
      </ns0:c>
      <ns0:c r="L7" s="305">
        <ns0:v>2</ns0:v>
      </ns0:c>
    </ns0:row>
    <ns0:row r="8" ht="70" customHeight="1" s="2">
      <ns0:c r="A8" s="279" t="inlineStr">
        <ns0:is>
          <ns0:t>ali-my（历史）</ns0:t>
        </ns0:is>
      </ns0:c>
      <ns0:c r="B8" s="279" t="inlineStr">
        <ns0:is>
          <ns0:t>ali-my / 5</ns0:t>
        </ns0:is>
      </ns0:c>
      <ns0:c r="C8" s="278">
        <ns0:v>0.2650252661</ns0:v>
      </ns0:c>
      <ns0:c r="D8" s="306">
        <ns0:v>0.4581917406</ns0:v>
      </ns0:c>
      <ns0:c r="E8" s="278">
        <ns0:v>0.3097018533</ns0:v>
      </ns0:c>
      <ns0:c r="F8" s="306">
        <ns0:v>0.3219611787</ns0:v>
      </ns0:c>
      <ns0:c r="G8" s="306">
        <ns0:v>0.4916264662</ns0:v>
      </ns0:c>
      <ns0:c r="H8" s="306">
        <ns0:v>0.603734507</ns0:v>
      </ns0:c>
      <ns0:c r="I8" s="305">
        <ns0:v>9</ns0:v>
      </ns0:c>
      <ns0:c r="J8" s="305">
        <ns0:v>8</ns0:v>
      </ns0:c>
      <ns0:c r="K8" s="305">
        <ns0:v>6</ns0:v>
      </ns0:c>
      <ns0:c r="L8" s="305">
        <ns0:v>2</ns0:v>
      </ns0:c>
    </ns0:row>
    <ns0:row r="9"/>
    <ns0:row r="10" ht="26" customHeight="1" s="2">
      <ns0:c r="A10" s="236" t="inlineStr">
        <ns0:is>
          <ns0:t>B. 实例PQ与几何覆盖率（fixed-support）</ns0:t>
        </ns0:is>
      </ns0:c>
    </ns0:row>
    <ns0:row r="11" ht="44" customHeight="1" s="2">
      <ns0:c r="A11" s="223" t="inlineStr">
        <ns0:is>
          <ns0:t>实验目录</ns0:t>
        </ns0:is>
      </ns0:c>
      <ns0:c r="B11" s="223" t="inlineStr">
        <ns0:is>
          <ns0:t>PQ</ns0:t>
        </ns0:is>
      </ns0:c>
      <ns0:c r="C11" s="223" t="inlineStr">
        <ns0:is>
          <ns0:t>RQ</ns0:t>
        </ns0:is>
      </ns0:c>
      <ns0:c r="D11" s="223" t="inlineStr">
        <ns0:is>
          <ns0:t>SQ</ns0:t>
        </ns0:is>
      </ns0:c>
      <ns0:c r="E11" s="223" t="inlineStr">
        <ns0:is>
          <ns0:t>TP</ns0:t>
        </ns0:is>
      </ns0:c>
      <ns0:c r="F11" s="223" t="inlineStr">
        <ns0:is>
          <ns0:t>FP</ns0:t>
        </ns0:is>
      </ns0:c>
      <ns0:c r="G11" s="223" t="inlineStr">
        <ns0:is>
          <ns0:t>FN</ns0:t>
        </ns0:is>
      </ns0:c>
      <ns0:c r="H11" s="223" t="inlineStr">
        <ns0:is>
          <ns0:t>GT实例数</ns0:t>
        </ns0:is>
      </ns0:c>
      <ns0:c r="I11" s="223" t="inlineStr">
        <ns0:is>
          <ns0:t>预测实例数</ns0:t>
        </ns0:is>
      </ns0:c>
      <ns0:c r="J11" s="223" t="inlineStr">
        <ns0:is>
          <ns0:t>覆盖率2.5cm</ns0:t>
        </ns0:is>
      </ns0:c>
      <ns0:c r="K11" s="223" t="inlineStr">
        <ns0:is>
          <ns0:t>覆盖率5cm</ns0:t>
        </ns0:is>
      </ns0:c>
      <ns0:c r="L11" s="223" t="inlineStr">
        <ns0:is>
          <ns0:t>覆盖率10cm</ns0:t>
        </ns0:is>
      </ns0:c>
    </ns0:row>
    <ns0:row r="12" ht="66" customHeight="1" s="2">
      <ns0:c r="A12" s="226" t="inlineStr">
        <ns0:is>
          <ns0:t>v7_CLIP_auto_20260909_235305_1676132</ns0:t>
        </ns0:is>
      </ns0:c>
      <ns0:c r="B12" s="276">
        <ns0:v>0.4243863155567969</ns0:v>
      </ns0:c>
      <ns0:c r="C12" s="239">
        <ns0:v>0.48</ns0:v>
      </ns0:c>
      <ns0:c r="D12" s="276">
        <ns0:v>0.8841381574099936</ns0:v>
      </ns0:c>
      <ns0:c r="E12" s="226">
        <ns0:v>18</ns0:v>
      </ns0:c>
      <ns0:c r="F12" s="277">
        <ns0:v>11</ns0:v>
      </ns0:c>
      <ns0:c r="G12" s="226">
        <ns0:v>28</ns0:v>
      </ns0:c>
      <ns0:c r="H12" s="226">
        <ns0:v>46</ns0:v>
      </ns0:c>
      <ns0:c r="I12" s="226">
        <ns0:v>43</ns0:v>
      </ns0:c>
      <ns0:c r="J12" s="276">
        <ns0:v>0.745426599109389</ns0:v>
      </ns0:c>
      <ns0:c r="K12" s="276">
        <ns0:v>0.7745795481061282</ns0:v>
      </ns0:c>
      <ns0:c r="L12" s="276">
        <ns0:v>0.8040636329945665</ns0:v>
      </ns0:c>
    </ns0:row>
    <ns0:row r="13"/>
    <ns0:row r="14" ht="26" customHeight="1" s="2">
      <ns0:c r="A14" s="236" t="inlineStr">
        <ns0:is>
          <ns0:t>C. 完成状态与诊断</ns0:t>
        </ns0:is>
      </ns0:c>
    </ns0:row>
    <ns0:row r="15" ht="44" customHeight="1" s="2">
      <ns0:c r="A15" s="223" t="inlineStr">
        <ns0:is>
          <ns0:t>实验目录</ns0:t>
        </ns0:is>
      </ns0:c>
      <ns0:c r="B15" s="223" t="inlineStr">
        <ns0:is>
          <ns0:t>状态</ns0:t>
        </ns0:is>
      </ns0:c>
      <ns0:c r="C15" s="223" t="inlineStr">
        <ns0:is>
          <ns0:t>帧数</ns0:t>
        </ns0:is>
      </ns0:c>
      <ns0:c r="D15" s="223" t="inlineStr">
        <ns0:is>
          <ns0:t>对象数</ns0:t>
        </ns0:is>
      </ns0:c>
      <ns0:c r="E15" s="223" t="inlineStr">
        <ns0:is>
          <ns0:t>对象点数</ns0:t>
        </ns0:is>
      </ns0:c>
      <ns0:c r="F15" s="223" t="inlineStr">
        <ns0:is>
          <ns0:t>语义评测总秒</ns0:t>
        </ns0:is>
      </ns0:c>
      <ns0:c r="G15" s="223" t="inlineStr">
        <ns0:is>
          <ns0:t>场景计算秒</ns0:t>
        </ns0:is>
      </ns0:c>
      <ns0:c r="H15" s="223" t="inlineStr">
        <ns0:is>
          <ns0:t>零IoU类数</ns0:t>
        </ns0:is>
      </ns0:c>
      <ns0:c r="I15" s="223" t="inlineStr">
        <ns0:is>
          <ns0:t>评测类别数</ns0:t>
        </ns0:is>
      </ns0:c>
      <ns0:c r="J15" s="223" t="inlineStr">
        <ns0:is>
          <ns0:t>语义计分点数</ns0:t>
        </ns0:is>
      </ns0:c>
      <ns0:c r="K15" s="223" t="inlineStr">
        <ns0:is>
          <ns0:t>说明</ns0:t>
        </ns0:is>
      </ns0:c>
      <ns0:c r="L15" s="223" t="n"/>
    </ns0:row>
    <ns0:row r="16" ht="66" customHeight="1" s="2">
      <ns0:c r="A16" s="226" t="inlineStr">
        <ns0:is>
          <ns0:t>v7_CLIP_auto_20260909_235305_1676132</ns0:t>
        </ns0:is>
      </ns0:c>
      <ns0:c r="B16" s="226" t="inlineStr">
        <ns0:is>
          <ns0:t>完成</ns0:t>
        </ns0:is>
      </ns0:c>
      <ns0:c r="C16" s="226">
        <ns0:v>400</ns0:v>
      </ns0:c>
      <ns0:c r="D16" s="226">
        <ns0:v>43</ns0:v>
      </ns0:c>
      <ns0:c r="E16" s="226">
        <ns0:v>414484</ns0:v>
      </ns0:c>
      <ns0:c r="F16" s="226">
        <ns0:v>23.904</ns0:v>
      </ns0:c>
      <ns0:c r="G16" s="226">
        <ns0:v>12.269</ns0:v>
      </ns0:c>
      <ns0:c r="H16" s="226">
        <ns0:v>8</ns0:v>
      </ns0:c>
      <ns0:c r="I16" s="226">
        <ns0:v>19</ns0:v>
      </ns0:c>
      <ns0:c r="J16" s="226">
        <ns0:v>4079896</ns0:v>
      </ns0:c>
      <ns0:c r="K16" s="226" t="inlineStr">
        <ns0:is>
          <ns0:t>地图哈希、完成状态及审计核验通过</ns0:t>
        </ns0:is>
      </ns0:c>
      <ns0:c r="L16" s="226" t="n"/>
    </ns0:row>
    <ns0:row r="17"/>
    <ns0:row r="18" ht="26" customHeight="1" s="2">
      <ns0:c r="A18" s="236" t="inlineStr">
        <ns0:is>
          <ns0:t>D. 补充指标与计时</ns0:t>
        </ns0:is>
      </ns0:c>
    </ns0:row>
    <ns0:row r="19" ht="44" customHeight="1" s="2">
      <ns0:c r="A19" s="223" t="inlineStr">
        <ns0:is>
          <ns0:t>指标</ns0:t>
        </ns0:is>
      </ns0:c>
      <ns0:c r="B19" s="223" t="inlineStr">
        <ns0:is>
          <ns0:t>数值</ns0:t>
        </ns0:is>
      </ns0:c>
      <ns0:c r="C19" s="223" t="inlineStr">
        <ns0:is>
          <ns0:t>单位</ns0:t>
        </ns0:is>
      </ns0:c>
      <ns0:c r="D19" s="223" t="n"/>
      <ns0:c r="E19" s="223" t="n"/>
      <ns0:c r="F19" s="223" t="n"/>
      <ns0:c r="G19" s="223" t="n"/>
      <ns0:c r="H19" s="223" t="n"/>
      <ns0:c r="I19" s="223" t="n"/>
      <ns0:c r="J19" s="223" t="n"/>
      <ns0:c r="K19" s="223" t="n"/>
      <ns0:c r="L19" s="223" t="n"/>
    </ns0:row>
    <ns0:row r="20" ht="30" customHeight="1" s="2">
      <ns0:c r="A20" s="279" t="inlineStr">
        <ns0:is>
          <ns0:t>语义标准mF1</ns0:t>
        </ns0:is>
      </ns0:c>
      <ns0:c r="B20" s="278">
        <ns0:v>0.3196274530120516</ns0:v>
      </ns0:c>
      <ns0:c r="C20" s="279" t="inlineStr">
        <ns0:is>
          <ns0:t>比例</ns0:t>
        </ns0:is>
      </ns0:c>
      <ns0:c r="D20" s="278" t="n"/>
      <ns0:c r="E20" s="278" t="n"/>
      <ns0:c r="F20" s="278" t="n"/>
      <ns0:c r="G20" s="276" t="n"/>
      <ns0:c r="H20" s="278" t="n"/>
      <ns0:c r="I20" s="279" t="n"/>
      <ns0:c r="J20" s="279" t="n"/>
      <ns0:c r="K20" s="279" t="n"/>
      <ns0:c r="L20" s="277" t="n"/>
    </ns0:row>
    <ns0:row r="21" ht="30" customHeight="1" s="2">
      <ns0:c r="A21" s="279" t="inlineStr">
        <ns0:is>
          <ns0:t>HTTP已记录尝试</ns0:t>
        </ns0:is>
      </ns0:c>
      <ns0:c r="B21" s="280">
        <ns0:v>428</ns0:v>
      </ns0:c>
      <ns0:c r="C21" s="279" t="inlineStr">
        <ns0:is>
          <ns0:t>次</ns0:t>
        </ns0:is>
      </ns0:c>
      <ns0:c r="D21" s="278" t="n"/>
      <ns0:c r="E21" s="278" t="n"/>
      <ns0:c r="F21" s="278" t="n"/>
      <ns0:c r="G21" s="276" t="n"/>
      <ns0:c r="H21" s="278" t="n"/>
      <ns0:c r="I21" s="279" t="n"/>
      <ns0:c r="J21" s="279" t="n"/>
      <ns0:c r="K21" s="279" t="n"/>
      <ns0:c r="L21" s="277" t="n"/>
    </ns0:row>
    <ns0:row r="22" ht="30" customHeight="1" s="2">
      <ns0:c r="A22" s="279" t="inlineStr">
        <ns0:is>
          <ns0:t>HTTP重试</ns0:t>
        </ns0:is>
      </ns0:c>
      <ns0:c r="B22" s="280">
        <ns0:v>0</ns0:v>
      </ns0:c>
      <ns0:c r="C22" s="279" t="inlineStr">
        <ns0:is>
          <ns0:t>次</ns0:t>
        </ns0:is>
      </ns0:c>
      <ns0:c r="D22" s="278" t="n"/>
      <ns0:c r="E22" s="278" t="n"/>
      <ns0:c r="F22" s="278" t="n"/>
      <ns0:c r="G22" s="276" t="n"/>
      <ns0:c r="H22" s="278" t="n"/>
      <ns0:c r="I22" s="279" t="n"/>
      <ns0:c r="J22" s="279" t="n"/>
      <ns0:c r="K22" s="279" t="n"/>
      <ns0:c r="L22" s="277" t="n"/>
    </ns0:row>
    <ns0:row r="23" ht="30" customHeight="1" s="2">
      <ns0:c r="A23" s="279" t="inlineStr">
        <ns0:is>
          <ns0:t>PQ评估耗时</ns0:t>
        </ns0:is>
      </ns0:c>
      <ns0:c r="B23" s="281">
        <ns0:v>26.89654443319887</ns0:v>
      </ns0:c>
      <ns0:c r="C23" s="279" t="inlineStr">
        <ns0:is>
          <ns0:t>秒</ns0:t>
        </ns0:is>
      </ns0:c>
      <ns0:c r="D23" s="278" t="n"/>
      <ns0:c r="E23" s="278" t="n"/>
      <ns0:c r="F23" s="278" t="n"/>
      <ns0:c r="G23" s="276" t="n"/>
      <ns0:c r="H23" s="278" t="n"/>
      <ns0:c r="I23" s="279" t="n"/>
      <ns0:c r="J23" s="279" t="n"/>
      <ns0:c r="K23" s="279" t="n"/>
      <ns0:c r="L23" s="277" t="n"/>
    </ns0:row>
    <ns0:row r="24" ht="30" customHeight="1" s="2">
      <ns0:c r="A24" s="279" t="inlineStr">
        <ns0:is>
          <ns0:t>覆盖率评估耗时</ns0:t>
        </ns0:is>
      </ns0:c>
      <ns0:c r="B24" s="281">
        <ns0:v>17.9495047070086</ns0:v>
      </ns0:c>
      <ns0:c r="C24" s="279" t="inlineStr">
        <ns0:is>
          <ns0:t>秒</ns0:t>
        </ns0:is>
      </ns0:c>
      <ns0:c r="D24" s="278" t="n"/>
      <ns0:c r="E24" s="278" t="n"/>
      <ns0:c r="F24" s="278" t="n"/>
      <ns0:c r="G24" s="276" t="n"/>
      <ns0:c r="H24" s="278" t="n"/>
      <ns0:c r="I24" s="279" t="n"/>
      <ns0:c r="J24" s="279" t="n"/>
      <ns0:c r="K24" s="279" t="n"/>
      <ns0:c r="L24" s="277" t="n"/>
    </ns0:row>
    <ns0:row r="25" ht="30" customHeight="1" s="2">
      <ns0:c r="A25" s="279" t="inlineStr">
        <ns0:is>
          <ns0:t>统一评估耗时</ns0:t>
        </ns0:is>
      </ns0:c>
      <ns0:c r="B25" s="281">
        <ns0:v>13.946263875812292</ns0:v>
      </ns0:c>
      <ns0:c r="C25" s="279" t="inlineStr">
        <ns0:is>
          <ns0:t>秒</ns0:t>
        </ns0:is>
      </ns0:c>
      <ns0:c r="D25" s="278" t="n"/>
      <ns0:c r="E25" s="278" t="n"/>
      <ns0:c r="F25" s="278" t="n"/>
      <ns0:c r="G25" s="276" t="n"/>
      <ns0:c r="H25" s="278" t="n"/>
      <ns0:c r="I25" s="279" t="n"/>
      <ns0:c r="J25" s="279" t="n"/>
      <ns0:c r="K25" s="279" t="n"/>
      <ns0:c r="L25" s="277" t="n"/>
    </ns0:row>
    <ns0:row r="26" ht="30" customHeight="1" s="2">
      <ns0:c r="A26" s="279" t="inlineStr">
        <ns0:is>
          <ns0:t>未覆盖前景点数</ns0:t>
        </ns0:is>
      </ns0:c>
      <ns0:c r="B26" s="280">
        <ns0:v>919692</ns0:v>
      </ns0:c>
      <ns0:c r="C26" s="279" t="inlineStr">
        <ns0:is>
          <ns0:t>点</ns0:t>
        </ns0:is>
      </ns0:c>
      <ns0:c r="D26" s="278" t="n"/>
      <ns0:c r="E26" s="278" t="n"/>
      <ns0:c r="F26" s="278" t="n"/>
      <ns0:c r="G26" s="276" t="n"/>
      <ns0:c r="H26" s="278" t="n"/>
      <ns0:c r="I26" s="279" t="n"/>
      <ns0:c r="J26" s="279" t="n"/>
      <ns0:c r="K26" s="279" t="n"/>
      <ns0:c r="L26" s="277" t="n"/>
    </ns0:row>
    <ns0:row r="27" ht="30" customHeight="1" s="2">
      <ns0:c r="A27" s="279" t="inlineStr">
        <ns0:is>
          <ns0:t>前景最近距离均值</ns0:t>
        </ns0:is>
      </ns0:c>
      <ns0:c r="B27" s="287">
        <ns0:v>0.06480139095325188</ns0:v>
      </ns0:c>
      <ns0:c r="C27" s="279" t="inlineStr">
        <ns0:is>
          <ns0:t>m</ns0:t>
        </ns0:is>
      </ns0:c>
      <ns0:c r="D27" s="278" t="n"/>
      <ns0:c r="E27" s="278" t="n"/>
      <ns0:c r="F27" s="278" t="n"/>
      <ns0:c r="G27" s="276" t="n"/>
      <ns0:c r="H27" s="278" t="n"/>
      <ns0:c r="I27" s="279" t="n"/>
      <ns0:c r="J27" s="279" t="n"/>
      <ns0:c r="K27" s="279" t="n"/>
      <ns0:c r="L27" s="277" t="n"/>
    </ns0:row>
    <ns0:row r="28"/>
    <ns0:row r="29" ht="26" customHeight="1" s="2">
      <ns0:c r="A29" s="236" t="inlineStr">
        <ns0:is>
          <ns0:t>E. 来源与口径</ns0:t>
        </ns0:is>
      </ns0:c>
    </ns0:row>
    <ns0:row r="30" ht="52" customHeight="1" s="2">
      <ns0:c r="A30" s="216" t="inlineStr">
        <ns0:is>
          <ns0:t>从空图在线处理完整400帧。本次仅补算已有地图指标，未重跑建图。make_edges=false，关系指标不适用，不填0。</ns0:t>
        </ns0:is>
      </ns0:c>
    </ns0:row>
    <ns0:row r="31" ht="52" customHeight="1" s="2">
      <ns0:c r="A31" s="216" t="inlineStr">
        <ns0:is>
          <ns0:t>本页采用固定SLAM支持集；完整GT网格结果见 OVI_MAP_统一指标对比.xlsx 的 office0统一指标。</ns0:t>
        </ns0:is>
      </ns0:c>
    </ns0:row>
    <ns0:row r="32" ht="72" customHeight="1" s="2">
      <ns0:c r="A32" s="216" t="inlineStr">
        <ns0:is>
          <ns0:t>历史语义来源：「语义8场景」第20/21行。main参考点4079896，ali-my参考点4079896；不一致者不填入比较。PQ暂无历史同口径对照。</ns0:t>
        </ns0:is>
      </ns0:c>
    </ns0:row>
    <ns0:row r="33" ht="72" customHeight="1" s="2">
      <ns0:c r="A33" s="216" t="inlineStr">
        <ns0:is>
          <ns0:t>semantic：/home/chenkejun/beauty/conceptgraphs/results/experiments/oracle_three_error_20260828/pilot/b0_dataset/Replica/office0/exps/v7_CLIP_auto_20260909_235305_1676132/point_semantic_ali_dev_nexclude6_20260910_045904_263591724/semseg_results.json</ns0:t>
        </ns0:is>
      </ns0:c>
    </ns0:row>
    <ns0:row r="34" ht="72" customHeight="1" s="2">
      <ns0:c r="A34" s="216" t="inlineStr">
        <ns0:is>
          <ns0:t>pq：/home/chenkejun/beauty/conceptgraphs/results/experiments/oracle_three_error_20260828/pilot/b0_dataset/Replica/office0/exps/v7_CLIP_auto_20260909_235305_1676132/instance_pq_fixed_support_20260910_045928_864319533/instance_pq.csv</ns0:t>
        </ns0:is>
      </ns0:c>
    </ns0:row>
    <ns0:row r="35" ht="72" customHeight="1" s="2">
      <ns0:c r="A35" s="216" t="inlineStr">
        <ns0:is>
          <ns0:t>coverage：/home/chenkejun/beauty/conceptgraphs/results/experiments/oracle_three_error_20260828/pilot/b0_dataset/Replica/office0/exps/v7_CLIP_auto_20260909_235305_1676132/geometry_coverage_fixed_support_20260910_045956_215182140/coverage.csv</ns0:t>
        </ns0:is>
      </ns0:c>
    </ns0:row>
    <ns0:row r="36" ht="72" customHeight="1" s="2">
      <ns0:c r="A36" s="216" t="inlineStr">
        <ns0:is>
          <ns0:t>common：/home/chenkejun/beauty/conceptgraphs/results/experiments/oracle_three_error_20260828/pilot/b0_dataset/Replica/office0/exps/v7_CLIP_auto_20260909_235305_1676132/ovimap_common_eval_20260910/result.json</ns0:t>
        </ns0:is>
      </ns0:c>
    </ns0:row>
    <ns0:row r="37"/>
    <ns0:row r="38" ht="26" customHeight="1" s="2">
      <ns0:c r="A38" s="236" t="inlineStr">
        <ns0:is>
          <ns0:t>逐类语义指标（当前实验）</ns0:t>
        </ns0:is>
      </ns0:c>
    </ns0:row>
    <ns0:row r="39" ht="44" customHeight="1" s="2">
      <ns0:c r="A39" s="223" t="inlineStr">
        <ns0:is>
          <ns0:t>类别</ns0:t>
        </ns0:is>
      </ns0:c>
      <ns0:c r="B39" s="223" t="inlineStr">
        <ns0:is>
          <ns0:t>IoU</ns0:t>
        </ns0:is>
      </ns0:c>
      <ns0:c r="C39" s="223" t="inlineStr">
        <ns0:is>
          <ns0:t>Precision</ns0:t>
        </ns0:is>
      </ns0:c>
      <ns0:c r="D39" s="223" t="inlineStr">
        <ns0:is>
          <ns0:t>Recall</ns0:t>
        </ns0:is>
      </ns0:c>
      <ns0:c r="E39" s="223" t="inlineStr">
        <ns0:is>
          <ns0:t>F1原公式</ns0:t>
        </ns0:is>
      </ns0:c>
      <ns0:c r="F39" s="223" t="inlineStr">
        <ns0:is>
          <ns0:t>F1标准公式</ns0:t>
        </ns0:is>
      </ns0:c>
      <ns0:c r="G39" s="223" t="n"/>
      <ns0:c r="H39" s="223" t="n"/>
      <ns0:c r="I39" s="223" t="n"/>
      <ns0:c r="J39" s="223" t="n"/>
      <ns0:c r="K39" s="223" t="n"/>
      <ns0:c r="L39" s="223" t="n"/>
    </ns0:row>
    <ns0:row r="40" ht="30" customHeight="1" s="2">
      <ns0:c r="A40" s="279" t="inlineStr">
        <ns0:is>
          <ns0:t>bin</ns0:t>
        </ns0:is>
      </ns0:c>
      <ns0:c r="B40" s="278">
        <ns0:v>0.5709057452463708</ns0:v>
      </ns0:c>
      <ns0:c r="C40" s="278">
        <ns0:v>0.5709057452463708</ns0:v>
      </ns0:c>
      <ns0:c r="D40" s="278">
        <ns0:v>1</ns0:v>
      </ns0:c>
      <ns0:c r="E40" s="278">
        <ns0:v>0.726849140343342</ns0:v>
      </ns0:c>
      <ns0:c r="F40" s="278">
        <ns0:v>0.726849140343342</ns0:v>
      </ns0:c>
      <ns0:c r="G40" s="276" t="n"/>
      <ns0:c r="H40" s="278" t="n"/>
      <ns0:c r="I40" s="279" t="n"/>
      <ns0:c r="J40" s="279" t="n"/>
      <ns0:c r="K40" s="279" t="n"/>
      <ns0:c r="L40" s="277" t="n"/>
    </ns0:row>
    <ns0:row r="41" ht="30" customHeight="1" s="2">
      <ns0:c r="A41" s="279" t="inlineStr">
        <ns0:is>
          <ns0:t>blinds</ns0:t>
        </ns0:is>
      </ns0:c>
      <ns0:c r="B41" s="278">
        <ns0:v>0</ns0:v>
      </ns0:c>
      <ns0:c r="C41" s="278">
        <ns0:v>0</ns0:v>
      </ns0:c>
      <ns0:c r="D41" s="278">
        <ns0:v>0</ns0:v>
      </ns0:c>
      <ns0:c r="E41" s="278">
        <ns0:v>0</ns0:v>
      </ns0:c>
      <ns0:c r="F41" s="278">
        <ns0:v>0</ns0:v>
      </ns0:c>
      <ns0:c r="G41" s="276" t="n"/>
      <ns0:c r="H41" s="278" t="n"/>
      <ns0:c r="I41" s="279" t="n"/>
      <ns0:c r="J41" s="279" t="n"/>
      <ns0:c r="K41" s="279" t="n"/>
      <ns0:c r="L41" s="277" t="n"/>
    </ns0:row>
    <ns0:row r="42" ht="30" customHeight="1" s="2">
      <ns0:c r="A42" s="279" t="inlineStr">
        <ns0:is>
          <ns0:t>camera</ns0:t>
        </ns0:is>
      </ns0:c>
      <ns0:c r="B42" s="278">
        <ns0:v>0</ns0:v>
      </ns0:c>
      <ns0:c r="C42" s="278">
        <ns0:v>0</ns0:v>
      </ns0:c>
      <ns0:c r="D42" s="278">
        <ns0:v>0</ns0:v>
      </ns0:c>
      <ns0:c r="E42" s="278">
        <ns0:v>0</ns0:v>
      </ns0:c>
      <ns0:c r="F42" s="278">
        <ns0:v>0</ns0:v>
      </ns0:c>
      <ns0:c r="G42" s="276" t="n"/>
      <ns0:c r="H42" s="278" t="n"/>
      <ns0:c r="I42" s="279" t="n"/>
      <ns0:c r="J42" s="279" t="n"/>
      <ns0:c r="K42" s="279" t="n"/>
      <ns0:c r="L42" s="277" t="n"/>
    </ns0:row>
    <ns0:row r="43" ht="30" customHeight="1" s="2">
      <ns0:c r="A43" s="279" t="inlineStr">
        <ns0:is>
          <ns0:t>chair</ns0:t>
        </ns0:is>
      </ns0:c>
      <ns0:c r="B43" s="278">
        <ns0:v>0.7464035107547542</ns0:v>
      </ns0:c>
      <ns0:c r="C43" s="278">
        <ns0:v>0.7919741792241433</ns0:v>
      </ns0:c>
      <ns0:c r="D43" s="278">
        <ns0:v>0.9284271156758234</ns0:v>
      </ns0:c>
      <ns0:c r="E43" s="278">
        <ns0:v>0.8547892925755474</ns0:v>
      </ns0:c>
      <ns0:c r="F43" s="278">
        <ns0:v>0.8547892925755474</ns0:v>
      </ns0:c>
      <ns0:c r="G43" s="276" t="n"/>
      <ns0:c r="H43" s="278" t="n"/>
      <ns0:c r="I43" s="279" t="n"/>
      <ns0:c r="J43" s="279" t="n"/>
      <ns0:c r="K43" s="279" t="n"/>
      <ns0:c r="L43" s="277" t="n"/>
    </ns0:row>
    <ns0:row r="44" ht="30" customHeight="1" s="2">
      <ns0:c r="A44" s="279" t="inlineStr">
        <ns0:is>
          <ns0:t>clock</ns0:t>
        </ns0:is>
      </ns0:c>
      <ns0:c r="B44" s="278">
        <ns0:v>0.9646142958244869</ns0:v>
      </ns0:c>
      <ns0:c r="C44" s="278">
        <ns0:v>1</ns0:v>
      </ns0:c>
      <ns0:c r="D44" s="278">
        <ns0:v>0.9646142958244869</ns0:v>
      </ns0:c>
      <ns0:c r="E44" s="278">
        <ns0:v>0.9819884726224785</ns0:v>
      </ns0:c>
      <ns0:c r="F44" s="278">
        <ns0:v>0.9819884726224785</ns0:v>
      </ns0:c>
      <ns0:c r="G44" s="276" t="n"/>
      <ns0:c r="H44" s="278" t="n"/>
      <ns0:c r="I44" s="279" t="n"/>
      <ns0:c r="J44" s="279" t="n"/>
      <ns0:c r="K44" s="279" t="n"/>
      <ns0:c r="L44" s="277" t="n"/>
    </ns0:row>
    <ns0:row r="45" ht="30" customHeight="1" s="2">
      <ns0:c r="A45" s="279" t="inlineStr">
        <ns0:is>
          <ns0:t>desk-organizer</ns0:t>
        </ns0:is>
      </ns0:c>
      <ns0:c r="B45" s="278">
        <ns0:v>0.0019890570684790573</ns0:v>
      </ns0:c>
      <ns0:c r="C45" s="278">
        <ns0:v>0.00238943256594347</ns0:v>
      </ns0:c>
      <ns0:c r="D45" s="278">
        <ns0:v>0.011731391585760517</ns0:v>
      </ns0:c>
      <ns0:c r="E45" s="278">
        <ns0:v>5.6062738197702774e-05</ns0:v>
      </ns0:c>
      <ns0:c r="F45" s="278">
        <ns0:v>0.0039702171484755425</ns0:v>
      </ns0:c>
      <ns0:c r="G45" s="276" t="n"/>
      <ns0:c r="H45" s="278" t="n"/>
      <ns0:c r="I45" s="279" t="n"/>
      <ns0:c r="J45" s="279" t="n"/>
      <ns0:c r="K45" s="279" t="n"/>
      <ns0:c r="L45" s="277" t="n"/>
    </ns0:row>
    <ns0:row r="46" ht="30" customHeight="1" s="2">
      <ns0:c r="A46" s="279" t="inlineStr">
        <ns0:is>
          <ns0:t>indoor-plant</ns0:t>
        </ns0:is>
      </ns0:c>
      <ns0:c r="B46" s="278">
        <ns0:v>0.4019267295853134</ns0:v>
      </ns0:c>
      <ns0:c r="C46" s="278">
        <ns0:v>0.4085697972307993</ns0:v>
      </ns0:c>
      <ns0:c r="D46" s="278">
        <ns0:v>0.9611194076011558</ns0:v>
      </ns0:c>
      <ns0:c r="E46" s="278">
        <ns0:v>0.5733919199959935</ns0:v>
      </ns0:c>
      <ns0:c r="F46" s="278">
        <ns0:v>0.5733919199959935</ns0:v>
      </ns0:c>
      <ns0:c r="G46" s="276" t="n"/>
      <ns0:c r="H46" s="278" t="n"/>
      <ns0:c r="I46" s="279" t="n"/>
      <ns0:c r="J46" s="279" t="n"/>
      <ns0:c r="K46" s="279" t="n"/>
      <ns0:c r="L46" s="277" t="n"/>
    </ns0:row>
    <ns0:row r="47" ht="30" customHeight="1" s="2">
      <ns0:c r="A47" s="279" t="inlineStr">
        <ns0:is>
          <ns0:t>panel</ns0:t>
        </ns0:is>
      </ns0:c>
      <ns0:c r="B47" s="278">
        <ns0:v>0</ns0:v>
      </ns0:c>
      <ns0:c r="C47" s="278">
        <ns0:v>0</ns0:v>
      </ns0:c>
      <ns0:c r="D47" s="278">
        <ns0:v>0</ns0:v>
      </ns0:c>
      <ns0:c r="E47" s="278">
        <ns0:v>0</ns0:v>
      </ns0:c>
      <ns0:c r="F47" s="278">
        <ns0:v>0</ns0:v>
      </ns0:c>
      <ns0:c r="G47" s="276" t="n"/>
      <ns0:c r="H47" s="278" t="n"/>
      <ns0:c r="I47" s="279" t="n"/>
      <ns0:c r="J47" s="279" t="n"/>
      <ns0:c r="K47" s="279" t="n"/>
      <ns0:c r="L47" s="277" t="n"/>
    </ns0:row>
    <ns0:row r="48" ht="30" customHeight="1" s="2">
      <ns0:c r="A48" s="279" t="inlineStr">
        <ns0:is>
          <ns0:t>pillar</ns0:t>
        </ns0:is>
      </ns0:c>
      <ns0:c r="B48" s="278">
        <ns0:v>0.5414111116085418</ns0:v>
      </ns0:c>
      <ns0:c r="C48" s="278">
        <ns0:v>1</ns0:v>
      </ns0:c>
      <ns0:c r="D48" s="278">
        <ns0:v>0.5414111116085418</ns0:v>
      </ns0:c>
      <ns0:c r="E48" s="278">
        <ns0:v>0.702487619988092</ns0:v>
      </ns0:c>
      <ns0:c r="F48" s="278">
        <ns0:v>0.702487619988092</ns0:v>
      </ns0:c>
      <ns0:c r="G48" s="276" t="n"/>
      <ns0:c r="H48" s="278" t="n"/>
      <ns0:c r="I48" s="279" t="n"/>
      <ns0:c r="J48" s="279" t="n"/>
      <ns0:c r="K48" s="279" t="n"/>
      <ns0:c r="L48" s="277" t="n"/>
    </ns0:row>
    <ns0:row r="49" ht="30" customHeight="1" s="2">
      <ns0:c r="A49" s="279" t="inlineStr">
        <ns0:is>
          <ns0:t>plant-stand</ns0:t>
        </ns0:is>
      </ns0:c>
      <ns0:c r="B49" s="278">
        <ns0:v>0</ns0:v>
      </ns0:c>
      <ns0:c r="C49" s="278">
        <ns0:v>0</ns0:v>
      </ns0:c>
      <ns0:c r="D49" s="278">
        <ns0:v>0</ns0:v>
      </ns0:c>
      <ns0:c r="E49" s="278">
        <ns0:v>0</ns0:v>
      </ns0:c>
      <ns0:c r="F49" s="278">
        <ns0:v>0</ns0:v>
      </ns0:c>
      <ns0:c r="G49" s="276" t="n"/>
      <ns0:c r="H49" s="278" t="n"/>
      <ns0:c r="I49" s="279" t="n"/>
      <ns0:c r="J49" s="279" t="n"/>
      <ns0:c r="K49" s="279" t="n"/>
      <ns0:c r="L49" s="277" t="n"/>
    </ns0:row>
    <ns0:row r="50" ht="30" customHeight="1" s="2">
      <ns0:c r="A50" s="279" t="inlineStr">
        <ns0:is>
          <ns0:t>sofa</ns0:t>
        </ns0:is>
      </ns0:c>
      <ns0:c r="B50" s="278">
        <ns0:v>0.934056516672255</ns0:v>
      </ns0:c>
      <ns0:c r="C50" s="278">
        <ns0:v>0.9383957113956111</ns0:v>
      </ns0:c>
      <ns0:c r="D50" s="278">
        <ns0:v>0.9950738764999447</ns0:v>
      </ns0:c>
      <ns0:c r="E50" s="278">
        <ns0:v>0.9659040556678211</ns0:v>
      </ns0:c>
      <ns0:c r="F50" s="278">
        <ns0:v>0.9659040556678211</ns0:v>
      </ns0:c>
      <ns0:c r="G50" s="276" t="n"/>
      <ns0:c r="H50" s="278" t="n"/>
      <ns0:c r="I50" s="279" t="n"/>
      <ns0:c r="J50" s="279" t="n"/>
      <ns0:c r="K50" s="279" t="n"/>
      <ns0:c r="L50" s="277" t="n"/>
    </ns0:row>
    <ns0:row r="51" ht="30" customHeight="1" s="2">
      <ns0:c r="A51" s="279" t="inlineStr">
        <ns0:is>
          <ns0:t>switch</ns0:t>
        </ns0:is>
      </ns0:c>
      <ns0:c r="B51" s="278">
        <ns0:v>0</ns0:v>
      </ns0:c>
      <ns0:c r="C51" s="278">
        <ns0:v>0</ns0:v>
      </ns0:c>
      <ns0:c r="D51" s="278">
        <ns0:v>0</ns0:v>
      </ns0:c>
      <ns0:c r="E51" s="278">
        <ns0:v>0</ns0:v>
      </ns0:c>
      <ns0:c r="F51" s="278">
        <ns0:v>0</ns0:v>
      </ns0:c>
      <ns0:c r="G51" s="276" t="n"/>
      <ns0:c r="H51" s="278" t="n"/>
      <ns0:c r="I51" s="279" t="n"/>
      <ns0:c r="J51" s="279" t="n"/>
      <ns0:c r="K51" s="279" t="n"/>
      <ns0:c r="L51" s="277" t="n"/>
    </ns0:row>
    <ns0:row r="52" ht="30" customHeight="1" s="2">
      <ns0:c r="A52" s="279" t="inlineStr">
        <ns0:is>
          <ns0:t>table</ns0:t>
        </ns0:is>
      </ns0:c>
      <ns0:c r="B52" s="278">
        <ns0:v>0</ns0:v>
      </ns0:c>
      <ns0:c r="C52" s="278">
        <ns0:v>0</ns0:v>
      </ns0:c>
      <ns0:c r="D52" s="278">
        <ns0:v>0</ns0:v>
      </ns0:c>
      <ns0:c r="E52" s="278">
        <ns0:v>0</ns0:v>
      </ns0:c>
      <ns0:c r="F52" s="278">
        <ns0:v>0</ns0:v>
      </ns0:c>
      <ns0:c r="G52" s="276" t="n"/>
      <ns0:c r="H52" s="278" t="n"/>
      <ns0:c r="I52" s="279" t="n"/>
      <ns0:c r="J52" s="279" t="n"/>
      <ns0:c r="K52" s="279" t="n"/>
      <ns0:c r="L52" s="277" t="n"/>
    </ns0:row>
    <ns0:row r="53" ht="30" customHeight="1" s="2">
      <ns0:c r="A53" s="279" t="inlineStr">
        <ns0:is>
          <ns0:t>tablet</ns0:t>
        </ns0:is>
      </ns0:c>
      <ns0:c r="B53" s="278">
        <ns0:v>0</ns0:v>
      </ns0:c>
      <ns0:c r="C53" s="278">
        <ns0:v>0</ns0:v>
      </ns0:c>
      <ns0:c r="D53" s="278">
        <ns0:v>0</ns0:v>
      </ns0:c>
      <ns0:c r="E53" s="278">
        <ns0:v>0</ns0:v>
      </ns0:c>
      <ns0:c r="F53" s="278">
        <ns0:v>0</ns0:v>
      </ns0:c>
      <ns0:c r="G53" s="276" t="n"/>
      <ns0:c r="H53" s="278" t="n"/>
      <ns0:c r="I53" s="279" t="n"/>
      <ns0:c r="J53" s="279" t="n"/>
      <ns0:c r="K53" s="279" t="n"/>
      <ns0:c r="L53" s="277" t="n"/>
    </ns0:row>
    <ns0:row r="54" ht="30" customHeight="1" s="2">
      <ns0:c r="A54" s="279" t="inlineStr">
        <ns0:is>
          <ns0:t>tissue-paper</ns0:t>
        </ns0:is>
      </ns0:c>
      <ns0:c r="B54" s="278">
        <ns0:v>0.006553588448140619</ns0:v>
      </ns0:c>
      <ns0:c r="C54" s="278">
        <ns0:v>0.007381300704880968</ns0:v>
      </ns0:c>
      <ns0:c r="D54" s="278">
        <ns0:v>0.05521603183627061</ns0:v>
      </ns0:c>
      <ns0:c r="E54" s="278">
        <ns0:v>0.0008151322694275884</ns0:v>
      </ns0:c>
      <ns0:c r="F54" s="278">
        <ns0:v>0.013021837134860648</ns0:v>
      </ns0:c>
      <ns0:c r="G54" s="276" t="n"/>
      <ns0:c r="H54" s="278" t="n"/>
      <ns0:c r="I54" s="279" t="n"/>
      <ns0:c r="J54" s="279" t="n"/>
      <ns0:c r="K54" s="279" t="n"/>
      <ns0:c r="L54" s="277" t="n"/>
    </ns0:row>
    <ns0:row r="55" ht="30" customHeight="1" s="2">
      <ns0:c r="A55" s="279" t="inlineStr">
        <ns0:is>
          <ns0:t>tv-screen</ns0:t>
        </ns0:is>
      </ns0:c>
      <ns0:c r="B55" s="278">
        <ns0:v>0.3737662002970478</ns0:v>
      </ns0:c>
      <ns0:c r="C55" s="278">
        <ns0:v>0.3774260175919661</ns0:v>
      </ns0:c>
      <ns0:c r="D55" s="278">
        <ns0:v>0.9747126030207633</ns0:v>
      </ns0:c>
      <ns0:c r="E55" s="278">
        <ns0:v>0.5441481967109524</ns0:v>
      </ns0:c>
      <ns0:c r="F55" s="278">
        <ns0:v>0.5441481967109524</ns0:v>
      </ns0:c>
      <ns0:c r="G55" s="276" t="n"/>
      <ns0:c r="H55" s="278" t="n"/>
      <ns0:c r="I55" s="279" t="n"/>
      <ns0:c r="J55" s="279" t="n"/>
      <ns0:c r="K55" s="279" t="n"/>
      <ns0:c r="L55" s="277" t="n"/>
    </ns0:row>
    <ns0:row r="56" ht="30" customHeight="1" s="2">
      <ns0:c r="A56" s="279" t="inlineStr">
        <ns0:is>
          <ns0:t>vent</ns0:t>
        </ns0:is>
      </ns0:c>
      <ns0:c r="B56" s="278">
        <ns0:v>0.022746298130437048</ns0:v>
      </ns0:c>
      <ns0:c r="C56" s="278">
        <ns0:v>0.022746298130437048</ns0:v>
      </ns0:c>
      <ns0:c r="D56" s="278">
        <ns0:v>1</ns0:v>
      </ns0:c>
      <ns0:c r="E56" s="278">
        <ns0:v>0.04448082221762503</ns0:v>
      </ns0:c>
      <ns0:c r="F56" s="278">
        <ns0:v>0.04448082221762503</ns0:v>
      </ns0:c>
      <ns0:c r="G56" s="276" t="n"/>
      <ns0:c r="H56" s="278" t="n"/>
      <ns0:c r="I56" s="279" t="n"/>
      <ns0:c r="J56" s="279" t="n"/>
      <ns0:c r="K56" s="279" t="n"/>
      <ns0:c r="L56" s="277" t="n"/>
    </ns0:row>
    <ns0:row r="57" ht="30" customHeight="1" s="2">
      <ns0:c r="A57" s="279" t="inlineStr">
        <ns0:is>
          <ns0:t>wall-plug</ns0:t>
        </ns0:is>
      </ns0:c>
      <ns0:c r="B57" s="278">
        <ns0:v>0</ns0:v>
      </ns0:c>
      <ns0:c r="C57" s="278">
        <ns0:v>0</ns0:v>
      </ns0:c>
      <ns0:c r="D57" s="278">
        <ns0:v>0</ns0:v>
      </ns0:c>
      <ns0:c r="E57" s="278">
        <ns0:v>0</ns0:v>
      </ns0:c>
      <ns0:c r="F57" s="278">
        <ns0:v>0</ns0:v>
      </ns0:c>
      <ns0:c r="G57" s="276" t="n"/>
      <ns0:c r="H57" s="278" t="n"/>
      <ns0:c r="I57" s="279" t="n"/>
      <ns0:c r="J57" s="279" t="n"/>
      <ns0:c r="K57" s="279" t="n"/>
      <ns0:c r="L57" s="277" t="n"/>
    </ns0:row>
    <ns0:row r="58" ht="30" customHeight="1" s="2">
      <ns0:c r="A58" s="279" t="inlineStr">
        <ns0:is>
          <ns0:t>rug</ns0:t>
        </ns0:is>
      </ns0:c>
      <ns0:c r="B58" s="278">
        <ns0:v>0.49464546940082116</ns0:v>
      </ns0:c>
      <ns0:c r="C58" s="278">
        <ns0:v>0.9740092206430996</ns0:v>
      </ns0:c>
      <ns0:c r="D58" s="278">
        <ns0:v>0.5012617642066352</ns0:v>
      </ns0:c>
      <ns0:c r="E58" s="278">
        <ns0:v>0.6618900328237926</ns0:v>
      </ns0:c>
      <ns0:c r="F58" s="278">
        <ns0:v>0.6618900328237926</ns0:v>
      </ns0:c>
      <ns0:c r="G58" s="276" t="n"/>
      <ns0:c r="H58" s="278" t="n"/>
      <ns0:c r="I58" s="279" t="n"/>
      <ns0:c r="J58" s="279" t="n"/>
      <ns0:c r="K58" s="279" t="n"/>
      <ns0:c r="L58" s="277" t="n"/>
    </ns0:row>
  </ns0:sheetData>
  <ns0:mergeCells count="15">
    <ns0:mergeCell ref="A30:L30"/>
    <ns0:mergeCell ref="A2:L2"/>
    <ns0:mergeCell ref="A38:L38"/>
    <ns0:mergeCell ref="A29:L29"/>
    <ns0:mergeCell ref="A10:L10"/>
    <ns0:mergeCell ref="A33:L33"/>
    <ns0:mergeCell ref="A1:L1"/>
    <ns0:mergeCell ref="A32:L32"/>
    <ns0:mergeCell ref="A36:L36"/>
    <ns0:mergeCell ref="A14:L14"/>
    <ns0:mergeCell ref="A31:L31"/>
    <ns0:mergeCell ref="A18:L18"/>
    <ns0:mergeCell ref="A34:L34"/>
    <ns0:mergeCell ref="A35:L35"/>
    <ns0:mergeCell ref="A4:L4"/>
  </ns0:mergeCells>
  <ns0:pageMargins left="0.7" right="0.7" top="0.75" bottom="0.75" header="0.3" footer="0.3"/>
</ns0:worksheet>
</file>

<file path=xl/worksheets/sheet22.xml><?xml version="1.0" encoding="utf-8"?>
<ns0:worksheet xmlns:ns0="http://schemas.openxmlformats.org/spreadsheetml/2006/main">
  <ns0:sheetPr>
    <ns0:outlinePr summaryBelow="1" summaryRight="1"/>
    <ns0:pageSetUpPr/>
  </ns0:sheetPr>
  <ns0:dimension ref="A1:L56"/>
  <ns0:sheetViews>
    <ns0:sheetView showGridLines="0" workbookViewId="0">
      <ns0:pane xSplit="2" ySplit="5" topLeftCell="C6" activePane="bottomRight" state="frozen"/>
      <ns0:selection activeCell="A1" sqref="A1"/>
    </ns0:sheetView>
  </ns0:sheetViews>
  <ns0:sheetFormatPr baseColWidth="8" defaultRowHeight="15"/>
  <ns0:cols>
    <ns0:col width="24" customWidth="1" style="2" min="1" max="1"/>
    <ns0:col width="20" customWidth="1" style="2" min="2" max="2"/>
    <ns0:col width="13" customWidth="1" style="2" min="3" max="3"/>
    <ns0:col width="14" customWidth="1" style="2" min="4" max="4"/>
    <ns0:col width="14" customWidth="1" style="2" min="5" max="5"/>
    <ns0:col width="14" customWidth="1" style="2" min="6" max="6"/>
    <ns0:col width="13" customWidth="1" style="2" min="7" max="7"/>
    <ns0:col width="16" customWidth="1" style="2" min="8" max="8"/>
    <ns0:col width="15" customWidth="1" style="2" min="9" max="9"/>
    <ns0:col width="15" customWidth="1" style="2" min="10" max="10"/>
    <ns0:col width="15" customWidth="1" style="2" min="11" max="11"/>
    <ns0:col width="15" customWidth="1" style="2" min="12" max="12"/>
  </ns0:cols>
  <ns0:sheetData>
    <ns0:row r="1" ht="36" customHeight="1" s="2">
      <ns0:c r="A1" s="237" t="inlineStr">
        <ns0:is>
          <ns0:t>office1：点级语义、实例PQ和几何覆盖率</ns0:t>
        </ns0:is>
      </ns0:c>
    </ns0:row>
    <ns0:row r="2" ht="52" customHeight="1" s="2">
      <ns0:c r="A2" s="216" t="inlineStr">
        <ns0:is>
          <ns0:t>400帧，stride5；17类；3643120语义有效计分点；几何固定参考点3662360。黄色仅比较相同评测类别数和参考点数的已有结果。</ns0:t>
        </ns0:is>
      </ns0:c>
    </ns0:row>
    <ns0:row r="3"/>
    <ns0:row r="4" ht="26" customHeight="1" s="2">
      <ns0:c r="A4" s="236" t="inlineStr">
        <ns0:is>
          <ns0:t>A. 点级语义指标</ns0:t>
        </ns0:is>
      </ns0:c>
    </ns0:row>
    <ns0:row r="5" ht="44" customHeight="1" s="2">
      <ns0:c r="A5" s="223" t="inlineStr">
        <ns0:is>
          <ns0:t>实验目录</ns0:t>
        </ns0:is>
      </ns0:c>
      <ns0:c r="B5" s="223" t="inlineStr">
        <ns0:is>
          <ns0:t>模式 / stride</ns0:t>
        </ns0:is>
      </ns0:c>
      <ns0:c r="C5" s="223" t="inlineStr">
        <ns0:is>
          <ns0:t>mIoU</ns0:t>
        </ns0:is>
      </ns0:c>
      <ns0:c r="D5" s="223" t="inlineStr">
        <ns0:is>
          <ns0:t>mRecall / mAcc</ns0:t>
        </ns0:is>
      </ns0:c>
      <ns0:c r="E5" s="223" t="inlineStr">
        <ns0:is>
          <ns0:t>mPrecision</ns0:t>
        </ns0:is>
      </ns0:c>
      <ns0:c r="F5" s="223" t="inlineStr">
        <ns0:is>
          <ns0:t>mF1（原公式）</ns0:t>
        </ns0:is>
      </ns0:c>
      <ns0:c r="G5" s="223" t="inlineStr">
        <ns0:is>
          <ns0:t>fwIoU</ns0:t>
        </ns0:is>
      </ns0:c>
      <ns0:c r="H5" s="223" t="inlineStr">
        <ns0:is>
          <ns0:t>Point Accuracy</ns0:t>
        </ns0:is>
      </ns0:c>
      <ns0:c r="I5" s="223" t="inlineStr">
        <ns0:is>
          <ns0:t>IoU&gt;0.15类数</ns0:t>
        </ns0:is>
      </ns0:c>
      <ns0:c r="J5" s="223" t="inlineStr">
        <ns0:is>
          <ns0:t>IoU&gt;0.25类数</ns0:t>
        </ns0:is>
      </ns0:c>
      <ns0:c r="K5" s="223" t="inlineStr">
        <ns0:is>
          <ns0:t>IoU&gt;0.50类数</ns0:t>
        </ns0:is>
      </ns0:c>
      <ns0:c r="L5" s="223" t="inlineStr">
        <ns0:is>
          <ns0:t>IoU&gt;0.75类数</ns0:t>
        </ns0:is>
      </ns0:c>
    </ns0:row>
    <ns0:row r="6" ht="66" customHeight="1" s="2">
      <ns0:c r="A6" s="279" t="inlineStr">
        <ns0:is>
          <ns0:t>v7_CLIP_auto_20260910_003918_2667263</ns0:t>
        </ns0:is>
      </ns0:c>
      <ns0:c r="B6" s="279" t="inlineStr">
        <ns0:is>
          <ns0:t>VLM（CLIP auto）/ 5</ns0:t>
        </ns0:is>
      </ns0:c>
      <ns0:c r="C6" s="276">
        <ns0:v>0.16554513074663885</ns0:v>
      </ns0:c>
      <ns0:c r="D6" s="276">
        <ns0:v>0.2875320439081218</ns0:v>
      </ns0:c>
      <ns0:c r="E6" s="278">
        <ns0:v>0.1718198593732272</ns0:v>
      </ns0:c>
      <ns0:c r="F6" s="276">
        <ns0:v>0.1979067198928997</ns0:v>
      </ns0:c>
      <ns0:c r="G6" s="276">
        <ns0:v>0.1362067076318275</ns0:v>
      </ns0:c>
      <ns0:c r="H6" s="278">
        <ns0:v>0.2805617163310569</ns0:v>
      </ns0:c>
      <ns0:c r="I6" s="277">
        <ns0:v>4</ns0:v>
      </ns0:c>
      <ns0:c r="J6" s="277">
        <ns0:v>4</ns0:v>
      </ns0:c>
      <ns0:c r="K6" s="277">
        <ns0:v>4</ns0:v>
      </ns0:c>
      <ns0:c r="L6" s="277">
        <ns0:v>1</ns0:v>
      </ns0:c>
    </ns0:row>
    <ns0:row r="7" ht="70" customHeight="1" s="2">
      <ns0:c r="A7" s="279" t="inlineStr">
        <ns0:is>
          <ns0:t>main（历史）</ns0:t>
        </ns0:is>
      </ns0:c>
      <ns0:c r="B7" s="279" t="inlineStr">
        <ns0:is>
          <ns0:t>参考点数或类别数不同，不比较</ns0:t>
        </ns0:is>
      </ns0:c>
      <ns0:c r="C7" s="278" t="n"/>
      <ns0:c r="D7" s="278" t="n"/>
      <ns0:c r="E7" s="276" t="n"/>
      <ns0:c r="F7" s="278" t="n"/>
      <ns0:c r="G7" s="276" t="n"/>
      <ns0:c r="H7" s="278" t="n"/>
      <ns0:c r="I7" s="279" t="n"/>
      <ns0:c r="J7" s="277" t="n"/>
      <ns0:c r="K7" s="277" t="n"/>
      <ns0:c r="L7" s="277" t="n"/>
    </ns0:row>
    <ns0:row r="8" ht="70" customHeight="1" s="2">
      <ns0:c r="A8" s="279" t="inlineStr">
        <ns0:is>
          <ns0:t>ali-my（历史）</ns0:t>
        </ns0:is>
      </ns0:c>
      <ns0:c r="B8" s="279" t="inlineStr">
        <ns0:is>
          <ns0:t>参考点数或类别数不同，不比较</ns0:t>
        </ns0:is>
      </ns0:c>
      <ns0:c r="C8" s="278" t="n"/>
      <ns0:c r="D8" s="278" t="n"/>
      <ns0:c r="E8" s="278" t="n"/>
      <ns0:c r="F8" s="278" t="n"/>
      <ns0:c r="G8" s="276" t="n"/>
      <ns0:c r="H8" s="276" t="n"/>
      <ns0:c r="I8" s="279" t="n"/>
      <ns0:c r="J8" s="279" t="n"/>
      <ns0:c r="K8" s="277" t="n"/>
      <ns0:c r="L8" s="277" t="n"/>
    </ns0:row>
    <ns0:row r="9"/>
    <ns0:row r="10" ht="26" customHeight="1" s="2">
      <ns0:c r="A10" s="236" t="inlineStr">
        <ns0:is>
          <ns0:t>B. 实例PQ与几何覆盖率（fixed-support）</ns0:t>
        </ns0:is>
      </ns0:c>
    </ns0:row>
    <ns0:row r="11" ht="44" customHeight="1" s="2">
      <ns0:c r="A11" s="223" t="inlineStr">
        <ns0:is>
          <ns0:t>实验目录</ns0:t>
        </ns0:is>
      </ns0:c>
      <ns0:c r="B11" s="223" t="inlineStr">
        <ns0:is>
          <ns0:t>PQ</ns0:t>
        </ns0:is>
      </ns0:c>
      <ns0:c r="C11" s="223" t="inlineStr">
        <ns0:is>
          <ns0:t>RQ</ns0:t>
        </ns0:is>
      </ns0:c>
      <ns0:c r="D11" s="223" t="inlineStr">
        <ns0:is>
          <ns0:t>SQ</ns0:t>
        </ns0:is>
      </ns0:c>
      <ns0:c r="E11" s="223" t="inlineStr">
        <ns0:is>
          <ns0:t>TP</ns0:t>
        </ns0:is>
      </ns0:c>
      <ns0:c r="F11" s="223" t="inlineStr">
        <ns0:is>
          <ns0:t>FP</ns0:t>
        </ns0:is>
      </ns0:c>
      <ns0:c r="G11" s="223" t="inlineStr">
        <ns0:is>
          <ns0:t>FN</ns0:t>
        </ns0:is>
      </ns0:c>
      <ns0:c r="H11" s="223" t="inlineStr">
        <ns0:is>
          <ns0:t>GT实例数</ns0:t>
        </ns0:is>
      </ns0:c>
      <ns0:c r="I11" s="223" t="inlineStr">
        <ns0:is>
          <ns0:t>预测实例数</ns0:t>
        </ns0:is>
      </ns0:c>
      <ns0:c r="J11" s="223" t="inlineStr">
        <ns0:is>
          <ns0:t>覆盖率2.5cm</ns0:t>
        </ns0:is>
      </ns0:c>
      <ns0:c r="K11" s="223" t="inlineStr">
        <ns0:is>
          <ns0:t>覆盖率5cm</ns0:t>
        </ns0:is>
      </ns0:c>
      <ns0:c r="L11" s="223" t="inlineStr">
        <ns0:is>
          <ns0:t>覆盖率10cm</ns0:t>
        </ns0:is>
      </ns0:c>
    </ns0:row>
    <ns0:row r="12" ht="66" customHeight="1" s="2">
      <ns0:c r="A12" s="226" t="inlineStr">
        <ns0:is>
          <ns0:t>v7_CLIP_auto_20260910_003918_2667263</ns0:t>
        </ns0:is>
      </ns0:c>
      <ns0:c r="B12" s="276">
        <ns0:v>0.5772518716308723</ns0:v>
      </ns0:c>
      <ns0:c r="C12" s="239">
        <ns0:v>0.6545454545454545</ns0:v>
      </ns0:c>
      <ns0:c r="D12" s="276">
        <ns0:v>0.8819125816582772</ns0:v>
      </ns0:c>
      <ns0:c r="E12" s="226">
        <ns0:v>18</ns0:v>
      </ns0:c>
      <ns0:c r="F12" s="277">
        <ns0:v>2</ns0:v>
      </ns0:c>
      <ns0:c r="G12" s="226">
        <ns0:v>17</ns0:v>
      </ns0:c>
      <ns0:c r="H12" s="226">
        <ns0:v>35</ns0:v>
      </ns0:c>
      <ns0:c r="I12" s="226">
        <ns0:v>31</ns0:v>
      </ns0:c>
      <ns0:c r="J12" s="276">
        <ns0:v>0.9383946417064406</ns0:v>
      </ns0:c>
      <ns0:c r="K12" s="276">
        <ns0:v>0.9455321159034066</ns0:v>
      </ns0:c>
      <ns0:c r="L12" s="276">
        <ns0:v>0.9540304612326478</ns0:v>
      </ns0:c>
    </ns0:row>
    <ns0:row r="13"/>
    <ns0:row r="14" ht="26" customHeight="1" s="2">
      <ns0:c r="A14" s="236" t="inlineStr">
        <ns0:is>
          <ns0:t>C. 完成状态与诊断</ns0:t>
        </ns0:is>
      </ns0:c>
    </ns0:row>
    <ns0:row r="15" ht="44" customHeight="1" s="2">
      <ns0:c r="A15" s="223" t="inlineStr">
        <ns0:is>
          <ns0:t>实验目录</ns0:t>
        </ns0:is>
      </ns0:c>
      <ns0:c r="B15" s="223" t="inlineStr">
        <ns0:is>
          <ns0:t>状态</ns0:t>
        </ns0:is>
      </ns0:c>
      <ns0:c r="C15" s="223" t="inlineStr">
        <ns0:is>
          <ns0:t>帧数</ns0:t>
        </ns0:is>
      </ns0:c>
      <ns0:c r="D15" s="223" t="inlineStr">
        <ns0:is>
          <ns0:t>对象数</ns0:t>
        </ns0:is>
      </ns0:c>
      <ns0:c r="E15" s="223" t="inlineStr">
        <ns0:is>
          <ns0:t>对象点数</ns0:t>
        </ns0:is>
      </ns0:c>
      <ns0:c r="F15" s="223" t="inlineStr">
        <ns0:is>
          <ns0:t>语义评测总秒</ns0:t>
        </ns0:is>
      </ns0:c>
      <ns0:c r="G15" s="223" t="inlineStr">
        <ns0:is>
          <ns0:t>场景计算秒</ns0:t>
        </ns0:is>
      </ns0:c>
      <ns0:c r="H15" s="223" t="inlineStr">
        <ns0:is>
          <ns0:t>零IoU类数</ns0:t>
        </ns0:is>
      </ns0:c>
      <ns0:c r="I15" s="223" t="inlineStr">
        <ns0:is>
          <ns0:t>评测类别数</ns0:t>
        </ns0:is>
      </ns0:c>
      <ns0:c r="J15" s="223" t="inlineStr">
        <ns0:is>
          <ns0:t>语义计分点数</ns0:t>
        </ns0:is>
      </ns0:c>
      <ns0:c r="K15" s="223" t="inlineStr">
        <ns0:is>
          <ns0:t>说明</ns0:t>
        </ns0:is>
      </ns0:c>
      <ns0:c r="L15" s="223" t="n"/>
    </ns0:row>
    <ns0:row r="16" ht="66" customHeight="1" s="2">
      <ns0:c r="A16" s="226" t="inlineStr">
        <ns0:is>
          <ns0:t>v7_CLIP_auto_20260910_003918_2667263</ns0:t>
        </ns0:is>
      </ns0:c>
      <ns0:c r="B16" s="226" t="inlineStr">
        <ns0:is>
          <ns0:t>完成</ns0:t>
        </ns0:is>
      </ns0:c>
      <ns0:c r="C16" s="226">
        <ns0:v>400</ns0:v>
      </ns0:c>
      <ns0:c r="D16" s="226">
        <ns0:v>31</ns0:v>
      </ns0:c>
      <ns0:c r="E16" s="226">
        <ns0:v>298365</ns0:v>
      </ns0:c>
      <ns0:c r="F16" s="226">
        <ns0:v>28.934</ns0:v>
      </ns0:c>
      <ns0:c r="G16" s="226">
        <ns0:v>16.749</ns0:v>
      </ns0:c>
      <ns0:c r="H16" s="226">
        <ns0:v>12</ns0:v>
      </ns0:c>
      <ns0:c r="I16" s="226">
        <ns0:v>17</ns0:v>
      </ns0:c>
      <ns0:c r="J16" s="226">
        <ns0:v>3643120</ns0:v>
      </ns0:c>
      <ns0:c r="K16" s="226" t="inlineStr">
        <ns0:is>
          <ns0:t>地图哈希、完成状态及审计核验通过</ns0:t>
        </ns0:is>
      </ns0:c>
      <ns0:c r="L16" s="226" t="n"/>
    </ns0:row>
    <ns0:row r="17"/>
    <ns0:row r="18" ht="26" customHeight="1" s="2">
      <ns0:c r="A18" s="236" t="inlineStr">
        <ns0:is>
          <ns0:t>D. 补充指标与计时</ns0:t>
        </ns0:is>
      </ns0:c>
    </ns0:row>
    <ns0:row r="19" ht="44" customHeight="1" s="2">
      <ns0:c r="A19" s="223" t="inlineStr">
        <ns0:is>
          <ns0:t>指标</ns0:t>
        </ns0:is>
      </ns0:c>
      <ns0:c r="B19" s="223" t="inlineStr">
        <ns0:is>
          <ns0:t>数值</ns0:t>
        </ns0:is>
      </ns0:c>
      <ns0:c r="C19" s="223" t="inlineStr">
        <ns0:is>
          <ns0:t>单位</ns0:t>
        </ns0:is>
      </ns0:c>
      <ns0:c r="D19" s="223" t="n"/>
      <ns0:c r="E19" s="223" t="n"/>
      <ns0:c r="F19" s="223" t="n"/>
      <ns0:c r="G19" s="223" t="n"/>
      <ns0:c r="H19" s="223" t="n"/>
      <ns0:c r="I19" s="223" t="n"/>
      <ns0:c r="J19" s="223" t="n"/>
      <ns0:c r="K19" s="223" t="n"/>
      <ns0:c r="L19" s="223" t="n"/>
    </ns0:row>
    <ns0:row r="20" ht="30" customHeight="1" s="2">
      <ns0:c r="A20" s="279" t="inlineStr">
        <ns0:is>
          <ns0:t>语义标准mF1</ns0:t>
        </ns0:is>
      </ns0:c>
      <ns0:c r="B20" s="278">
        <ns0:v>0.1979067198928997</ns0:v>
      </ns0:c>
      <ns0:c r="C20" s="279" t="inlineStr">
        <ns0:is>
          <ns0:t>比例</ns0:t>
        </ns0:is>
      </ns0:c>
      <ns0:c r="D20" s="278" t="n"/>
      <ns0:c r="E20" s="278" t="n"/>
      <ns0:c r="F20" s="278" t="n"/>
      <ns0:c r="G20" s="276" t="n"/>
      <ns0:c r="H20" s="278" t="n"/>
      <ns0:c r="I20" s="279" t="n"/>
      <ns0:c r="J20" s="279" t="n"/>
      <ns0:c r="K20" s="279" t="n"/>
      <ns0:c r="L20" s="277" t="n"/>
    </ns0:row>
    <ns0:row r="21" ht="30" customHeight="1" s="2">
      <ns0:c r="A21" s="279" t="inlineStr">
        <ns0:is>
          <ns0:t>HTTP已记录尝试</ns0:t>
        </ns0:is>
      </ns0:c>
      <ns0:c r="B21" s="280">
        <ns0:v>509</ns0:v>
      </ns0:c>
      <ns0:c r="C21" s="279" t="inlineStr">
        <ns0:is>
          <ns0:t>次</ns0:t>
        </ns0:is>
      </ns0:c>
      <ns0:c r="D21" s="278" t="n"/>
      <ns0:c r="E21" s="278" t="n"/>
      <ns0:c r="F21" s="278" t="n"/>
      <ns0:c r="G21" s="276" t="n"/>
      <ns0:c r="H21" s="278" t="n"/>
      <ns0:c r="I21" s="279" t="n"/>
      <ns0:c r="J21" s="279" t="n"/>
      <ns0:c r="K21" s="279" t="n"/>
      <ns0:c r="L21" s="277" t="n"/>
    </ns0:row>
    <ns0:row r="22" ht="30" customHeight="1" s="2">
      <ns0:c r="A22" s="279" t="inlineStr">
        <ns0:is>
          <ns0:t>HTTP重试</ns0:t>
        </ns0:is>
      </ns0:c>
      <ns0:c r="B22" s="280">
        <ns0:v>0</ns0:v>
      </ns0:c>
      <ns0:c r="C22" s="279" t="inlineStr">
        <ns0:is>
          <ns0:t>次</ns0:t>
        </ns0:is>
      </ns0:c>
      <ns0:c r="D22" s="278" t="n"/>
      <ns0:c r="E22" s="278" t="n"/>
      <ns0:c r="F22" s="278" t="n"/>
      <ns0:c r="G22" s="276" t="n"/>
      <ns0:c r="H22" s="278" t="n"/>
      <ns0:c r="I22" s="279" t="n"/>
      <ns0:c r="J22" s="279" t="n"/>
      <ns0:c r="K22" s="279" t="n"/>
      <ns0:c r="L22" s="277" t="n"/>
    </ns0:row>
    <ns0:row r="23" ht="30" customHeight="1" s="2">
      <ns0:c r="A23" s="279" t="inlineStr">
        <ns0:is>
          <ns0:t>PQ评估耗时</ns0:t>
        </ns0:is>
      </ns0:c>
      <ns0:c r="B23" s="281">
        <ns0:v>26.588270367123187</ns0:v>
      </ns0:c>
      <ns0:c r="C23" s="279" t="inlineStr">
        <ns0:is>
          <ns0:t>秒</ns0:t>
        </ns0:is>
      </ns0:c>
      <ns0:c r="D23" s="278" t="n"/>
      <ns0:c r="E23" s="278" t="n"/>
      <ns0:c r="F23" s="278" t="n"/>
      <ns0:c r="G23" s="276" t="n"/>
      <ns0:c r="H23" s="278" t="n"/>
      <ns0:c r="I23" s="279" t="n"/>
      <ns0:c r="J23" s="279" t="n"/>
      <ns0:c r="K23" s="279" t="n"/>
      <ns0:c r="L23" s="277" t="n"/>
    </ns0:row>
    <ns0:row r="24" ht="30" customHeight="1" s="2">
      <ns0:c r="A24" s="279" t="inlineStr">
        <ns0:is>
          <ns0:t>覆盖率评估耗时</ns0:t>
        </ns0:is>
      </ns0:c>
      <ns0:c r="B24" s="281">
        <ns0:v>20.748415181413293</ns0:v>
      </ns0:c>
      <ns0:c r="C24" s="279" t="inlineStr">
        <ns0:is>
          <ns0:t>秒</ns0:t>
        </ns0:is>
      </ns0:c>
      <ns0:c r="D24" s="278" t="n"/>
      <ns0:c r="E24" s="278" t="n"/>
      <ns0:c r="F24" s="278" t="n"/>
      <ns0:c r="G24" s="276" t="n"/>
      <ns0:c r="H24" s="278" t="n"/>
      <ns0:c r="I24" s="279" t="n"/>
      <ns0:c r="J24" s="279" t="n"/>
      <ns0:c r="K24" s="279" t="n"/>
      <ns0:c r="L24" s="277" t="n"/>
    </ns0:row>
    <ns0:row r="25" ht="30" customHeight="1" s="2">
      <ns0:c r="A25" s="279" t="inlineStr">
        <ns0:is>
          <ns0:t>统一评估耗时</ns0:t>
        </ns0:is>
      </ns0:c>
      <ns0:c r="B25" s="281">
        <ns0:v>13.086278717033565</ns0:v>
      </ns0:c>
      <ns0:c r="C25" s="279" t="inlineStr">
        <ns0:is>
          <ns0:t>秒</ns0:t>
        </ns0:is>
      </ns0:c>
      <ns0:c r="D25" s="278" t="n"/>
      <ns0:c r="E25" s="278" t="n"/>
      <ns0:c r="F25" s="278" t="n"/>
      <ns0:c r="G25" s="276" t="n"/>
      <ns0:c r="H25" s="278" t="n"/>
      <ns0:c r="I25" s="279" t="n"/>
      <ns0:c r="J25" s="279" t="n"/>
      <ns0:c r="K25" s="279" t="n"/>
      <ns0:c r="L25" s="277" t="n"/>
    </ns0:row>
    <ns0:row r="26" ht="30" customHeight="1" s="2">
      <ns0:c r="A26" s="279" t="inlineStr">
        <ns0:is>
          <ns0:t>未覆盖前景点数</ns0:t>
        </ns0:is>
      </ns0:c>
      <ns0:c r="B26" s="280">
        <ns0:v>199481</ns0:v>
      </ns0:c>
      <ns0:c r="C26" s="279" t="inlineStr">
        <ns0:is>
          <ns0:t>点</ns0:t>
        </ns0:is>
      </ns0:c>
      <ns0:c r="D26" s="278" t="n"/>
      <ns0:c r="E26" s="278" t="n"/>
      <ns0:c r="F26" s="278" t="n"/>
      <ns0:c r="G26" s="276" t="n"/>
      <ns0:c r="H26" s="278" t="n"/>
      <ns0:c r="I26" s="279" t="n"/>
      <ns0:c r="J26" s="279" t="n"/>
      <ns0:c r="K26" s="279" t="n"/>
      <ns0:c r="L26" s="277" t="n"/>
    </ns0:row>
    <ns0:row r="27" ht="30" customHeight="1" s="2">
      <ns0:c r="A27" s="279" t="inlineStr">
        <ns0:is>
          <ns0:t>前景最近距离均值</ns0:t>
        </ns0:is>
      </ns0:c>
      <ns0:c r="B27" s="287">
        <ns0:v>0.01666529441739575</ns0:v>
      </ns0:c>
      <ns0:c r="C27" s="279" t="inlineStr">
        <ns0:is>
          <ns0:t>m</ns0:t>
        </ns0:is>
      </ns0:c>
      <ns0:c r="D27" s="278" t="n"/>
      <ns0:c r="E27" s="278" t="n"/>
      <ns0:c r="F27" s="278" t="n"/>
      <ns0:c r="G27" s="276" t="n"/>
      <ns0:c r="H27" s="278" t="n"/>
      <ns0:c r="I27" s="279" t="n"/>
      <ns0:c r="J27" s="279" t="n"/>
      <ns0:c r="K27" s="279" t="n"/>
      <ns0:c r="L27" s="277" t="n"/>
    </ns0:row>
    <ns0:row r="28"/>
    <ns0:row r="29" ht="26" customHeight="1" s="2">
      <ns0:c r="A29" s="236" t="inlineStr">
        <ns0:is>
          <ns0:t>E. 来源与口径</ns0:t>
        </ns0:is>
      </ns0:c>
    </ns0:row>
    <ns0:row r="30" ht="52" customHeight="1" s="2">
      <ns0:c r="A30" s="216" t="inlineStr">
        <ns0:is>
          <ns0:t>从空图在线处理完整400帧。本次仅补算已有地图指标，未重跑建图。make_edges=false，关系指标不适用，不填0。</ns0:t>
        </ns0:is>
      </ns0:c>
    </ns0:row>
    <ns0:row r="31" ht="52" customHeight="1" s="2">
      <ns0:c r="A31" s="216" t="inlineStr">
        <ns0:is>
          <ns0:t>本页采用固定SLAM支持集；完整GT网格结果见 OVI_MAP_统一指标对比.xlsx 的 office1统一指标。</ns0:t>
        </ns0:is>
      </ns0:c>
    </ns0:row>
    <ns0:row r="32" ht="72" customHeight="1" s="2">
      <ns0:c r="A32" s="216" t="inlineStr">
        <ns0:is>
          <ns0:t>历史语义来源：「语义8场景」第22/23行。main参考点3337612，ali-my参考点3599614；不一致者不填入比较。PQ暂无历史同口径对照。旧语义缩减混淆矩阵时删去19240个预测点，指标可能偏高。</ns0:t>
        </ns0:is>
      </ns0:c>
    </ns0:row>
    <ns0:row r="33" ht="72" customHeight="1" s="2">
      <ns0:c r="A33" s="216" t="inlineStr">
        <ns0:is>
          <ns0:t>semantic：/home/chenkejun/beauty/conceptgraphs/results/experiments/oracle_three_error_20260828/pilot/b0_dataset/Replica/office1/exps/v7_CLIP_auto_20260910_003918_2667263/point_semantic_ali_dev_nexclude6_20260910_050031_699643360/semseg_results.json</ns0:t>
        </ns0:is>
      </ns0:c>
    </ns0:row>
    <ns0:row r="34" ht="72" customHeight="1" s="2">
      <ns0:c r="A34" s="216" t="inlineStr">
        <ns0:is>
          <ns0:t>pq：/home/chenkejun/beauty/conceptgraphs/results/experiments/oracle_three_error_20260828/pilot/b0_dataset/Replica/office1/exps/v7_CLIP_auto_20260910_003918_2667263/instance_pq_fixed_support_20260910_050101_343615751/instance_pq.csv</ns0:t>
        </ns0:is>
      </ns0:c>
    </ns0:row>
    <ns0:row r="35" ht="72" customHeight="1" s="2">
      <ns0:c r="A35" s="216" t="inlineStr">
        <ns0:is>
          <ns0:t>coverage：/home/chenkejun/beauty/conceptgraphs/results/experiments/oracle_three_error_20260828/pilot/b0_dataset/Replica/office1/exps/v7_CLIP_auto_20260910_003918_2667263/geometry_coverage_fixed_support_20260910_050128_361560157/coverage.csv</ns0:t>
        </ns0:is>
      </ns0:c>
    </ns0:row>
    <ns0:row r="36" ht="72" customHeight="1" s="2">
      <ns0:c r="A36" s="216" t="inlineStr">
        <ns0:is>
          <ns0:t>common：/home/chenkejun/beauty/conceptgraphs/results/experiments/oracle_three_error_20260828/pilot/b0_dataset/Replica/office1/exps/v7_CLIP_auto_20260910_003918_2667263/ovimap_common_eval_20260910/result.json</ns0:t>
        </ns0:is>
      </ns0:c>
    </ns0:row>
    <ns0:row r="37"/>
    <ns0:row r="38" ht="26" customHeight="1" s="2">
      <ns0:c r="A38" s="236" t="inlineStr">
        <ns0:is>
          <ns0:t>逐类语义指标（当前实验）</ns0:t>
        </ns0:is>
      </ns0:c>
    </ns0:row>
    <ns0:row r="39" ht="44" customHeight="1" s="2">
      <ns0:c r="A39" s="223" t="inlineStr">
        <ns0:is>
          <ns0:t>类别</ns0:t>
        </ns0:is>
      </ns0:c>
      <ns0:c r="B39" s="223" t="inlineStr">
        <ns0:is>
          <ns0:t>IoU</ns0:t>
        </ns0:is>
      </ns0:c>
      <ns0:c r="C39" s="223" t="inlineStr">
        <ns0:is>
          <ns0:t>Precision</ns0:t>
        </ns0:is>
      </ns0:c>
      <ns0:c r="D39" s="223" t="inlineStr">
        <ns0:is>
          <ns0:t>Recall</ns0:t>
        </ns0:is>
      </ns0:c>
      <ns0:c r="E39" s="223" t="inlineStr">
        <ns0:is>
          <ns0:t>F1原公式</ns0:t>
        </ns0:is>
      </ns0:c>
      <ns0:c r="F39" s="223" t="inlineStr">
        <ns0:is>
          <ns0:t>F1标准公式</ns0:t>
        </ns0:is>
      </ns0:c>
      <ns0:c r="G39" s="223" t="n"/>
      <ns0:c r="H39" s="223" t="n"/>
      <ns0:c r="I39" s="223" t="n"/>
      <ns0:c r="J39" s="223" t="n"/>
      <ns0:c r="K39" s="223" t="n"/>
      <ns0:c r="L39" s="223" t="n"/>
    </ns0:row>
    <ns0:row r="40" ht="30" customHeight="1" s="2">
      <ns0:c r="A40" s="279" t="inlineStr">
        <ns0:is>
          <ns0:t>bin</ns0:t>
        </ns0:is>
      </ns0:c>
      <ns0:c r="B40" s="278">
        <ns0:v>0.7347029100431527</ns0:v>
      </ns0:c>
      <ns0:c r="C40" s="278">
        <ns0:v>0.7386669138778159</ns0:v>
      </ns0:c>
      <ns0:c r="D40" s="278">
        <ns0:v>0.9927487478507887</ns0:v>
      </ns0:c>
      <ns0:c r="E40" s="278">
        <ns0:v>0.8470648268237196</ns0:v>
      </ns0:c>
      <ns0:c r="F40" s="278">
        <ns0:v>0.8470648268237196</ns0:v>
      </ns0:c>
      <ns0:c r="G40" s="276" t="n"/>
      <ns0:c r="H40" s="278" t="n"/>
      <ns0:c r="I40" s="279" t="n"/>
      <ns0:c r="J40" s="279" t="n"/>
      <ns0:c r="K40" s="279" t="n"/>
      <ns0:c r="L40" s="277" t="n"/>
    </ns0:row>
    <ns0:row r="41" ht="30" customHeight="1" s="2">
      <ns0:c r="A41" s="279" t="inlineStr">
        <ns0:is>
          <ns0:t>blanket</ns0:t>
        </ns0:is>
      </ns0:c>
      <ns0:c r="B41" s="278">
        <ns0:v>0</ns0:v>
      </ns0:c>
      <ns0:c r="C41" s="278">
        <ns0:v>0</ns0:v>
      </ns0:c>
      <ns0:c r="D41" s="278">
        <ns0:v>0</ns0:v>
      </ns0:c>
      <ns0:c r="E41" s="278">
        <ns0:v>0</ns0:v>
      </ns0:c>
      <ns0:c r="F41" s="278">
        <ns0:v>0</ns0:v>
      </ns0:c>
      <ns0:c r="G41" s="276" t="n"/>
      <ns0:c r="H41" s="278" t="n"/>
      <ns0:c r="I41" s="279" t="n"/>
      <ns0:c r="J41" s="279" t="n"/>
      <ns0:c r="K41" s="279" t="n"/>
      <ns0:c r="L41" s="277" t="n"/>
    </ns0:row>
    <ns0:row r="42" ht="30" customHeight="1" s="2">
      <ns0:c r="A42" s="279" t="inlineStr">
        <ns0:is>
          <ns0:t>blinds</ns0:t>
        </ns0:is>
      </ns0:c>
      <ns0:c r="B42" s="278">
        <ns0:v>0</ns0:v>
      </ns0:c>
      <ns0:c r="C42" s="278">
        <ns0:v>0</ns0:v>
      </ns0:c>
      <ns0:c r="D42" s="278">
        <ns0:v>0</ns0:v>
      </ns0:c>
      <ns0:c r="E42" s="278">
        <ns0:v>0</ns0:v>
      </ns0:c>
      <ns0:c r="F42" s="278">
        <ns0:v>0</ns0:v>
      </ns0:c>
      <ns0:c r="G42" s="276" t="n"/>
      <ns0:c r="H42" s="278" t="n"/>
      <ns0:c r="I42" s="279" t="n"/>
      <ns0:c r="J42" s="279" t="n"/>
      <ns0:c r="K42" s="279" t="n"/>
      <ns0:c r="L42" s="277" t="n"/>
    </ns0:row>
    <ns0:row r="43" ht="30" customHeight="1" s="2">
      <ns0:c r="A43" s="279" t="inlineStr">
        <ns0:is>
          <ns0:t>bottle</ns0:t>
        </ns0:is>
      </ns0:c>
      <ns0:c r="B43" s="278">
        <ns0:v>0</ns0:v>
      </ns0:c>
      <ns0:c r="C43" s="278">
        <ns0:v>0</ns0:v>
      </ns0:c>
      <ns0:c r="D43" s="278">
        <ns0:v>0</ns0:v>
      </ns0:c>
      <ns0:c r="E43" s="278">
        <ns0:v>0</ns0:v>
      </ns0:c>
      <ns0:c r="F43" s="278">
        <ns0:v>0</ns0:v>
      </ns0:c>
      <ns0:c r="G43" s="276" t="n"/>
      <ns0:c r="H43" s="278" t="n"/>
      <ns0:c r="I43" s="279" t="n"/>
      <ns0:c r="J43" s="279" t="n"/>
      <ns0:c r="K43" s="279" t="n"/>
      <ns0:c r="L43" s="277" t="n"/>
    </ns0:row>
    <ns0:row r="44" ht="30" customHeight="1" s="2">
      <ns0:c r="A44" s="279" t="inlineStr">
        <ns0:is>
          <ns0:t>chair</ns0:t>
        </ns0:is>
      </ns0:c>
      <ns0:c r="B44" s="278">
        <ns0:v>0</ns0:v>
      </ns0:c>
      <ns0:c r="C44" s="278">
        <ns0:v>0</ns0:v>
      </ns0:c>
      <ns0:c r="D44" s="278">
        <ns0:v>0</ns0:v>
      </ns0:c>
      <ns0:c r="E44" s="278">
        <ns0:v>0</ns0:v>
      </ns0:c>
      <ns0:c r="F44" s="278">
        <ns0:v>0</ns0:v>
      </ns0:c>
      <ns0:c r="G44" s="276" t="n"/>
      <ns0:c r="H44" s="278" t="n"/>
      <ns0:c r="I44" s="279" t="n"/>
      <ns0:c r="J44" s="279" t="n"/>
      <ns0:c r="K44" s="279" t="n"/>
      <ns0:c r="L44" s="277" t="n"/>
    </ns0:row>
    <ns0:row r="45" ht="30" customHeight="1" s="2">
      <ns0:c r="A45" s="279" t="inlineStr">
        <ns0:is>
          <ns0:t>cloth</ns0:t>
        </ns0:is>
      </ns0:c>
      <ns0:c r="B45" s="278">
        <ns0:v>0.8981640470215295</ns0:v>
      </ns0:c>
      <ns0:c r="C45" s="278">
        <ns0:v>1</ns0:v>
      </ns0:c>
      <ns0:c r="D45" s="278">
        <ns0:v>0.8981640470215295</ns0:v>
      </ns0:c>
      <ns0:c r="E45" s="278">
        <ns0:v>0.9463502887760072</ns0:v>
      </ns0:c>
      <ns0:c r="F45" s="278">
        <ns0:v>0.9463502887760072</ns0:v>
      </ns0:c>
      <ns0:c r="G45" s="276" t="n"/>
      <ns0:c r="H45" s="278" t="n"/>
      <ns0:c r="I45" s="279" t="n"/>
      <ns0:c r="J45" s="279" t="n"/>
      <ns0:c r="K45" s="279" t="n"/>
      <ns0:c r="L45" s="277" t="n"/>
    </ns0:row>
    <ns0:row r="46" ht="30" customHeight="1" s="2">
      <ns0:c r="A46" s="279" t="inlineStr">
        <ns0:is>
          <ns0:t>desk</ns0:t>
        </ns0:is>
      </ns0:c>
      <ns0:c r="B46" s="278">
        <ns0:v>0</ns0:v>
      </ns0:c>
      <ns0:c r="C46" s="278">
        <ns0:v>0</ns0:v>
      </ns0:c>
      <ns0:c r="D46" s="278">
        <ns0:v>0</ns0:v>
      </ns0:c>
      <ns0:c r="E46" s="278">
        <ns0:v>0</ns0:v>
      </ns0:c>
      <ns0:c r="F46" s="278">
        <ns0:v>0</ns0:v>
      </ns0:c>
      <ns0:c r="G46" s="276" t="n"/>
      <ns0:c r="H46" s="278" t="n"/>
      <ns0:c r="I46" s="279" t="n"/>
      <ns0:c r="J46" s="279" t="n"/>
      <ns0:c r="K46" s="279" t="n"/>
      <ns0:c r="L46" s="277" t="n"/>
    </ns0:row>
    <ns0:row r="47" ht="30" customHeight="1" s="2">
      <ns0:c r="A47" s="279" t="inlineStr">
        <ns0:is>
          <ns0:t>desk-organizer</ns0:t>
        </ns0:is>
      </ns0:c>
      <ns0:c r="B47" s="278">
        <ns0:v>0</ns0:v>
      </ns0:c>
      <ns0:c r="C47" s="278">
        <ns0:v>0</ns0:v>
      </ns0:c>
      <ns0:c r="D47" s="278">
        <ns0:v>0</ns0:v>
      </ns0:c>
      <ns0:c r="E47" s="278">
        <ns0:v>0</ns0:v>
      </ns0:c>
      <ns0:c r="F47" s="278">
        <ns0:v>0</ns0:v>
      </ns0:c>
      <ns0:c r="G47" s="276" t="n"/>
      <ns0:c r="H47" s="278" t="n"/>
      <ns0:c r="I47" s="279" t="n"/>
      <ns0:c r="J47" s="279" t="n"/>
      <ns0:c r="K47" s="279" t="n"/>
      <ns0:c r="L47" s="277" t="n"/>
    </ns0:row>
    <ns0:row r="48" ht="30" customHeight="1" s="2">
      <ns0:c r="A48" s="279" t="inlineStr">
        <ns0:is>
          <ns0:t>lamp</ns0:t>
        </ns0:is>
      </ns0:c>
      <ns0:c r="B48" s="278">
        <ns0:v>0</ns0:v>
      </ns0:c>
      <ns0:c r="C48" s="278">
        <ns0:v>0</ns0:v>
      </ns0:c>
      <ns0:c r="D48" s="278">
        <ns0:v>0</ns0:v>
      </ns0:c>
      <ns0:c r="E48" s="278">
        <ns0:v>0</ns0:v>
      </ns0:c>
      <ns0:c r="F48" s="278">
        <ns0:v>0</ns0:v>
      </ns0:c>
      <ns0:c r="G48" s="276" t="n"/>
      <ns0:c r="H48" s="278" t="n"/>
      <ns0:c r="I48" s="279" t="n"/>
      <ns0:c r="J48" s="279" t="n"/>
      <ns0:c r="K48" s="279" t="n"/>
      <ns0:c r="L48" s="277" t="n"/>
    </ns0:row>
    <ns0:row r="49" ht="30" customHeight="1" s="2">
      <ns0:c r="A49" s="279" t="inlineStr">
        <ns0:is>
          <ns0:t>monitor</ns0:t>
        </ns0:is>
      </ns0:c>
      <ns0:c r="B49" s="278">
        <ns0:v>0.08265485809983501</ns0:v>
      </ns0:c>
      <ns0:c r="C49" s="278">
        <ns0:v>0.08265485809983501</ns0:v>
      </ns0:c>
      <ns0:c r="D49" s="278">
        <ns0:v>1</ns0:v>
      </ns0:c>
      <ns0:c r="E49" s="278">
        <ns0:v>0.1526892111210813</ns0:v>
      </ns0:c>
      <ns0:c r="F49" s="278">
        <ns0:v>0.1526892111210813</ns0:v>
      </ns0:c>
      <ns0:c r="G49" s="276" t="n"/>
      <ns0:c r="H49" s="278" t="n"/>
      <ns0:c r="I49" s="279" t="n"/>
      <ns0:c r="J49" s="279" t="n"/>
      <ns0:c r="K49" s="279" t="n"/>
      <ns0:c r="L49" s="277" t="n"/>
    </ns0:row>
    <ns0:row r="50" ht="30" customHeight="1" s="2">
      <ns0:c r="A50" s="279" t="inlineStr">
        <ns0:is>
          <ns0:t>panel</ns0:t>
        </ns0:is>
      </ns0:c>
      <ns0:c r="B50" s="278">
        <ns0:v>0</ns0:v>
      </ns0:c>
      <ns0:c r="C50" s="278">
        <ns0:v>0</ns0:v>
      </ns0:c>
      <ns0:c r="D50" s="278">
        <ns0:v>0</ns0:v>
      </ns0:c>
      <ns0:c r="E50" s="278">
        <ns0:v>0</ns0:v>
      </ns0:c>
      <ns0:c r="F50" s="278">
        <ns0:v>0</ns0:v>
      </ns0:c>
      <ns0:c r="G50" s="276" t="n"/>
      <ns0:c r="H50" s="278" t="n"/>
      <ns0:c r="I50" s="279" t="n"/>
      <ns0:c r="J50" s="279" t="n"/>
      <ns0:c r="K50" s="279" t="n"/>
      <ns0:c r="L50" s="277" t="n"/>
    </ns0:row>
    <ns0:row r="51" ht="30" customHeight="1" s="2">
      <ns0:c r="A51" s="279" t="inlineStr">
        <ns0:is>
          <ns0:t>pillar</ns0:t>
        </ns0:is>
      </ns0:c>
      <ns0:c r="B51" s="278">
        <ns0:v>0</ns0:v>
      </ns0:c>
      <ns0:c r="C51" s="278">
        <ns0:v>0</ns0:v>
      </ns0:c>
      <ns0:c r="D51" s="278">
        <ns0:v>0</ns0:v>
      </ns0:c>
      <ns0:c r="E51" s="278">
        <ns0:v>0</ns0:v>
      </ns0:c>
      <ns0:c r="F51" s="278">
        <ns0:v>0</ns0:v>
      </ns0:c>
      <ns0:c r="G51" s="276" t="n"/>
      <ns0:c r="H51" s="278" t="n"/>
      <ns0:c r="I51" s="279" t="n"/>
      <ns0:c r="J51" s="279" t="n"/>
      <ns0:c r="K51" s="279" t="n"/>
      <ns0:c r="L51" s="277" t="n"/>
    </ns0:row>
    <ns0:row r="52" ht="30" customHeight="1" s="2">
      <ns0:c r="A52" s="279" t="inlineStr">
        <ns0:is>
          <ns0:t>pillow</ns0:t>
        </ns0:is>
      </ns0:c>
      <ns0:c r="B52" s="278">
        <ns0:v>0.5496754909151295</ns0:v>
      </ns0:c>
      <ns0:c r="C52" s="278">
        <ns0:v>0.5505459207539978</ns0:v>
      </ns0:c>
      <ns0:c r="D52" s="278">
        <ns0:v>0.9971319515657536</ns0:v>
      </ns0:c>
      <ns0:c r="E52" s="278">
        <ns0:v>0.7094072199470997</ns0:v>
      </ns0:c>
      <ns0:c r="F52" s="278">
        <ns0:v>0.7094072199470997</ns0:v>
      </ns0:c>
      <ns0:c r="G52" s="276" t="n"/>
      <ns0:c r="H52" s="278" t="n"/>
      <ns0:c r="I52" s="279" t="n"/>
      <ns0:c r="J52" s="279" t="n"/>
      <ns0:c r="K52" s="279" t="n"/>
      <ns0:c r="L52" s="277" t="n"/>
    </ns0:row>
    <ns0:row r="53" ht="30" customHeight="1" s="2">
      <ns0:c r="A53" s="279" t="inlineStr">
        <ns0:is>
          <ns0:t>switch</ns0:t>
        </ns0:is>
      </ns0:c>
      <ns0:c r="B53" s="278">
        <ns0:v>0.5490699166132136</ns0:v>
      </ns0:c>
      <ns0:c r="C53" s="278">
        <ns0:v>0.5490699166132136</ns0:v>
      </ns0:c>
      <ns0:c r="D53" s="278">
        <ns0:v>1</ns0:v>
      </ns0:c>
      <ns0:c r="E53" s="278">
        <ns0:v>0.7089026915113872</ns0:v>
      </ns0:c>
      <ns0:c r="F53" s="278">
        <ns0:v>0.7089026915113872</ns0:v>
      </ns0:c>
      <ns0:c r="G53" s="276" t="n"/>
      <ns0:c r="H53" s="278" t="n"/>
      <ns0:c r="I53" s="279" t="n"/>
      <ns0:c r="J53" s="279" t="n"/>
      <ns0:c r="K53" s="279" t="n"/>
      <ns0:c r="L53" s="277" t="n"/>
    </ns0:row>
    <ns0:row r="54" ht="30" customHeight="1" s="2">
      <ns0:c r="A54" s="279" t="inlineStr">
        <ns0:is>
          <ns0:t>table</ns0:t>
        </ns0:is>
      </ns0:c>
      <ns0:c r="B54" s="278">
        <ns0:v>0</ns0:v>
      </ns0:c>
      <ns0:c r="C54" s="278">
        <ns0:v>0</ns0:v>
      </ns0:c>
      <ns0:c r="D54" s="278">
        <ns0:v>0</ns0:v>
      </ns0:c>
      <ns0:c r="E54" s="278">
        <ns0:v>0</ns0:v>
      </ns0:c>
      <ns0:c r="F54" s="278">
        <ns0:v>0</ns0:v>
      </ns0:c>
      <ns0:c r="G54" s="276" t="n"/>
      <ns0:c r="H54" s="278" t="n"/>
      <ns0:c r="I54" s="279" t="n"/>
      <ns0:c r="J54" s="279" t="n"/>
      <ns0:c r="K54" s="279" t="n"/>
      <ns0:c r="L54" s="277" t="n"/>
    </ns0:row>
    <ns0:row r="55" ht="30" customHeight="1" s="2">
      <ns0:c r="A55" s="279" t="inlineStr">
        <ns0:is>
          <ns0:t>tissue-paper</ns0:t>
        </ns0:is>
      </ns0:c>
      <ns0:c r="B55" s="278">
        <ns0:v>0</ns0:v>
      </ns0:c>
      <ns0:c r="C55" s="278">
        <ns0:v>0</ns0:v>
      </ns0:c>
      <ns0:c r="D55" s="278">
        <ns0:v>0</ns0:v>
      </ns0:c>
      <ns0:c r="E55" s="278">
        <ns0:v>0</ns0:v>
      </ns0:c>
      <ns0:c r="F55" s="278">
        <ns0:v>0</ns0:v>
      </ns0:c>
      <ns0:c r="G55" s="276" t="n"/>
      <ns0:c r="H55" s="278" t="n"/>
      <ns0:c r="I55" s="279" t="n"/>
      <ns0:c r="J55" s="279" t="n"/>
      <ns0:c r="K55" s="279" t="n"/>
      <ns0:c r="L55" s="277" t="n"/>
    </ns0:row>
    <ns0:row r="56" ht="30" customHeight="1" s="2">
      <ns0:c r="A56" s="279" t="inlineStr">
        <ns0:is>
          <ns0:t>wall-plug</ns0:t>
        </ns0:is>
      </ns0:c>
      <ns0:c r="B56" s="278">
        <ns0:v>0</ns0:v>
      </ns0:c>
      <ns0:c r="C56" s="278">
        <ns0:v>0</ns0:v>
      </ns0:c>
      <ns0:c r="D56" s="278">
        <ns0:v>0</ns0:v>
      </ns0:c>
      <ns0:c r="E56" s="278">
        <ns0:v>0</ns0:v>
      </ns0:c>
      <ns0:c r="F56" s="278">
        <ns0:v>0</ns0:v>
      </ns0:c>
      <ns0:c r="G56" s="276" t="n"/>
      <ns0:c r="H56" s="278" t="n"/>
      <ns0:c r="I56" s="279" t="n"/>
      <ns0:c r="J56" s="279" t="n"/>
      <ns0:c r="K56" s="279" t="n"/>
      <ns0:c r="L56" s="277" t="n"/>
    </ns0:row>
  </ns0:sheetData>
  <ns0:mergeCells count="15">
    <ns0:mergeCell ref="A30:L30"/>
    <ns0:mergeCell ref="A2:L2"/>
    <ns0:mergeCell ref="A38:L38"/>
    <ns0:mergeCell ref="A29:L29"/>
    <ns0:mergeCell ref="A10:L10"/>
    <ns0:mergeCell ref="A33:L33"/>
    <ns0:mergeCell ref="A1:L1"/>
    <ns0:mergeCell ref="A32:L32"/>
    <ns0:mergeCell ref="A36:L36"/>
    <ns0:mergeCell ref="A14:L14"/>
    <ns0:mergeCell ref="A31:L31"/>
    <ns0:mergeCell ref="A18:L18"/>
    <ns0:mergeCell ref="A34:L34"/>
    <ns0:mergeCell ref="A35:L35"/>
    <ns0:mergeCell ref="A4:L4"/>
  </ns0:mergeCells>
  <ns0:pageMargins left="0.7" right="0.7" top="0.75" bottom="0.75" header="0.3" footer="0.3"/>
</ns0:worksheet>
</file>

<file path=xl/worksheets/sheet23.xml><?xml version="1.0" encoding="utf-8"?>
<ns0:worksheet xmlns:ns0="http://schemas.openxmlformats.org/spreadsheetml/2006/main">
  <ns0:sheetPr>
    <ns0:outlinePr summaryBelow="1" summaryRight="1"/>
    <ns0:pageSetUpPr/>
  </ns0:sheetPr>
  <ns0:dimension ref="A1:L60"/>
  <ns0:sheetViews>
    <ns0:sheetView showGridLines="0" workbookViewId="0">
      <ns0:pane xSplit="2" ySplit="5" topLeftCell="C6" activePane="bottomRight" state="frozen"/>
      <ns0:selection activeCell="A1" sqref="A1"/>
    </ns0:sheetView>
  </ns0:sheetViews>
  <ns0:sheetFormatPr baseColWidth="8" defaultRowHeight="15"/>
  <ns0:cols>
    <ns0:col width="24" customWidth="1" style="2" min="1" max="1"/>
    <ns0:col width="20" customWidth="1" style="2" min="2" max="2"/>
    <ns0:col width="13" customWidth="1" style="2" min="3" max="3"/>
    <ns0:col width="14" customWidth="1" style="2" min="4" max="4"/>
    <ns0:col width="14" customWidth="1" style="2" min="5" max="5"/>
    <ns0:col width="14" customWidth="1" style="2" min="6" max="6"/>
    <ns0:col width="13" customWidth="1" style="2" min="7" max="7"/>
    <ns0:col width="16" customWidth="1" style="2" min="8" max="8"/>
    <ns0:col width="15" customWidth="1" style="2" min="9" max="9"/>
    <ns0:col width="15" customWidth="1" style="2" min="10" max="10"/>
    <ns0:col width="15" customWidth="1" style="2" min="11" max="11"/>
    <ns0:col width="15" customWidth="1" style="2" min="12" max="12"/>
  </ns0:cols>
  <ns0:sheetData>
    <ns0:row r="1" ht="36" customHeight="1" s="2">
      <ns0:c r="A1" s="237" t="inlineStr">
        <ns0:is>
          <ns0:t>office3：点级语义、实例PQ和几何覆盖率</ns0:t>
        </ns0:is>
      </ns0:c>
    </ns0:row>
    <ns0:row r="2" ht="52" customHeight="1" s="2">
      <ns0:c r="A2" s="216" t="inlineStr">
        <ns0:is>
          <ns0:t>400帧，stride5；21类；2792153语义有效计分点；几何固定参考点2792153。黄色仅比较相同评测类别数和参考点数的已有结果。</ns0:t>
        </ns0:is>
      </ns0:c>
    </ns0:row>
    <ns0:row r="3"/>
    <ns0:row r="4" ht="26" customHeight="1" s="2">
      <ns0:c r="A4" s="236" t="inlineStr">
        <ns0:is>
          <ns0:t>A. 点级语义指标</ns0:t>
        </ns0:is>
      </ns0:c>
    </ns0:row>
    <ns0:row r="5" ht="44" customHeight="1" s="2">
      <ns0:c r="A5" s="223" t="inlineStr">
        <ns0:is>
          <ns0:t>实验目录</ns0:t>
        </ns0:is>
      </ns0:c>
      <ns0:c r="B5" s="223" t="inlineStr">
        <ns0:is>
          <ns0:t>模式 / stride</ns0:t>
        </ns0:is>
      </ns0:c>
      <ns0:c r="C5" s="223" t="inlineStr">
        <ns0:is>
          <ns0:t>mIoU</ns0:t>
        </ns0:is>
      </ns0:c>
      <ns0:c r="D5" s="223" t="inlineStr">
        <ns0:is>
          <ns0:t>mRecall / mAcc</ns0:t>
        </ns0:is>
      </ns0:c>
      <ns0:c r="E5" s="223" t="inlineStr">
        <ns0:is>
          <ns0:t>mPrecision</ns0:t>
        </ns0:is>
      </ns0:c>
      <ns0:c r="F5" s="223" t="inlineStr">
        <ns0:is>
          <ns0:t>mF1（原公式）</ns0:t>
        </ns0:is>
      </ns0:c>
      <ns0:c r="G5" s="223" t="inlineStr">
        <ns0:is>
          <ns0:t>fwIoU</ns0:t>
        </ns0:is>
      </ns0:c>
      <ns0:c r="H5" s="223" t="inlineStr">
        <ns0:is>
          <ns0:t>Point Accuracy</ns0:t>
        </ns0:is>
      </ns0:c>
      <ns0:c r="I5" s="223" t="inlineStr">
        <ns0:is>
          <ns0:t>IoU&gt;0.15类数</ns0:t>
        </ns0:is>
      </ns0:c>
      <ns0:c r="J5" s="223" t="inlineStr">
        <ns0:is>
          <ns0:t>IoU&gt;0.25类数</ns0:t>
        </ns0:is>
      </ns0:c>
      <ns0:c r="K5" s="223" t="inlineStr">
        <ns0:is>
          <ns0:t>IoU&gt;0.50类数</ns0:t>
        </ns0:is>
      </ns0:c>
      <ns0:c r="L5" s="223" t="inlineStr">
        <ns0:is>
          <ns0:t>IoU&gt;0.75类数</ns0:t>
        </ns0:is>
      </ns0:c>
    </ns0:row>
    <ns0:row r="6" ht="66" customHeight="1" s="2">
      <ns0:c r="A6" s="279" t="inlineStr">
        <ns0:is>
          <ns0:t>v7_CLIP_auto_20260910_013704_3671961</ns0:t>
        </ns0:is>
      </ns0:c>
      <ns0:c r="B6" s="279" t="inlineStr">
        <ns0:is>
          <ns0:t>VLM（CLIP auto）/ 5</ns0:t>
        </ns0:is>
      </ns0:c>
      <ns0:c r="C6" s="276">
        <ns0:v>0.18391744381816308</ns0:v>
      </ns0:c>
      <ns0:c r="D6" s="306">
        <ns0:v>0.38400872741306324</ns0:v>
      </ns0:c>
      <ns0:c r="E6" s="278">
        <ns0:v>0.23232212205465383</ns0:v>
      </ns0:c>
      <ns0:c r="F6" s="276">
        <ns0:v>0.21404178506606444</ns0:v>
      </ns0:c>
      <ns0:c r="G6" s="306">
        <ns0:v>0.45597493294265207</ns0:v>
      </ns0:c>
      <ns0:c r="H6" s="306">
        <ns0:v>0.5434967209891435</ns0:v>
      </ns0:c>
      <ns0:c r="I6" s="277">
        <ns0:v>5</ns0:v>
      </ns0:c>
      <ns0:c r="J6" s="277">
        <ns0:v>5</ns0:v>
      </ns0:c>
      <ns0:c r="K6" s="277">
        <ns0:v>4</ns0:v>
      </ns0:c>
      <ns0:c r="L6" s="277">
        <ns0:v>3</ns0:v>
      </ns0:c>
    </ns0:row>
    <ns0:row r="7" ht="70" customHeight="1" s="2">
      <ns0:c r="A7" s="279" t="inlineStr">
        <ns0:is>
          <ns0:t>main（历史）</ns0:t>
        </ns0:is>
      </ns0:c>
      <ns0:c r="B7" s="279" t="inlineStr">
        <ns0:is>
          <ns0:t>main / 5</ns0:t>
        </ns0:is>
      </ns0:c>
      <ns0:c r="C7" s="278">
        <ns0:v>0.2170651017</ns0:v>
      </ns0:c>
      <ns0:c r="D7" s="278">
        <ns0:v>0.3584372412</ns0:v>
      </ns0:c>
      <ns0:c r="E7" s="276">
        <ns0:v>0.2613259746</ns0:v>
      </ns0:c>
      <ns0:c r="F7" s="278">
        <ns0:v>0.2513868454</ns0:v>
      </ns0:c>
      <ns0:c r="G7" s="276">
        <ns0:v>0.3603587926</ns0:v>
      </ns0:c>
      <ns0:c r="H7" s="278">
        <ns0:v>0.4363632652</ns0:v>
      </ns0:c>
      <ns0:c r="I7" s="305">
        <ns0:v>7</ns0:v>
      </ns0:c>
      <ns0:c r="J7" s="277">
        <ns0:v>5</ns0:v>
      </ns0:c>
      <ns0:c r="K7" s="305">
        <ns0:v>5</ns0:v>
      </ns0:c>
      <ns0:c r="L7" s="277">
        <ns0:v>3</ns0:v>
      </ns0:c>
    </ns0:row>
    <ns0:row r="8" ht="70" customHeight="1" s="2">
      <ns0:c r="A8" s="279" t="inlineStr">
        <ns0:is>
          <ns0:t>ali-my（历史）</ns0:t>
        </ns0:is>
      </ns0:c>
      <ns0:c r="B8" s="279" t="inlineStr">
        <ns0:is>
          <ns0:t>ali-my / 5</ns0:t>
        </ns0:is>
      </ns0:c>
      <ns0:c r="C8" s="306">
        <ns0:v>0.2342936323</ns0:v>
      </ns0:c>
      <ns0:c r="D8" s="278">
        <ns0:v>0.3578286996</ns0:v>
      </ns0:c>
      <ns0:c r="E8" s="306">
        <ns0:v>0.3391040579</ns0:v>
      </ns0:c>
      <ns0:c r="F8" s="306">
        <ns0:v>0.2699308008</ns0:v>
      </ns0:c>
      <ns0:c r="G8" s="276">
        <ns0:v>0.383625846</ns0:v>
      </ns0:c>
      <ns0:c r="H8" s="276">
        <ns0:v>0.4541194555</ns0:v>
      </ns0:c>
      <ns0:c r="I8" s="305">
        <ns0:v>7</ns0:v>
      </ns0:c>
      <ns0:c r="J8" s="305">
        <ns0:v>6</ns0:v>
      </ns0:c>
      <ns0:c r="K8" s="305">
        <ns0:v>5</ns0:v>
      </ns0:c>
      <ns0:c r="L8" s="305">
        <ns0:v>5</ns0:v>
      </ns0:c>
    </ns0:row>
    <ns0:row r="9"/>
    <ns0:row r="10" ht="26" customHeight="1" s="2">
      <ns0:c r="A10" s="236" t="inlineStr">
        <ns0:is>
          <ns0:t>B. 实例PQ与几何覆盖率（fixed-support）</ns0:t>
        </ns0:is>
      </ns0:c>
    </ns0:row>
    <ns0:row r="11" ht="44" customHeight="1" s="2">
      <ns0:c r="A11" s="223" t="inlineStr">
        <ns0:is>
          <ns0:t>实验目录</ns0:t>
        </ns0:is>
      </ns0:c>
      <ns0:c r="B11" s="223" t="inlineStr">
        <ns0:is>
          <ns0:t>PQ</ns0:t>
        </ns0:is>
      </ns0:c>
      <ns0:c r="C11" s="223" t="inlineStr">
        <ns0:is>
          <ns0:t>RQ</ns0:t>
        </ns0:is>
      </ns0:c>
      <ns0:c r="D11" s="223" t="inlineStr">
        <ns0:is>
          <ns0:t>SQ</ns0:t>
        </ns0:is>
      </ns0:c>
      <ns0:c r="E11" s="223" t="inlineStr">
        <ns0:is>
          <ns0:t>TP</ns0:t>
        </ns0:is>
      </ns0:c>
      <ns0:c r="F11" s="223" t="inlineStr">
        <ns0:is>
          <ns0:t>FP</ns0:t>
        </ns0:is>
      </ns0:c>
      <ns0:c r="G11" s="223" t="inlineStr">
        <ns0:is>
          <ns0:t>FN</ns0:t>
        </ns0:is>
      </ns0:c>
      <ns0:c r="H11" s="223" t="inlineStr">
        <ns0:is>
          <ns0:t>GT实例数</ns0:t>
        </ns0:is>
      </ns0:c>
      <ns0:c r="I11" s="223" t="inlineStr">
        <ns0:is>
          <ns0:t>预测实例数</ns0:t>
        </ns0:is>
      </ns0:c>
      <ns0:c r="J11" s="223" t="inlineStr">
        <ns0:is>
          <ns0:t>覆盖率2.5cm</ns0:t>
        </ns0:is>
      </ns0:c>
      <ns0:c r="K11" s="223" t="inlineStr">
        <ns0:is>
          <ns0:t>覆盖率5cm</ns0:t>
        </ns0:is>
      </ns0:c>
      <ns0:c r="L11" s="223" t="inlineStr">
        <ns0:is>
          <ns0:t>覆盖率10cm</ns0:t>
        </ns0:is>
      </ns0:c>
    </ns0:row>
    <ns0:row r="12" ht="66" customHeight="1" s="2">
      <ns0:c r="A12" s="226" t="inlineStr">
        <ns0:is>
          <ns0:t>v7_CLIP_auto_20260910_013704_3671961</ns0:t>
        </ns0:is>
      </ns0:c>
      <ns0:c r="B12" s="276">
        <ns0:v>0.536038861450796</ns0:v>
      </ns0:c>
      <ns0:c r="C12" s="239">
        <ns0:v>0.6153846153846154</ns0:v>
      </ns0:c>
      <ns0:c r="D12" s="276">
        <ns0:v>0.8710631498575435</ns0:v>
      </ns0:c>
      <ns0:c r="E12" s="226">
        <ns0:v>36</ns0:v>
      </ns0:c>
      <ns0:c r="F12" s="277">
        <ns0:v>9</ns0:v>
      </ns0:c>
      <ns0:c r="G12" s="226">
        <ns0:v>36</ns0:v>
      </ns0:c>
      <ns0:c r="H12" s="226">
        <ns0:v>72</ns0:v>
      </ns0:c>
      <ns0:c r="I12" s="226">
        <ns0:v>66</ns0:v>
      </ns0:c>
      <ns0:c r="J12" s="276">
        <ns0:v>0.9668685777606026</ns0:v>
      </ns0:c>
      <ns0:c r="K12" s="276">
        <ns0:v>0.9716412388576128</ns0:v>
      </ns0:c>
      <ns0:c r="L12" s="276">
        <ns0:v>0.9771857057976407</ns0:v>
      </ns0:c>
    </ns0:row>
    <ns0:row r="13"/>
    <ns0:row r="14" ht="26" customHeight="1" s="2">
      <ns0:c r="A14" s="236" t="inlineStr">
        <ns0:is>
          <ns0:t>C. 完成状态与诊断</ns0:t>
        </ns0:is>
      </ns0:c>
    </ns0:row>
    <ns0:row r="15" ht="44" customHeight="1" s="2">
      <ns0:c r="A15" s="223" t="inlineStr">
        <ns0:is>
          <ns0:t>实验目录</ns0:t>
        </ns0:is>
      </ns0:c>
      <ns0:c r="B15" s="223" t="inlineStr">
        <ns0:is>
          <ns0:t>状态</ns0:t>
        </ns0:is>
      </ns0:c>
      <ns0:c r="C15" s="223" t="inlineStr">
        <ns0:is>
          <ns0:t>帧数</ns0:t>
        </ns0:is>
      </ns0:c>
      <ns0:c r="D15" s="223" t="inlineStr">
        <ns0:is>
          <ns0:t>对象数</ns0:t>
        </ns0:is>
      </ns0:c>
      <ns0:c r="E15" s="223" t="inlineStr">
        <ns0:is>
          <ns0:t>对象点数</ns0:t>
        </ns0:is>
      </ns0:c>
      <ns0:c r="F15" s="223" t="inlineStr">
        <ns0:is>
          <ns0:t>语义评测总秒</ns0:t>
        </ns0:is>
      </ns0:c>
      <ns0:c r="G15" s="223" t="inlineStr">
        <ns0:is>
          <ns0:t>场景计算秒</ns0:t>
        </ns0:is>
      </ns0:c>
      <ns0:c r="H15" s="223" t="inlineStr">
        <ns0:is>
          <ns0:t>零IoU类数</ns0:t>
        </ns0:is>
      </ns0:c>
      <ns0:c r="I15" s="223" t="inlineStr">
        <ns0:is>
          <ns0:t>评测类别数</ns0:t>
        </ns0:is>
      </ns0:c>
      <ns0:c r="J15" s="223" t="inlineStr">
        <ns0:is>
          <ns0:t>语义计分点数</ns0:t>
        </ns0:is>
      </ns0:c>
      <ns0:c r="K15" s="223" t="inlineStr">
        <ns0:is>
          <ns0:t>说明</ns0:t>
        </ns0:is>
      </ns0:c>
      <ns0:c r="L15" s="223" t="n"/>
    </ns0:row>
    <ns0:row r="16" ht="66" customHeight="1" s="2">
      <ns0:c r="A16" s="226" t="inlineStr">
        <ns0:is>
          <ns0:t>v7_CLIP_auto_20260910_013704_3671961</ns0:t>
        </ns0:is>
      </ns0:c>
      <ns0:c r="B16" s="226" t="inlineStr">
        <ns0:is>
          <ns0:t>完成</ns0:t>
        </ns0:is>
      </ns0:c>
      <ns0:c r="C16" s="226">
        <ns0:v>400</ns0:v>
      </ns0:c>
      <ns0:c r="D16" s="226">
        <ns0:v>66</ns0:v>
      </ns0:c>
      <ns0:c r="E16" s="226">
        <ns0:v>879250</ns0:v>
      </ns0:c>
      <ns0:c r="F16" s="226">
        <ns0:v>39.081</ns0:v>
      </ns0:c>
      <ns0:c r="G16" s="226">
        <ns0:v>27.032</ns0:v>
      </ns0:c>
      <ns0:c r="H16" s="226">
        <ns0:v>11</ns0:v>
      </ns0:c>
      <ns0:c r="I16" s="226">
        <ns0:v>21</ns0:v>
      </ns0:c>
      <ns0:c r="J16" s="226">
        <ns0:v>2792153</ns0:v>
      </ns0:c>
      <ns0:c r="K16" s="226" t="inlineStr">
        <ns0:is>
          <ns0:t>地图哈希、完成状态及审计核验通过</ns0:t>
        </ns0:is>
      </ns0:c>
      <ns0:c r="L16" s="226" t="n"/>
    </ns0:row>
    <ns0:row r="17"/>
    <ns0:row r="18" ht="26" customHeight="1" s="2">
      <ns0:c r="A18" s="236" t="inlineStr">
        <ns0:is>
          <ns0:t>D. 补充指标与计时</ns0:t>
        </ns0:is>
      </ns0:c>
    </ns0:row>
    <ns0:row r="19" ht="44" customHeight="1" s="2">
      <ns0:c r="A19" s="223" t="inlineStr">
        <ns0:is>
          <ns0:t>指标</ns0:t>
        </ns0:is>
      </ns0:c>
      <ns0:c r="B19" s="223" t="inlineStr">
        <ns0:is>
          <ns0:t>数值</ns0:t>
        </ns0:is>
      </ns0:c>
      <ns0:c r="C19" s="223" t="inlineStr">
        <ns0:is>
          <ns0:t>单位</ns0:t>
        </ns0:is>
      </ns0:c>
      <ns0:c r="D19" s="223" t="n"/>
      <ns0:c r="E19" s="223" t="n"/>
      <ns0:c r="F19" s="223" t="n"/>
      <ns0:c r="G19" s="223" t="n"/>
      <ns0:c r="H19" s="223" t="n"/>
      <ns0:c r="I19" s="223" t="n"/>
      <ns0:c r="J19" s="223" t="n"/>
      <ns0:c r="K19" s="223" t="n"/>
      <ns0:c r="L19" s="223" t="n"/>
    </ns0:row>
    <ns0:row r="20" ht="30" customHeight="1" s="2">
      <ns0:c r="A20" s="279" t="inlineStr">
        <ns0:is>
          <ns0:t>语义标准mF1</ns0:t>
        </ns0:is>
      </ns0:c>
      <ns0:c r="B20" s="278">
        <ns0:v>0.21594663416523685</ns0:v>
      </ns0:c>
      <ns0:c r="C20" s="279" t="inlineStr">
        <ns0:is>
          <ns0:t>比例</ns0:t>
        </ns0:is>
      </ns0:c>
      <ns0:c r="D20" s="278" t="n"/>
      <ns0:c r="E20" s="278" t="n"/>
      <ns0:c r="F20" s="278" t="n"/>
      <ns0:c r="G20" s="276" t="n"/>
      <ns0:c r="H20" s="278" t="n"/>
      <ns0:c r="I20" s="279" t="n"/>
      <ns0:c r="J20" s="279" t="n"/>
      <ns0:c r="K20" s="279" t="n"/>
      <ns0:c r="L20" s="277" t="n"/>
    </ns0:row>
    <ns0:row r="21" ht="30" customHeight="1" s="2">
      <ns0:c r="A21" s="279" t="inlineStr">
        <ns0:is>
          <ns0:t>HTTP已记录尝试</ns0:t>
        </ns0:is>
      </ns0:c>
      <ns0:c r="B21" s="280">
        <ns0:v>1484</ns0:v>
      </ns0:c>
      <ns0:c r="C21" s="279" t="inlineStr">
        <ns0:is>
          <ns0:t>次</ns0:t>
        </ns0:is>
      </ns0:c>
      <ns0:c r="D21" s="278" t="n"/>
      <ns0:c r="E21" s="278" t="n"/>
      <ns0:c r="F21" s="278" t="n"/>
      <ns0:c r="G21" s="276" t="n"/>
      <ns0:c r="H21" s="278" t="n"/>
      <ns0:c r="I21" s="279" t="n"/>
      <ns0:c r="J21" s="279" t="n"/>
      <ns0:c r="K21" s="279" t="n"/>
      <ns0:c r="L21" s="277" t="n"/>
    </ns0:row>
    <ns0:row r="22" ht="30" customHeight="1" s="2">
      <ns0:c r="A22" s="279" t="inlineStr">
        <ns0:is>
          <ns0:t>HTTP重试</ns0:t>
        </ns0:is>
      </ns0:c>
      <ns0:c r="B22" s="280">
        <ns0:v>0</ns0:v>
      </ns0:c>
      <ns0:c r="C22" s="279" t="inlineStr">
        <ns0:is>
          <ns0:t>次</ns0:t>
        </ns0:is>
      </ns0:c>
      <ns0:c r="D22" s="278" t="n"/>
      <ns0:c r="E22" s="278" t="n"/>
      <ns0:c r="F22" s="278" t="n"/>
      <ns0:c r="G22" s="276" t="n"/>
      <ns0:c r="H22" s="278" t="n"/>
      <ns0:c r="I22" s="279" t="n"/>
      <ns0:c r="J22" s="279" t="n"/>
      <ns0:c r="K22" s="279" t="n"/>
      <ns0:c r="L22" s="277" t="n"/>
    </ns0:row>
    <ns0:row r="23" ht="30" customHeight="1" s="2">
      <ns0:c r="A23" s="279" t="inlineStr">
        <ns0:is>
          <ns0:t>PQ评估耗时</ns0:t>
        </ns0:is>
      </ns0:c>
      <ns0:c r="B23" s="281">
        <ns0:v>40.203503208234906</ns0:v>
      </ns0:c>
      <ns0:c r="C23" s="279" t="inlineStr">
        <ns0:is>
          <ns0:t>秒</ns0:t>
        </ns0:is>
      </ns0:c>
      <ns0:c r="D23" s="278" t="n"/>
      <ns0:c r="E23" s="278" t="n"/>
      <ns0:c r="F23" s="278" t="n"/>
      <ns0:c r="G23" s="276" t="n"/>
      <ns0:c r="H23" s="278" t="n"/>
      <ns0:c r="I23" s="279" t="n"/>
      <ns0:c r="J23" s="279" t="n"/>
      <ns0:c r="K23" s="279" t="n"/>
      <ns0:c r="L23" s="277" t="n"/>
    </ns0:row>
    <ns0:row r="24" ht="30" customHeight="1" s="2">
      <ns0:c r="A24" s="279" t="inlineStr">
        <ns0:is>
          <ns0:t>覆盖率评估耗时</ns0:t>
        </ns0:is>
      </ns0:c>
      <ns0:c r="B24" s="281">
        <ns0:v>29.012554665096104</ns0:v>
      </ns0:c>
      <ns0:c r="C24" s="279" t="inlineStr">
        <ns0:is>
          <ns0:t>秒</ns0:t>
        </ns0:is>
      </ns0:c>
      <ns0:c r="D24" s="278" t="n"/>
      <ns0:c r="E24" s="278" t="n"/>
      <ns0:c r="F24" s="278" t="n"/>
      <ns0:c r="G24" s="276" t="n"/>
      <ns0:c r="H24" s="278" t="n"/>
      <ns0:c r="I24" s="279" t="n"/>
      <ns0:c r="J24" s="279" t="n"/>
      <ns0:c r="K24" s="279" t="n"/>
      <ns0:c r="L24" s="277" t="n"/>
    </ns0:row>
    <ns0:row r="25" ht="30" customHeight="1" s="2">
      <ns0:c r="A25" s="279" t="inlineStr">
        <ns0:is>
          <ns0:t>统一评估耗时</ns0:t>
        </ns0:is>
      </ns0:c>
      <ns0:c r="B25" s="281">
        <ns0:v>19.936385344713926</ns0:v>
      </ns0:c>
      <ns0:c r="C25" s="279" t="inlineStr">
        <ns0:is>
          <ns0:t>秒</ns0:t>
        </ns0:is>
      </ns0:c>
      <ns0:c r="D25" s="278" t="n"/>
      <ns0:c r="E25" s="278" t="n"/>
      <ns0:c r="F25" s="278" t="n"/>
      <ns0:c r="G25" s="276" t="n"/>
      <ns0:c r="H25" s="278" t="n"/>
      <ns0:c r="I25" s="279" t="n"/>
      <ns0:c r="J25" s="279" t="n"/>
      <ns0:c r="K25" s="279" t="n"/>
      <ns0:c r="L25" s="277" t="n"/>
    </ns0:row>
    <ns0:row r="26" ht="30" customHeight="1" s="2">
      <ns0:c r="A26" s="279" t="inlineStr">
        <ns0:is>
          <ns0:t>未覆盖前景点数</ns0:t>
        </ns0:is>
      </ns0:c>
      <ns0:c r="B26" s="280">
        <ns0:v>79178</ns0:v>
      </ns0:c>
      <ns0:c r="C26" s="279" t="inlineStr">
        <ns0:is>
          <ns0:t>点</ns0:t>
        </ns0:is>
      </ns0:c>
      <ns0:c r="D26" s="278" t="n"/>
      <ns0:c r="E26" s="278" t="n"/>
      <ns0:c r="F26" s="278" t="n"/>
      <ns0:c r="G26" s="276" t="n"/>
      <ns0:c r="H26" s="278" t="n"/>
      <ns0:c r="I26" s="279" t="n"/>
      <ns0:c r="J26" s="279" t="n"/>
      <ns0:c r="K26" s="279" t="n"/>
      <ns0:c r="L26" s="277" t="n"/>
    </ns0:row>
    <ns0:row r="27" ht="30" customHeight="1" s="2">
      <ns0:c r="A27" s="279" t="inlineStr">
        <ns0:is>
          <ns0:t>前景最近距离均值</ns0:t>
        </ns0:is>
      </ns0:c>
      <ns0:c r="B27" s="287">
        <ns0:v>0.009680407274160871</ns0:v>
      </ns0:c>
      <ns0:c r="C27" s="279" t="inlineStr">
        <ns0:is>
          <ns0:t>m</ns0:t>
        </ns0:is>
      </ns0:c>
      <ns0:c r="D27" s="278" t="n"/>
      <ns0:c r="E27" s="278" t="n"/>
      <ns0:c r="F27" s="278" t="n"/>
      <ns0:c r="G27" s="276" t="n"/>
      <ns0:c r="H27" s="278" t="n"/>
      <ns0:c r="I27" s="279" t="n"/>
      <ns0:c r="J27" s="279" t="n"/>
      <ns0:c r="K27" s="279" t="n"/>
      <ns0:c r="L27" s="277" t="n"/>
    </ns0:row>
    <ns0:row r="28"/>
    <ns0:row r="29" ht="26" customHeight="1" s="2">
      <ns0:c r="A29" s="236" t="inlineStr">
        <ns0:is>
          <ns0:t>E. 来源与口径</ns0:t>
        </ns0:is>
      </ns0:c>
    </ns0:row>
    <ns0:row r="30" ht="52" customHeight="1" s="2">
      <ns0:c r="A30" s="216" t="inlineStr">
        <ns0:is>
          <ns0:t>从空图在线处理完整400帧。本次仅补算已有地图指标，未重跑建图。make_edges=false，关系指标不适用，不填0。</ns0:t>
        </ns0:is>
      </ns0:c>
    </ns0:row>
    <ns0:row r="31" ht="52" customHeight="1" s="2">
      <ns0:c r="A31" s="216" t="inlineStr">
        <ns0:is>
          <ns0:t>本页采用固定SLAM支持集；完整GT网格结果见 OVI_MAP_统一指标对比.xlsx 的 office3统一指标。</ns0:t>
        </ns0:is>
      </ns0:c>
    </ns0:row>
    <ns0:row r="32" ht="72" customHeight="1" s="2">
      <ns0:c r="A32" s="216" t="inlineStr">
        <ns0:is>
          <ns0:t>历史语义来源：「语义8场景」第26/27行。main参考点2792153，ali-my参考点2792153；不一致者不填入比较。PQ暂无历史同口径对照。</ns0:t>
        </ns0:is>
      </ns0:c>
    </ns0:row>
    <ns0:row r="33" ht="72" customHeight="1" s="2">
      <ns0:c r="A33" s="216" t="inlineStr">
        <ns0:is>
          <ns0:t>semantic：/home/chenkejun/beauty/conceptgraphs/results/experiments/oracle_three_error_20260828/pilot/b0_dataset/Replica/office3/exps/v7_CLIP_auto_20260910_013704_3671961/point_semantic_ali_dev_nexclude6_20260910_050204_768704290/semseg_results.json</ns0:t>
        </ns0:is>
      </ns0:c>
    </ns0:row>
    <ns0:row r="34" ht="72" customHeight="1" s="2">
      <ns0:c r="A34" s="216" t="inlineStr">
        <ns0:is>
          <ns0:t>pq：/home/chenkejun/beauty/conceptgraphs/results/experiments/oracle_three_error_20260828/pilot/b0_dataset/Replica/office3/exps/v7_CLIP_auto_20260910_013704_3671961/instance_pq_fixed_support_20260910_050244_737261105/instance_pq.csv</ns0:t>
        </ns0:is>
      </ns0:c>
    </ns0:row>
    <ns0:row r="35" ht="72" customHeight="1" s="2">
      <ns0:c r="A35" s="216" t="inlineStr">
        <ns0:is>
          <ns0:t>coverage：/home/chenkejun/beauty/conceptgraphs/results/experiments/oracle_three_error_20260828/pilot/b0_dataset/Replica/office3/exps/v7_CLIP_auto_20260910_013704_3671961/geometry_coverage_fixed_support_20260910_050325_486222063/coverage.csv</ns0:t>
        </ns0:is>
      </ns0:c>
    </ns0:row>
    <ns0:row r="36" ht="72" customHeight="1" s="2">
      <ns0:c r="A36" s="216" t="inlineStr">
        <ns0:is>
          <ns0:t>common：/home/chenkejun/beauty/conceptgraphs/results/experiments/oracle_three_error_20260828/pilot/b0_dataset/Replica/office3/exps/v7_CLIP_auto_20260910_013704_3671961/ovimap_common_eval_20260910/result.json</ns0:t>
        </ns0:is>
      </ns0:c>
    </ns0:row>
    <ns0:row r="37"/>
    <ns0:row r="38" ht="26" customHeight="1" s="2">
      <ns0:c r="A38" s="236" t="inlineStr">
        <ns0:is>
          <ns0:t>逐类语义指标（当前实验）</ns0:t>
        </ns0:is>
      </ns0:c>
    </ns0:row>
    <ns0:row r="39" ht="44" customHeight="1" s="2">
      <ns0:c r="A39" s="223" t="inlineStr">
        <ns0:is>
          <ns0:t>类别</ns0:t>
        </ns0:is>
      </ns0:c>
      <ns0:c r="B39" s="223" t="inlineStr">
        <ns0:is>
          <ns0:t>IoU</ns0:t>
        </ns0:is>
      </ns0:c>
      <ns0:c r="C39" s="223" t="inlineStr">
        <ns0:is>
          <ns0:t>Precision</ns0:t>
        </ns0:is>
      </ns0:c>
      <ns0:c r="D39" s="223" t="inlineStr">
        <ns0:is>
          <ns0:t>Recall</ns0:t>
        </ns0:is>
      </ns0:c>
      <ns0:c r="E39" s="223" t="inlineStr">
        <ns0:is>
          <ns0:t>F1原公式</ns0:t>
        </ns0:is>
      </ns0:c>
      <ns0:c r="F39" s="223" t="inlineStr">
        <ns0:is>
          <ns0:t>F1标准公式</ns0:t>
        </ns0:is>
      </ns0:c>
      <ns0:c r="G39" s="223" t="n"/>
      <ns0:c r="H39" s="223" t="n"/>
      <ns0:c r="I39" s="223" t="n"/>
      <ns0:c r="J39" s="223" t="n"/>
      <ns0:c r="K39" s="223" t="n"/>
      <ns0:c r="L39" s="223" t="n"/>
    </ns0:row>
    <ns0:row r="40" ht="30" customHeight="1" s="2">
      <ns0:c r="A40" s="279" t="inlineStr">
        <ns0:is>
          <ns0:t>bench</ns0:t>
        </ns0:is>
      </ns0:c>
      <ns0:c r="B40" s="278">
        <ns0:v>0</ns0:v>
      </ns0:c>
      <ns0:c r="C40" s="278">
        <ns0:v>0</ns0:v>
      </ns0:c>
      <ns0:c r="D40" s="278">
        <ns0:v>0</ns0:v>
      </ns0:c>
      <ns0:c r="E40" s="278">
        <ns0:v>0</ns0:v>
      </ns0:c>
      <ns0:c r="F40" s="278">
        <ns0:v>0</ns0:v>
      </ns0:c>
      <ns0:c r="G40" s="276" t="n"/>
      <ns0:c r="H40" s="278" t="n"/>
      <ns0:c r="I40" s="279" t="n"/>
      <ns0:c r="J40" s="279" t="n"/>
      <ns0:c r="K40" s="279" t="n"/>
      <ns0:c r="L40" s="277" t="n"/>
    </ns0:row>
    <ns0:row r="41" ht="30" customHeight="1" s="2">
      <ns0:c r="A41" s="279" t="inlineStr">
        <ns0:is>
          <ns0:t>bin</ns0:t>
        </ns0:is>
      </ns0:c>
      <ns0:c r="B41" s="278">
        <ns0:v>0.44273327929653916</ns0:v>
      </ns0:c>
      <ns0:c r="C41" s="278">
        <ns0:v>0.44600880882862376</ns0:v>
      </ns0:c>
      <ns0:c r="D41" s="278">
        <ns0:v>0.9836826020519537</ns0:v>
      </ns0:c>
      <ns0:c r="E41" s="278">
        <ns0:v>0.6137423814225884</ns0:v>
      </ns0:c>
      <ns0:c r="F41" s="278">
        <ns0:v>0.6137423814225884</ns0:v>
      </ns0:c>
      <ns0:c r="G41" s="276" t="n"/>
      <ns0:c r="H41" s="278" t="n"/>
      <ns0:c r="I41" s="279" t="n"/>
      <ns0:c r="J41" s="279" t="n"/>
      <ns0:c r="K41" s="279" t="n"/>
      <ns0:c r="L41" s="277" t="n"/>
    </ns0:row>
    <ns0:row r="42" ht="30" customHeight="1" s="2">
      <ns0:c r="A42" s="279" t="inlineStr">
        <ns0:is>
          <ns0:t>blinds</ns0:t>
        </ns0:is>
      </ns0:c>
      <ns0:c r="B42" s="278">
        <ns0:v>0</ns0:v>
      </ns0:c>
      <ns0:c r="C42" s="278">
        <ns0:v>0</ns0:v>
      </ns0:c>
      <ns0:c r="D42" s="278">
        <ns0:v>0</ns0:v>
      </ns0:c>
      <ns0:c r="E42" s="278">
        <ns0:v>0</ns0:v>
      </ns0:c>
      <ns0:c r="F42" s="278">
        <ns0:v>0</ns0:v>
      </ns0:c>
      <ns0:c r="G42" s="276" t="n"/>
      <ns0:c r="H42" s="278" t="n"/>
      <ns0:c r="I42" s="279" t="n"/>
      <ns0:c r="J42" s="279" t="n"/>
      <ns0:c r="K42" s="279" t="n"/>
      <ns0:c r="L42" s="277" t="n"/>
    </ns0:row>
    <ns0:row r="43" ht="30" customHeight="1" s="2">
      <ns0:c r="A43" s="279" t="inlineStr">
        <ns0:is>
          <ns0:t>bottle</ns0:t>
        </ns0:is>
      </ns0:c>
      <ns0:c r="B43" s="278">
        <ns0:v>0</ns0:v>
      </ns0:c>
      <ns0:c r="C43" s="278">
        <ns0:v>0</ns0:v>
      </ns0:c>
      <ns0:c r="D43" s="278">
        <ns0:v>0</ns0:v>
      </ns0:c>
      <ns0:c r="E43" s="278">
        <ns0:v>0</ns0:v>
      </ns0:c>
      <ns0:c r="F43" s="278">
        <ns0:v>0</ns0:v>
      </ns0:c>
      <ns0:c r="G43" s="276" t="n"/>
      <ns0:c r="H43" s="278" t="n"/>
      <ns0:c r="I43" s="279" t="n"/>
      <ns0:c r="J43" s="279" t="n"/>
      <ns0:c r="K43" s="279" t="n"/>
      <ns0:c r="L43" s="277" t="n"/>
    </ns0:row>
    <ns0:row r="44" ht="30" customHeight="1" s="2">
      <ns0:c r="A44" s="279" t="inlineStr">
        <ns0:is>
          <ns0:t>box</ns0:t>
        </ns0:is>
      </ns0:c>
      <ns0:c r="B44" s="278">
        <ns0:v>0</ns0:v>
      </ns0:c>
      <ns0:c r="C44" s="278">
        <ns0:v>0</ns0:v>
      </ns0:c>
      <ns0:c r="D44" s="278">
        <ns0:v>0</ns0:v>
      </ns0:c>
      <ns0:c r="E44" s="278">
        <ns0:v>0</ns0:v>
      </ns0:c>
      <ns0:c r="F44" s="278">
        <ns0:v>0</ns0:v>
      </ns0:c>
      <ns0:c r="G44" s="276" t="n"/>
      <ns0:c r="H44" s="278" t="n"/>
      <ns0:c r="I44" s="279" t="n"/>
      <ns0:c r="J44" s="279" t="n"/>
      <ns0:c r="K44" s="279" t="n"/>
      <ns0:c r="L44" s="277" t="n"/>
    </ns0:row>
    <ns0:row r="45" ht="30" customHeight="1" s="2">
      <ns0:c r="A45" s="279" t="inlineStr">
        <ns0:is>
          <ns0:t>camera</ns0:t>
        </ns0:is>
      </ns0:c>
      <ns0:c r="B45" s="278">
        <ns0:v>0.0547945205479452</ns0:v>
      </ns0:c>
      <ns0:c r="C45" s="278">
        <ns0:v>0.056698923265639904</ns0:v>
      </ns0:c>
      <ns0:c r="D45" s="278">
        <ns0:v>0.6199701937406855</ns0:v>
      </ns0:c>
      <ns0:c r="E45" s="278">
        <ns0:v>0.07030328488377406</ns0:v>
      </ns0:c>
      <ns0:c r="F45" s="278">
        <ns0:v>0.10389610389610389</ns0:v>
      </ns0:c>
      <ns0:c r="G45" s="276" t="n"/>
      <ns0:c r="H45" s="278" t="n"/>
      <ns0:c r="I45" s="279" t="n"/>
      <ns0:c r="J45" s="279" t="n"/>
      <ns0:c r="K45" s="279" t="n"/>
      <ns0:c r="L45" s="277" t="n"/>
    </ns0:row>
    <ns0:row r="46" ht="30" customHeight="1" s="2">
      <ns0:c r="A46" s="279" t="inlineStr">
        <ns0:is>
          <ns0:t>chair</ns0:t>
        </ns0:is>
      </ns0:c>
      <ns0:c r="B46" s="278">
        <ns0:v>0.6000838258695158</ns0:v>
      </ns0:c>
      <ns0:c r="C46" s="278">
        <ns0:v>0.9814840204400799</ns0:v>
      </ns0:c>
      <ns0:c r="D46" s="278">
        <ns0:v>0.60695501471535</ns0:v>
      </ns0:c>
      <ns0:c r="E46" s="278">
        <ns0:v>0.7500654855296959</ns0:v>
      </ns0:c>
      <ns0:c r="F46" s="278">
        <ns0:v>0.7500654855296959</ns0:v>
      </ns0:c>
      <ns0:c r="G46" s="276" t="n"/>
      <ns0:c r="H46" s="278" t="n"/>
      <ns0:c r="I46" s="279" t="n"/>
      <ns0:c r="J46" s="279" t="n"/>
      <ns0:c r="K46" s="279" t="n"/>
      <ns0:c r="L46" s="277" t="n"/>
    </ns0:row>
    <ns0:row r="47" ht="30" customHeight="1" s="2">
      <ns0:c r="A47" s="279" t="inlineStr">
        <ns0:is>
          <ns0:t>clock</ns0:t>
        </ns0:is>
      </ns0:c>
      <ns0:c r="B47" s="278">
        <ns0:v>1</ns0:v>
      </ns0:c>
      <ns0:c r="C47" s="278">
        <ns0:v>1</ns0:v>
      </ns0:c>
      <ns0:c r="D47" s="278">
        <ns0:v>1</ns0:v>
      </ns0:c>
      <ns0:c r="E47" s="278">
        <ns0:v>1</ns0:v>
      </ns0:c>
      <ns0:c r="F47" s="278">
        <ns0:v>1</ns0:v>
      </ns0:c>
      <ns0:c r="G47" s="276" t="n"/>
      <ns0:c r="H47" s="278" t="n"/>
      <ns0:c r="I47" s="279" t="n"/>
      <ns0:c r="J47" s="279" t="n"/>
      <ns0:c r="K47" s="279" t="n"/>
      <ns0:c r="L47" s="277" t="n"/>
    </ns0:row>
    <ns0:row r="48" ht="30" customHeight="1" s="2">
      <ns0:c r="A48" s="279" t="inlineStr">
        <ns0:is>
          <ns0:t>cushion</ns0:t>
        </ns0:is>
      </ns0:c>
      <ns0:c r="B48" s="278">
        <ns0:v>0.8108722573270251</ns0:v>
      </ns0:c>
      <ns0:c r="C48" s="278">
        <ns0:v>0.9146680420642426</ns0:v>
      </ns0:c>
      <ns0:c r="D48" s="278">
        <ns0:v>0.8772337224241341</ns0:v>
      </ns0:c>
      <ns0:c r="E48" s="278">
        <ns0:v>0.8955598651932849</ns0:v>
      </ns0:c>
      <ns0:c r="F48" s="278">
        <ns0:v>0.8955598651932849</ns0:v>
      </ns0:c>
      <ns0:c r="G48" s="276" t="n"/>
      <ns0:c r="H48" s="278" t="n"/>
      <ns0:c r="I48" s="279" t="n"/>
      <ns0:c r="J48" s="279" t="n"/>
      <ns0:c r="K48" s="279" t="n"/>
      <ns0:c r="L48" s="277" t="n"/>
    </ns0:row>
    <ns0:row r="49" ht="30" customHeight="1" s="2">
      <ns0:c r="A49" s="279" t="inlineStr">
        <ns0:is>
          <ns0:t>desk-organizer</ns0:t>
        </ns0:is>
      </ns0:c>
      <ns0:c r="B49" s="278">
        <ns0:v>0</ns0:v>
      </ns0:c>
      <ns0:c r="C49" s="278">
        <ns0:v>0</ns0:v>
      </ns0:c>
      <ns0:c r="D49" s="278">
        <ns0:v>0</ns0:v>
      </ns0:c>
      <ns0:c r="E49" s="278">
        <ns0:v>0</ns0:v>
      </ns0:c>
      <ns0:c r="F49" s="278">
        <ns0:v>0</ns0:v>
      </ns0:c>
      <ns0:c r="G49" s="276" t="n"/>
      <ns0:c r="H49" s="278" t="n"/>
      <ns0:c r="I49" s="279" t="n"/>
      <ns0:c r="J49" s="279" t="n"/>
      <ns0:c r="K49" s="279" t="n"/>
      <ns0:c r="L49" s="277" t="n"/>
    </ns0:row>
    <ns0:row r="50" ht="30" customHeight="1" s="2">
      <ns0:c r="A50" s="279" t="inlineStr">
        <ns0:is>
          <ns0:t>lamp</ns0:t>
        </ns0:is>
      </ns0:c>
      <ns0:c r="B50" s="278">
        <ns0:v>0</ns0:v>
      </ns0:c>
      <ns0:c r="C50" s="278">
        <ns0:v>0</ns0:v>
      </ns0:c>
      <ns0:c r="D50" s="278">
        <ns0:v>0</ns0:v>
      </ns0:c>
      <ns0:c r="E50" s="278">
        <ns0:v>0</ns0:v>
      </ns0:c>
      <ns0:c r="F50" s="278">
        <ns0:v>0</ns0:v>
      </ns0:c>
      <ns0:c r="G50" s="276" t="n"/>
      <ns0:c r="H50" s="278" t="n"/>
      <ns0:c r="I50" s="279" t="n"/>
      <ns0:c r="J50" s="279" t="n"/>
      <ns0:c r="K50" s="279" t="n"/>
      <ns0:c r="L50" s="277" t="n"/>
    </ns0:row>
    <ns0:row r="51" ht="30" customHeight="1" s="2">
      <ns0:c r="A51" s="279" t="inlineStr">
        <ns0:is>
          <ns0:t>panel</ns0:t>
        </ns0:is>
      </ns0:c>
      <ns0:c r="B51" s="278">
        <ns0:v>0</ns0:v>
      </ns0:c>
      <ns0:c r="C51" s="278">
        <ns0:v>0</ns0:v>
      </ns0:c>
      <ns0:c r="D51" s="278">
        <ns0:v>0</ns0:v>
      </ns0:c>
      <ns0:c r="E51" s="278">
        <ns0:v>0</ns0:v>
      </ns0:c>
      <ns0:c r="F51" s="278">
        <ns0:v>0</ns0:v>
      </ns0:c>
      <ns0:c r="G51" s="276" t="n"/>
      <ns0:c r="H51" s="278" t="n"/>
      <ns0:c r="I51" s="279" t="n"/>
      <ns0:c r="J51" s="279" t="n"/>
      <ns0:c r="K51" s="279" t="n"/>
      <ns0:c r="L51" s="277" t="n"/>
    </ns0:row>
    <ns0:row r="52" ht="30" customHeight="1" s="2">
      <ns0:c r="A52" s="279" t="inlineStr">
        <ns0:is>
          <ns0:t>pipe</ns0:t>
        </ns0:is>
      </ns0:c>
      <ns0:c r="B52" s="278">
        <ns0:v>0</ns0:v>
      </ns0:c>
      <ns0:c r="C52" s="278">
        <ns0:v>0</ns0:v>
      </ns0:c>
      <ns0:c r="D52" s="278">
        <ns0:v>0</ns0:v>
      </ns0:c>
      <ns0:c r="E52" s="278">
        <ns0:v>0</ns0:v>
      </ns0:c>
      <ns0:c r="F52" s="278">
        <ns0:v>0</ns0:v>
      </ns0:c>
      <ns0:c r="G52" s="276" t="n"/>
      <ns0:c r="H52" s="278" t="n"/>
      <ns0:c r="I52" s="279" t="n"/>
      <ns0:c r="J52" s="279" t="n"/>
      <ns0:c r="K52" s="279" t="n"/>
      <ns0:c r="L52" s="277" t="n"/>
    </ns0:row>
    <ns0:row r="53" ht="30" customHeight="1" s="2">
      <ns0:c r="A53" s="279" t="inlineStr">
        <ns0:is>
          <ns0:t>sofa</ns0:t>
        </ns0:is>
      </ns0:c>
      <ns0:c r="B53" s="278">
        <ns0:v>0.8010741711650646</ns0:v>
      </ns0:c>
      <ns0:c r="C53" s="278">
        <ns0:v>0.8099077188981312</ns0:v>
      </ns0:c>
      <ns0:c r="D53" s="278">
        <ns0:v>0.9865675961696416</ns0:v>
      </ns0:c>
      <ns0:c r="E53" s="278">
        <ns0:v>0.8895515620512976</ns0:v>
      </ns0:c>
      <ns0:c r="F53" s="278">
        <ns0:v>0.8895515620512976</ns0:v>
      </ns0:c>
      <ns0:c r="G53" s="276" t="n"/>
      <ns0:c r="H53" s="278" t="n"/>
      <ns0:c r="I53" s="279" t="n"/>
      <ns0:c r="J53" s="279" t="n"/>
      <ns0:c r="K53" s="279" t="n"/>
      <ns0:c r="L53" s="277" t="n"/>
    </ns0:row>
    <ns0:row r="54" ht="30" customHeight="1" s="2">
      <ns0:c r="A54" s="279" t="inlineStr">
        <ns0:is>
          <ns0:t>switch</ns0:t>
        </ns0:is>
      </ns0:c>
      <ns0:c r="B54" s="278">
        <ns0:v>0.009897661222722709</ns0:v>
      </ns0:c>
      <ns0:c r="C54" s="278">
        <ns0:v>0.009897661222722709</ns0:v>
      </ns0:c>
      <ns0:c r="D54" s="278">
        <ns0:v>1</ns0:v>
      </ns0:c>
      <ns0:c r="E54" s="278">
        <ns0:v>0.019601315267408825</ns0:v>
      </ns0:c>
      <ns0:c r="F54" s="278">
        <ns0:v>0.019601315267408825</ns0:v>
      </ns0:c>
      <ns0:c r="G54" s="276" t="n"/>
      <ns0:c r="H54" s="278" t="n"/>
      <ns0:c r="I54" s="279" t="n"/>
      <ns0:c r="J54" s="279" t="n"/>
      <ns0:c r="K54" s="279" t="n"/>
      <ns0:c r="L54" s="277" t="n"/>
    </ns0:row>
    <ns0:row r="55" ht="30" customHeight="1" s="2">
      <ns0:c r="A55" s="279" t="inlineStr">
        <ns0:is>
          <ns0:t>table</ns0:t>
        </ns0:is>
      </ns0:c>
      <ns0:c r="B55" s="278">
        <ns0:v>0.0068778230923918215</ns0:v>
      </ns0:c>
      <ns0:c r="C55" s="278">
        <ns0:v>0.523955773955774</ns0:v>
      </ns0:c>
      <ns0:c r="D55" s="278">
        <ns0:v>0.006921072190109601</ns0:v>
      </ns0:c>
      <ns0:c r="E55" s="278">
        <ns0:v>0.007252671471945319</ns0:v>
      </ns0:c>
      <ns0:c r="F55" s="278">
        <ns0:v>0.013661683542235903</ns0:v>
      </ns0:c>
      <ns0:c r="G55" s="276" t="n"/>
      <ns0:c r="H55" s="278" t="n"/>
      <ns0:c r="I55" s="279" t="n"/>
      <ns0:c r="J55" s="279" t="n"/>
      <ns0:c r="K55" s="279" t="n"/>
      <ns0:c r="L55" s="277" t="n"/>
    </ns0:row>
    <ns0:row r="56" ht="30" customHeight="1" s="2">
      <ns0:c r="A56" s="279" t="inlineStr">
        <ns0:is>
          <ns0:t>tablet</ns0:t>
        </ns0:is>
      </ns0:c>
      <ns0:c r="B56" s="278">
        <ns0:v>0</ns0:v>
      </ns0:c>
      <ns0:c r="C56" s="278">
        <ns0:v>0</ns0:v>
      </ns0:c>
      <ns0:c r="D56" s="278">
        <ns0:v>0</ns0:v>
      </ns0:c>
      <ns0:c r="E56" s="278">
        <ns0:v>0</ns0:v>
      </ns0:c>
      <ns0:c r="F56" s="278">
        <ns0:v>0</ns0:v>
      </ns0:c>
      <ns0:c r="G56" s="276" t="n"/>
      <ns0:c r="H56" s="278" t="n"/>
      <ns0:c r="I56" s="279" t="n"/>
      <ns0:c r="J56" s="279" t="n"/>
      <ns0:c r="K56" s="279" t="n"/>
      <ns0:c r="L56" s="277" t="n"/>
    </ns0:row>
    <ns0:row r="57" ht="30" customHeight="1" s="2">
      <ns0:c r="A57" s="279" t="inlineStr">
        <ns0:is>
          <ns0:t>tissue-paper</ns0:t>
        </ns0:is>
      </ns0:c>
      <ns0:c r="B57" s="278">
        <ns0:v>0</ns0:v>
      </ns0:c>
      <ns0:c r="C57" s="278">
        <ns0:v>0</ns0:v>
      </ns0:c>
      <ns0:c r="D57" s="278">
        <ns0:v>0</ns0:v>
      </ns0:c>
      <ns0:c r="E57" s="278">
        <ns0:v>0</ns0:v>
      </ns0:c>
      <ns0:c r="F57" s="278">
        <ns0:v>0</ns0:v>
      </ns0:c>
      <ns0:c r="G57" s="276" t="n"/>
      <ns0:c r="H57" s="278" t="n"/>
      <ns0:c r="I57" s="279" t="n"/>
      <ns0:c r="J57" s="279" t="n"/>
      <ns0:c r="K57" s="279" t="n"/>
      <ns0:c r="L57" s="277" t="n"/>
    </ns0:row>
    <ns0:row r="58" ht="30" customHeight="1" s="2">
      <ns0:c r="A58" s="279" t="inlineStr">
        <ns0:is>
          <ns0:t>tv-stand</ns0:t>
        </ns0:is>
      </ns0:c>
      <ns0:c r="B58" s="278">
        <ns0:v>0.1098256570732753</ns0:v>
      </ns0:c>
      <ns0:c r="C58" s="278">
        <ns0:v>0.11003648988557055</ns0:v>
      </ns0:c>
      <ns0:c r="D58" s="278">
        <ns0:v>0.9828530743824536</ns0:v>
      </ns0:c>
      <ns0:c r="E58" s="278">
        <ns0:v>0.19791515248061015</ns0:v>
      </ns0:c>
      <ns0:c r="F58" s="278">
        <ns0:v>0.19791515248061015</ns0:v>
      </ns0:c>
      <ns0:c r="G58" s="276" t="n"/>
      <ns0:c r="H58" s="278" t="n"/>
      <ns0:c r="I58" s="279" t="n"/>
      <ns0:c r="J58" s="279" t="n"/>
      <ns0:c r="K58" s="279" t="n"/>
      <ns0:c r="L58" s="277" t="n"/>
    </ns0:row>
    <ns0:row r="59" ht="30" customHeight="1" s="2">
      <ns0:c r="A59" s="279" t="inlineStr">
        <ns0:is>
          <ns0:t>vent</ns0:t>
        </ns0:is>
      </ns0:c>
      <ns0:c r="B59" s="278">
        <ns0:v>0.0261071245869454</ns0:v>
      </ns0:c>
      <ns0:c r="C59" s="278">
        <ns0:v>0.0261071245869454</ns0:v>
      </ns0:c>
      <ns0:c r="D59" s="278">
        <ns0:v>1</ns0:v>
      </ns0:c>
      <ns0:c r="E59" s="278">
        <ns0:v>0.050885768086747676</ns0:v>
      </ns0:c>
      <ns0:c r="F59" s="278">
        <ns0:v>0.050885768086747676</ns0:v>
      </ns0:c>
      <ns0:c r="G59" s="276" t="n"/>
      <ns0:c r="H59" s="278" t="n"/>
      <ns0:c r="I59" s="279" t="n"/>
      <ns0:c r="J59" s="279" t="n"/>
      <ns0:c r="K59" s="279" t="n"/>
      <ns0:c r="L59" s="277" t="n"/>
    </ns0:row>
    <ns0:row r="60" ht="30" customHeight="1" s="2">
      <ns0:c r="A60" s="279" t="inlineStr">
        <ns0:is>
          <ns0:t>wall-plug</ns0:t>
        </ns0:is>
      </ns0:c>
      <ns0:c r="B60" s="278">
        <ns0:v>0</ns0:v>
      </ns0:c>
      <ns0:c r="C60" s="278">
        <ns0:v>0</ns0:v>
      </ns0:c>
      <ns0:c r="D60" s="278">
        <ns0:v>0</ns0:v>
      </ns0:c>
      <ns0:c r="E60" s="278">
        <ns0:v>0</ns0:v>
      </ns0:c>
      <ns0:c r="F60" s="278">
        <ns0:v>0</ns0:v>
      </ns0:c>
      <ns0:c r="G60" s="276" t="n"/>
      <ns0:c r="H60" s="278" t="n"/>
      <ns0:c r="I60" s="279" t="n"/>
      <ns0:c r="J60" s="279" t="n"/>
      <ns0:c r="K60" s="279" t="n"/>
      <ns0:c r="L60" s="277" t="n"/>
    </ns0:row>
  </ns0:sheetData>
  <ns0:mergeCells count="15">
    <ns0:mergeCell ref="A30:L30"/>
    <ns0:mergeCell ref="A2:L2"/>
    <ns0:mergeCell ref="A38:L38"/>
    <ns0:mergeCell ref="A29:L29"/>
    <ns0:mergeCell ref="A10:L10"/>
    <ns0:mergeCell ref="A33:L33"/>
    <ns0:mergeCell ref="A1:L1"/>
    <ns0:mergeCell ref="A32:L32"/>
    <ns0:mergeCell ref="A36:L36"/>
    <ns0:mergeCell ref="A14:L14"/>
    <ns0:mergeCell ref="A31:L31"/>
    <ns0:mergeCell ref="A18:L18"/>
    <ns0:mergeCell ref="A34:L34"/>
    <ns0:mergeCell ref="A35:L35"/>
    <ns0:mergeCell ref="A4:L4"/>
  </ns0:mergeCells>
  <ns0:pageMargins left="0.7" right="0.7" top="0.75" bottom="0.75" header="0.3" footer="0.3"/>
</ns0:worksheet>
</file>

<file path=xl/worksheets/sheet24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L38"/>
  <ns0:sheetViews>
    <ns0:sheetView showGridLines="0" workbookViewId="0">
      <ns0:pane xSplit="3" ySplit="6" topLeftCell="D7" activePane="bottomRight" state="frozen"/>
      <ns0:selection pane="topRight" activeCell="A1" sqref="A1"/>
      <ns0:selection pane="bottomLeft" activeCell="A1" sqref="A1"/>
      <ns0:selection pane="bottomRight" activeCell="A1" sqref="A1"/>
    </ns0:sheetView>
  </ns0:sheetViews>
  <ns0:sheetFormatPr baseColWidth="8" defaultRowHeight="15"/>
  <ns0:cols>
    <ns0:col width="14" customWidth="1" style="2" min="1" max="1"/>
    <ns0:col width="20" customWidth="1" style="2" min="2" max="2"/>
    <ns0:col width="14" customWidth="1" style="2" min="3" max="3"/>
    <ns0:col width="14" customWidth="1" style="2" min="4" max="4"/>
    <ns0:col width="14" customWidth="1" style="2" min="5" max="5"/>
    <ns0:col width="14" customWidth="1" style="2" min="6" max="6"/>
    <ns0:col width="14" customWidth="1" style="2" min="7" max="7"/>
    <ns0:col width="14" customWidth="1" style="2" min="8" max="8"/>
    <ns0:col width="14" customWidth="1" style="2" min="9" max="9"/>
    <ns0:col width="14" customWidth="1" style="2" min="10" max="10"/>
    <ns0:col width="14" customWidth="1" style="2" min="11" max="11"/>
    <ns0:col width="14" customWidth="1" style="2" min="12" max="12"/>
  </ns0:cols>
  <ns0:sheetData>
    <ns0:row r="1" ht="32" customHeight="1" s="2">
      <ns0:c r="A1" s="307" t="inlineStr">
        <ns0:is>
          <ns0:t>CLIP 适用性：固定地图语义读出</ns0:t>
        </ns0:is>
      </ns0:c>
    </ns0:row>
    <ns0:row r="2" ht="32" customHeight="1" s="2">
      <ns0:c r="A2" s="308" t="inlineStr">
        <ns0:is>
          <ns0:t>2026-09-10｜四场景；room0/office2 同时冻结 v7_merge 与 v7_CLIP；room1/office0 为固定候选验证。</ns0:t>
        </ns0:is>
      </ns0:c>
    </ns0:row>
    <ns0:row r="3" ht="32" customHeight="1" s="2">
      <ns0:c r="A3" s="308" t="inlineStr">
        <ns0:is>
          <ns0:t>几何、观测归属、原融合树、51 类词表和编码器固定；只改 bbox / 背景抑制特征的融合权重。</ns0:t>
        </ns0:is>
      </ns0:c>
    </ns0:row>
    <ns0:row r="4" ht="32" customHeight="1" s="2">
      <ns0:c r="A4" s="308" t="inlineStr">
        <ns0:is>
          <ns0:t>w=0：bbox-only；w=0.5：当前等权融合；w=1：背景抑制视图。Δ 相对同一地图 w=0.5，单位百分点。</ns0:t>
        </ns0:is>
      </ns0:c>
    </ns0:row>
    <ns0:row r="5"/>
    <ns0:row r="6" ht="34" customHeight="1" s="2">
      <ns0:c r="A6" s="309" t="inlineStr">
        <ns0:is>
          <ns0:t>场景</ns0:t>
        </ns0:is>
      </ns0:c>
      <ns0:c r="B6" s="309" t="inlineStr">
        <ns0:is>
          <ns0:t>冻结地图</ns0:t>
        </ns0:is>
      </ns0:c>
      <ns0:c r="C6" s="309" t="inlineStr">
        <ns0:is>
          <ns0:t>权重 w</ns0:t>
        </ns0:is>
      </ns0:c>
      <ns0:c r="D6" s="309" t="inlineStr">
        <ns0:is>
          <ns0:t>语义 mIoU</ns0:t>
        </ns0:is>
      </ns0:c>
      <ns0:c r="E6" s="309" t="inlineStr">
        <ns0:is>
          <ns0:t>语义 AP50</ns0:t>
        </ns0:is>
      </ns0:c>
      <ns0:c r="F6" s="309" t="inlineStr">
        <ns0:is>
          <ns0:t>GT类 mIoU*</ns0:t>
        </ns0:is>
      </ns0:c>
      <ns0:c r="G6" s="309" t="inlineStr">
        <ns0:is>
          <ns0:t>匹配标签率*</ns0:t>
        </ns0:is>
      </ns0:c>
      <ns0:c r="H6" s="309" t="inlineStr">
        <ns0:is>
          <ns0:t>实例 mIoU</ns0:t>
        </ns0:is>
      </ns0:c>
      <ns0:c r="I6" s="309" t="inlineStr">
        <ns0:is>
          <ns0:t>实例 AP50</ns0:t>
        </ns0:is>
      </ns0:c>
      <ns0:c r="J6" s="309" t="inlineStr">
        <ns0:is>
          <ns0:t>覆盖率</ns0:t>
        </ns0:is>
      </ns0:c>
      <ns0:c r="K6" s="309" t="inlineStr">
        <ns0:is>
          <ns0:t>Δ mIoU pp</ns0:t>
        </ns0:is>
      </ns0:c>
      <ns0:c r="L6" s="309" t="inlineStr">
        <ns0:is>
          <ns0:t>Δ AP50 pp</ns0:t>
        </ns0:is>
      </ns0:c>
    </ns0:row>
    <ns0:row r="7" ht="24" customHeight="1" s="2">
      <ns0:c r="A7" s="310" t="inlineStr">
        <ns0:is>
          <ns0:t>room0</ns0:t>
        </ns0:is>
      </ns0:c>
      <ns0:c r="B7" s="310" t="inlineStr">
        <ns0:is>
          <ns0:t>v7_CLIP</ns0:t>
        </ns0:is>
      </ns0:c>
      <ns0:c r="C7" s="310" t="n">
        <ns0:v>0</ns0:v>
      </ns0:c>
      <ns0:c r="D7" s="311" t="n">
        <ns0:v>0.1579689644488123</ns0:v>
      </ns0:c>
      <ns0:c r="E7" s="311" t="n">
        <ns0:v>0.2901785714285715</ns0:v>
      </ns0:c>
      <ns0:c r="F7" s="311" t="n">
        <ns0:v>0.1974612055610154</ns0:v>
      </ns0:c>
      <ns0:c r="G7" s="311" t="n">
        <ns0:v>0.3333333333333333</ns0:v>
      </ns0:c>
      <ns0:c r="H7" s="311" t="n">
        <ns0:v>0.4386003587094476</ns0:v>
      </ns0:c>
      <ns0:c r="I7" s="311" t="n">
        <ns0:v>0.3890281657883834</ns0:v>
      </ns0:c>
      <ns0:c r="J7" s="311" t="n">
        <ns0:v>0.7851162333645254</ns0:v>
      </ns0:c>
      <ns0:c r="K7" s="312">
        <ns0:f>(D7-D$9)*100</ns0:f>
        <ns0:v>1.08142860324071</ns0:v>
      </ns0:c>
      <ns0:c r="L7" s="312">
        <ns0:f>(E7-E$9)*100</ns0:f>
        <ns0:v>-1.09126984126983</ns0:v>
      </ns0:c>
    </ns0:row>
    <ns0:row r="8" ht="24" customHeight="1" s="2">
      <ns0:c r="A8" s="313" t="inlineStr">
        <ns0:is>
          <ns0:t>room0</ns0:t>
        </ns0:is>
      </ns0:c>
      <ns0:c r="B8" s="313" t="inlineStr">
        <ns0:is>
          <ns0:t>v7_CLIP</ns0:t>
        </ns0:is>
      </ns0:c>
      <ns0:c r="C8" s="313" t="n">
        <ns0:v>0.25</ns0:v>
      </ns0:c>
      <ns0:c r="D8" s="314" t="n">
        <ns0:v>0.1580367958543406</ns0:v>
      </ns0:c>
      <ns0:c r="E8" s="314" t="n">
        <ns0:v>0.2687996031746032</ns0:v>
      </ns0:c>
      <ns0:c r="F8" s="314" t="n">
        <ns0:v>0.1975459948179257</ns0:v>
      </ns0:c>
      <ns0:c r="G8" s="314" t="n">
        <ns0:v>0.3611111111111111</ns0:v>
      </ns0:c>
      <ns0:c r="H8" s="314" t="n">
        <ns0:v>0.4386003587094476</ns0:v>
      </ns0:c>
      <ns0:c r="I8" s="314" t="n">
        <ns0:v>0.3890281657883834</ns0:v>
      </ns0:c>
      <ns0:c r="J8" s="314" t="n">
        <ns0:v>0.7851162333645254</ns0:v>
      </ns0:c>
      <ns0:c r="K8" s="315">
        <ns0:f>(D8-D$9)*100</ns0:f>
        <ns0:v>1.08821174379354</ns0:v>
      </ns0:c>
      <ns0:c r="L8" s="315">
        <ns0:f>(E8-E$9)*100</ns0:f>
        <ns0:v>-3.22916666666666</ns0:v>
      </ns0:c>
    </ns0:row>
    <ns0:row r="9" ht="24" customHeight="1" s="2">
      <ns0:c r="A9" s="310" t="inlineStr">
        <ns0:is>
          <ns0:t>room0</ns0:t>
        </ns0:is>
      </ns0:c>
      <ns0:c r="B9" s="310" t="inlineStr">
        <ns0:is>
          <ns0:t>v7_CLIP</ns0:t>
        </ns0:is>
      </ns0:c>
      <ns0:c r="C9" s="310" t="n">
        <ns0:v>0.5</ns0:v>
      </ns0:c>
      <ns0:c r="D9" s="311" t="n">
        <ns0:v>0.1471546784164052</ns0:v>
      </ns0:c>
      <ns0:c r="E9" s="311" t="n">
        <ns0:v>0.3010912698412698</ns0:v>
      </ns0:c>
      <ns0:c r="F9" s="311" t="n">
        <ns0:v>0.1786878237913492</ns0:v>
      </ns0:c>
      <ns0:c r="G9" s="311" t="n">
        <ns0:v>0.3611111111111111</ns0:v>
      </ns0:c>
      <ns0:c r="H9" s="311" t="n">
        <ns0:v>0.4386003587094476</ns0:v>
      </ns0:c>
      <ns0:c r="I9" s="311" t="n">
        <ns0:v>0.3890281657883834</ns0:v>
      </ns0:c>
      <ns0:c r="J9" s="311" t="n">
        <ns0:v>0.7851162333645254</ns0:v>
      </ns0:c>
      <ns0:c r="K9" s="312">
        <ns0:f>(D9-D$9)*100</ns0:f>
        <ns0:v>0</ns0:v>
      </ns0:c>
      <ns0:c r="L9" s="312">
        <ns0:f>(E9-E$9)*100</ns0:f>
        <ns0:v>0</ns0:v>
      </ns0:c>
    </ns0:row>
    <ns0:row r="10" ht="24" customHeight="1" s="2">
      <ns0:c r="A10" s="313" t="inlineStr">
        <ns0:is>
          <ns0:t>room0</ns0:t>
        </ns0:is>
      </ns0:c>
      <ns0:c r="B10" s="313" t="inlineStr">
        <ns0:is>
          <ns0:t>v7_CLIP</ns0:t>
        </ns0:is>
      </ns0:c>
      <ns0:c r="C10" s="313" t="n">
        <ns0:v>0.75</ns0:v>
      </ns0:c>
      <ns0:c r="D10" s="314" t="n">
        <ns0:v>0.1518965035437215</ns0:v>
      </ns0:c>
      <ns0:c r="E10" s="314" t="n">
        <ns0:v>0.2906746031746032</ns0:v>
      </ns0:c>
      <ns0:c r="F10" s="314" t="n">
        <ns0:v>0.1844457543030904</ns0:v>
      </ns0:c>
      <ns0:c r="G10" s="314" t="n">
        <ns0:v>0.3888888888888889</ns0:v>
      </ns0:c>
      <ns0:c r="H10" s="314" t="n">
        <ns0:v>0.4386003587094476</ns0:v>
      </ns0:c>
      <ns0:c r="I10" s="314" t="n">
        <ns0:v>0.3890281657883834</ns0:v>
      </ns0:c>
      <ns0:c r="J10" s="314" t="n">
        <ns0:v>0.7851162333645254</ns0:v>
      </ns0:c>
      <ns0:c r="K10" s="315">
        <ns0:f>(D10-D$9)*100</ns0:f>
        <ns0:v>0.47418251273163</ns0:v>
      </ns0:c>
      <ns0:c r="L10" s="315">
        <ns0:f>(E10-E$9)*100</ns0:f>
        <ns0:v>-1.04166666666666</ns0:v>
      </ns0:c>
    </ns0:row>
    <ns0:row r="11" ht="24" customHeight="1" s="2">
      <ns0:c r="A11" s="310" t="inlineStr">
        <ns0:is>
          <ns0:t>room0</ns0:t>
        </ns0:is>
      </ns0:c>
      <ns0:c r="B11" s="310" t="inlineStr">
        <ns0:is>
          <ns0:t>v7_CLIP</ns0:t>
        </ns0:is>
      </ns0:c>
      <ns0:c r="C11" s="310" t="n">
        <ns0:v>1</ns0:v>
      </ns0:c>
      <ns0:c r="D11" s="311" t="n">
        <ns0:v>0.1057115046779985</ns0:v>
      </ns0:c>
      <ns0:c r="E11" s="311" t="n">
        <ns0:v>0.1969246031746032</ns0:v>
      </ns0:c>
      <ns0:c r="F11" s="311" t="n">
        <ns0:v>0.1283639699661411</ns0:v>
      </ns0:c>
      <ns0:c r="G11" s="311" t="n">
        <ns0:v>0.3055555555555556</ns0:v>
      </ns0:c>
      <ns0:c r="H11" s="311" t="n">
        <ns0:v>0.4386003587094476</ns0:v>
      </ns0:c>
      <ns0:c r="I11" s="311" t="n">
        <ns0:v>0.3890281657883834</ns0:v>
      </ns0:c>
      <ns0:c r="J11" s="311" t="n">
        <ns0:v>0.7851162333645254</ns0:v>
      </ns0:c>
      <ns0:c r="K11" s="312">
        <ns0:f>(D11-D$9)*100</ns0:f>
        <ns0:v>-4.14431737384067</ns0:v>
      </ns0:c>
      <ns0:c r="L11" s="312">
        <ns0:f>(E11-E$9)*100</ns0:f>
        <ns0:v>-10.4166666666667</ns0:v>
      </ns0:c>
    </ns0:row>
    <ns0:row r="12" ht="24" customHeight="1" s="2">
      <ns0:c r="A12" s="313" t="inlineStr">
        <ns0:is>
          <ns0:t>room0</ns0:t>
        </ns0:is>
      </ns0:c>
      <ns0:c r="B12" s="313" t="inlineStr">
        <ns0:is>
          <ns0:t>v7_merge</ns0:t>
        </ns0:is>
      </ns0:c>
      <ns0:c r="C12" s="313" t="n">
        <ns0:v>0</ns0:v>
      </ns0:c>
      <ns0:c r="D12" s="314" t="n">
        <ns0:v>0.1672728485595738</ns0:v>
      </ns0:c>
      <ns0:c r="E12" s="314" t="n">
        <ns0:v>0.2971230158730159</ns0:v>
      </ns0:c>
      <ns0:c r="F12" s="314" t="n">
        <ns0:v>0.2090910606994672</ns0:v>
      </ns0:c>
      <ns0:c r="G12" s="314" t="n">
        <ns0:v>0.3823529411764706</ns0:v>
      </ns0:c>
      <ns0:c r="H12" s="314" t="n">
        <ns0:v>0.4413217613412557</ns0:v>
      </ns0:c>
      <ns0:c r="I12" s="314" t="n">
        <ns0:v>0.3515158595518539</ns0:v>
      </ns0:c>
      <ns0:c r="J12" s="314" t="n">
        <ns0:v>0.784401569580336</ns0:v>
      </ns0:c>
      <ns0:c r="K12" s="315">
        <ns0:f>(D12-D$14)*100</ns0:f>
        <ns0:v>0.31984848125492</ns0:v>
      </ns0:c>
      <ns0:c r="L12" s="315">
        <ns0:f>(E12-E$14)*100</ns0:f>
        <ns0:v>-0.39682539682539</ns0:v>
      </ns0:c>
    </ns0:row>
    <ns0:row r="13" ht="24" customHeight="1" s="2">
      <ns0:c r="A13" s="310" t="inlineStr">
        <ns0:is>
          <ns0:t>room0</ns0:t>
        </ns0:is>
      </ns0:c>
      <ns0:c r="B13" s="310" t="inlineStr">
        <ns0:is>
          <ns0:t>v7_merge</ns0:t>
        </ns0:is>
      </ns0:c>
      <ns0:c r="C13" s="310" t="n">
        <ns0:v>0.25</ns0:v>
      </ns0:c>
      <ns0:c r="D13" s="311" t="n">
        <ns0:v>0.1627663869505834</ns0:v>
      </ns0:c>
      <ns0:c r="E13" s="311" t="n">
        <ns0:v>0.2687996031746032</ns0:v>
      </ns0:c>
      <ns0:c r="F13" s="311" t="n">
        <ns0:v>0.2034579836882293</ns0:v>
      </ns0:c>
      <ns0:c r="G13" s="311" t="n">
        <ns0:v>0.3823529411764706</ns0:v>
      </ns0:c>
      <ns0:c r="H13" s="311" t="n">
        <ns0:v>0.4413217613412557</ns0:v>
      </ns0:c>
      <ns0:c r="I13" s="311" t="n">
        <ns0:v>0.3515158595518539</ns0:v>
      </ns0:c>
      <ns0:c r="J13" s="311" t="n">
        <ns0:v>0.784401569580336</ns0:v>
      </ns0:c>
      <ns0:c r="K13" s="312">
        <ns0:f>(D13-D$14)*100</ns0:f>
        <ns0:v>-0.130797679644121</ns0:v>
      </ns0:c>
      <ns0:c r="L13" s="312">
        <ns0:f>(E13-E$14)*100</ns0:f>
        <ns0:v>-3.22916666666666</ns0:v>
      </ns0:c>
    </ns0:row>
    <ns0:row r="14" ht="24" customHeight="1" s="2">
      <ns0:c r="A14" s="313" t="inlineStr">
        <ns0:is>
          <ns0:t>room0</ns0:t>
        </ns0:is>
      </ns0:c>
      <ns0:c r="B14" s="313" t="inlineStr">
        <ns0:is>
          <ns0:t>v7_merge</ns0:t>
        </ns0:is>
      </ns0:c>
      <ns0:c r="C14" s="313" t="n">
        <ns0:v>0.5</ns0:v>
      </ns0:c>
      <ns0:c r="D14" s="314" t="n">
        <ns0:v>0.1640743637470246</ns0:v>
      </ns0:c>
      <ns0:c r="E14" s="314" t="n">
        <ns0:v>0.3010912698412698</ns0:v>
      </ns0:c>
      <ns0:c r="F14" s="314" t="n">
        <ns0:v>0.1992331559785299</ns0:v>
      </ns0:c>
      <ns0:c r="G14" s="314" t="n">
        <ns0:v>0.3823529411764706</ns0:v>
      </ns0:c>
      <ns0:c r="H14" s="314" t="n">
        <ns0:v>0.4413217613412557</ns0:v>
      </ns0:c>
      <ns0:c r="I14" s="314" t="n">
        <ns0:v>0.3515158595518539</ns0:v>
      </ns0:c>
      <ns0:c r="J14" s="314" t="n">
        <ns0:v>0.784401569580336</ns0:v>
      </ns0:c>
      <ns0:c r="K14" s="315">
        <ns0:f>(D14-D$14)*100</ns0:f>
        <ns0:v>0</ns0:v>
      </ns0:c>
      <ns0:c r="L14" s="315">
        <ns0:f>(E14-E$14)*100</ns0:f>
        <ns0:v>0</ns0:v>
      </ns0:c>
    </ns0:row>
    <ns0:row r="15" ht="24" customHeight="1" s="2">
      <ns0:c r="A15" s="310" t="inlineStr">
        <ns0:is>
          <ns0:t>room0</ns0:t>
        </ns0:is>
      </ns0:c>
      <ns0:c r="B15" s="310" t="inlineStr">
        <ns0:is>
          <ns0:t>v7_merge</ns0:t>
        </ns0:is>
      </ns0:c>
      <ns0:c r="C15" s="310" t="n">
        <ns0:v>0.75</ns0:v>
      </ns0:c>
      <ns0:c r="D15" s="311" t="n">
        <ns0:v>0.1700617724230312</ns0:v>
      </ns0:c>
      <ns0:c r="E15" s="311" t="n">
        <ns0:v>0.2906746031746032</ns0:v>
      </ns0:c>
      <ns0:c r="F15" s="311" t="n">
        <ns0:v>0.2065035807993951</ns0:v>
      </ns0:c>
      <ns0:c r="G15" s="311" t="n">
        <ns0:v>0.4117647058823529</ns0:v>
      </ns0:c>
      <ns0:c r="H15" s="311" t="n">
        <ns0:v>0.4413217613412557</ns0:v>
      </ns0:c>
      <ns0:c r="I15" s="311" t="n">
        <ns0:v>0.3515158595518539</ns0:v>
      </ns0:c>
      <ns0:c r="J15" s="311" t="n">
        <ns0:v>0.784401569580336</ns0:v>
      </ns0:c>
      <ns0:c r="K15" s="312">
        <ns0:f>(D15-D$14)*100</ns0:f>
        <ns0:v>0.598740867600658</ns0:v>
      </ns0:c>
      <ns0:c r="L15" s="312">
        <ns0:f>(E15-E$14)*100</ns0:f>
        <ns0:v>-1.04166666666666</ns0:v>
      </ns0:c>
    </ns0:row>
    <ns0:row r="16" ht="24" customHeight="1" s="2">
      <ns0:c r="A16" s="313" t="inlineStr">
        <ns0:is>
          <ns0:t>room0</ns0:t>
        </ns0:is>
      </ns0:c>
      <ns0:c r="B16" s="313" t="inlineStr">
        <ns0:is>
          <ns0:t>v7_merge</ns0:t>
        </ns0:is>
      </ns0:c>
      <ns0:c r="C16" s="313" t="n">
        <ns0:v>1</ns0:v>
      </ns0:c>
      <ns0:c r="D16" s="314" t="n">
        <ns0:v>0.1242285169279311</ns0:v>
      </ns0:c>
      <ns0:c r="E16" s="314" t="n">
        <ns0:v>0.1969246031746032</ns0:v>
      </ns0:c>
      <ns0:c r="F16" s="314" t="n">
        <ns0:v>0.1508489134124878</ns0:v>
      </ns0:c>
      <ns0:c r="G16" s="314" t="n">
        <ns0:v>0.3235294117647059</ns0:v>
      </ns0:c>
      <ns0:c r="H16" s="314" t="n">
        <ns0:v>0.4413217613412557</ns0:v>
      </ns0:c>
      <ns0:c r="I16" s="314" t="n">
        <ns0:v>0.3515158595518539</ns0:v>
      </ns0:c>
      <ns0:c r="J16" s="314" t="n">
        <ns0:v>0.784401569580336</ns0:v>
      </ns0:c>
      <ns0:c r="K16" s="315">
        <ns0:f>(D16-D$14)*100</ns0:f>
        <ns0:v>-3.98458468190935</ns0:v>
      </ns0:c>
      <ns0:c r="L16" s="315">
        <ns0:f>(E16-E$14)*100</ns0:f>
        <ns0:v>-10.4166666666667</ns0:v>
      </ns0:c>
    </ns0:row>
    <ns0:row r="17" ht="24" customHeight="1" s="2">
      <ns0:c r="A17" s="310" t="inlineStr">
        <ns0:is>
          <ns0:t>office2</ns0:t>
        </ns0:is>
      </ns0:c>
      <ns0:c r="B17" s="310" t="inlineStr">
        <ns0:is>
          <ns0:t>v7_CLIP</ns0:t>
        </ns0:is>
      </ns0:c>
      <ns0:c r="C17" s="310" t="n">
        <ns0:v>0</ns0:v>
      </ns0:c>
      <ns0:c r="D17" s="311" t="n">
        <ns0:v>0.1059366113386184</ns0:v>
      </ns0:c>
      <ns0:c r="E17" s="311" t="n">
        <ns0:v>0.1882352941176471</ns0:v>
      </ns0:c>
      <ns0:c r="F17" s="311" t="n">
        <ns0:v>0.146293415658092</ns0:v>
      </ns0:c>
      <ns0:c r="G17" s="311" t="n">
        <ns0:v>0.2631578947368421</ns0:v>
      </ns0:c>
      <ns0:c r="H17" s="311" t="n">
        <ns0:v>0.444450827741351</ns0:v>
      </ns0:c>
      <ns0:c r="I17" s="311" t="n">
        <ns0:v>0.3263653732257894</ns0:v>
      </ns0:c>
      <ns0:c r="J17" s="311" t="n">
        <ns0:v>0.6452968220651716</ns0:v>
      </ns0:c>
      <ns0:c r="K17" s="312">
        <ns0:f>(D17-D$19)*100</ns0:f>
        <ns0:v>1.17813000575121</ns0:v>
      </ns0:c>
      <ns0:c r="L17" s="312">
        <ns0:f>(E17-E$19)*100</ns0:f>
        <ns0:v>5.88235294117647</ns0:v>
      </ns0:c>
    </ns0:row>
    <ns0:row r="18" ht="24" customHeight="1" s="2">
      <ns0:c r="A18" s="313" t="inlineStr">
        <ns0:is>
          <ns0:t>office2</ns0:t>
        </ns0:is>
      </ns0:c>
      <ns0:c r="B18" s="313" t="inlineStr">
        <ns0:is>
          <ns0:t>v7_CLIP</ns0:t>
        </ns0:is>
      </ns0:c>
      <ns0:c r="C18" s="313" t="n">
        <ns0:v>0.25</ns0:v>
      </ns0:c>
      <ns0:c r="D18" s="314" t="n">
        <ns0:v>0.1069961403210509</ns0:v>
      </ns0:c>
      <ns0:c r="E18" s="314" t="n">
        <ns0:v>0.1882352941176471</ns0:v>
      </ns0:c>
      <ns0:c r="F18" s="314" t="n">
        <ns0:v>0.1477565747290703</ns0:v>
      </ns0:c>
      <ns0:c r="G18" s="314" t="n">
        <ns0:v>0.2631578947368421</ns0:v>
      </ns0:c>
      <ns0:c r="H18" s="314" t="n">
        <ns0:v>0.444450827741351</ns0:v>
      </ns0:c>
      <ns0:c r="I18" s="314" t="n">
        <ns0:v>0.3263653732257894</ns0:v>
      </ns0:c>
      <ns0:c r="J18" s="314" t="n">
        <ns0:v>0.6452968220651716</ns0:v>
      </ns0:c>
      <ns0:c r="K18" s="315">
        <ns0:f>(D18-D$19)*100</ns0:f>
        <ns0:v>1.28408290399446</ns0:v>
      </ns0:c>
      <ns0:c r="L18" s="315">
        <ns0:f>(E18-E$19)*100</ns0:f>
        <ns0:v>5.88235294117647</ns0:v>
      </ns0:c>
    </ns0:row>
    <ns0:row r="19" ht="24" customHeight="1" s="2">
      <ns0:c r="A19" s="310" t="inlineStr">
        <ns0:is>
          <ns0:t>office2</ns0:t>
        </ns0:is>
      </ns0:c>
      <ns0:c r="B19" s="310" t="inlineStr">
        <ns0:is>
          <ns0:t>v7_CLIP</ns0:t>
        </ns0:is>
      </ns0:c>
      <ns0:c r="C19" s="310" t="n">
        <ns0:v>0.5</ns0:v>
      </ns0:c>
      <ns0:c r="D19" s="311" t="n">
        <ns0:v>0.09415531128110625</ns0:v>
      </ns0:c>
      <ns0:c r="E19" s="311" t="n">
        <ns0:v>0.1294117647058824</ns0:v>
      </ns0:c>
      <ns0:c r="F19" s="311" t="n">
        <ns0:v>0.125540415041475</ns0:v>
      </ns0:c>
      <ns0:c r="G19" s="311" t="n">
        <ns0:v>0.2105263157894737</ns0:v>
      </ns0:c>
      <ns0:c r="H19" s="311" t="n">
        <ns0:v>0.444450827741351</ns0:v>
      </ns0:c>
      <ns0:c r="I19" s="311" t="n">
        <ns0:v>0.3263653732257894</ns0:v>
      </ns0:c>
      <ns0:c r="J19" s="311" t="n">
        <ns0:v>0.6452968220651716</ns0:v>
      </ns0:c>
      <ns0:c r="K19" s="312">
        <ns0:f>(D19-D$19)*100</ns0:f>
        <ns0:v>0</ns0:v>
      </ns0:c>
      <ns0:c r="L19" s="312">
        <ns0:f>(E19-E$19)*100</ns0:f>
        <ns0:v>0</ns0:v>
      </ns0:c>
    </ns0:row>
    <ns0:row r="20" ht="24" customHeight="1" s="2">
      <ns0:c r="A20" s="313" t="inlineStr">
        <ns0:is>
          <ns0:t>office2</ns0:t>
        </ns0:is>
      </ns0:c>
      <ns0:c r="B20" s="313" t="inlineStr">
        <ns0:is>
          <ns0:t>v7_CLIP</ns0:t>
        </ns0:is>
      </ns0:c>
      <ns0:c r="C20" s="313" t="n">
        <ns0:v>0.75</ns0:v>
      </ns0:c>
      <ns0:c r="D20" s="314" t="n">
        <ns0:v>0.1051409757557056</ns0:v>
      </ns0:c>
      <ns0:c r="E20" s="314" t="n">
        <ns0:v>0.1529411764705882</ns0:v>
      </ns0:c>
      <ns0:c r="F20" s="314" t="n">
        <ns0:v>0.13518125454305</ns0:v>
      </ns0:c>
      <ns0:c r="G20" s="314" t="n">
        <ns0:v>0.3157894736842105</ns0:v>
      </ns0:c>
      <ns0:c r="H20" s="314" t="n">
        <ns0:v>0.444450827741351</ns0:v>
      </ns0:c>
      <ns0:c r="I20" s="314" t="n">
        <ns0:v>0.3263653732257894</ns0:v>
      </ns0:c>
      <ns0:c r="J20" s="314" t="n">
        <ns0:v>0.6452968220651716</ns0:v>
      </ns0:c>
      <ns0:c r="K20" s="315">
        <ns0:f>(D20-D$19)*100</ns0:f>
        <ns0:v>1.09856644745994</ns0:v>
      </ns0:c>
      <ns0:c r="L20" s="315">
        <ns0:f>(E20-E$19)*100</ns0:f>
        <ns0:v>2.35294117647058</ns0:v>
      </ns0:c>
    </ns0:row>
    <ns0:row r="21" ht="24" customHeight="1" s="2">
      <ns0:c r="A21" s="310" t="inlineStr">
        <ns0:is>
          <ns0:t>office2</ns0:t>
        </ns0:is>
      </ns0:c>
      <ns0:c r="B21" s="310" t="inlineStr">
        <ns0:is>
          <ns0:t>v7_CLIP</ns0:t>
        </ns0:is>
      </ns0:c>
      <ns0:c r="C21" s="310" t="n">
        <ns0:v>1</ns0:v>
      </ns0:c>
      <ns0:c r="D21" s="311" t="n">
        <ns0:v>0.09849297543184926</ns0:v>
      </ns0:c>
      <ns0:c r="E21" s="311" t="n">
        <ns0:v>0.1411764705882353</ns0:v>
      </ns0:c>
      <ns0:c r="F21" s="311" t="n">
        <ns0:v>0.1266338255552348</ns0:v>
      </ns0:c>
      <ns0:c r="G21" s="311" t="n">
        <ns0:v>0.2631578947368421</ns0:v>
      </ns0:c>
      <ns0:c r="H21" s="311" t="n">
        <ns0:v>0.444450827741351</ns0:v>
      </ns0:c>
      <ns0:c r="I21" s="311" t="n">
        <ns0:v>0.3263653732257894</ns0:v>
      </ns0:c>
      <ns0:c r="J21" s="311" t="n">
        <ns0:v>0.6452968220651716</ns0:v>
      </ns0:c>
      <ns0:c r="K21" s="312">
        <ns0:f>(D21-D$19)*100</ns0:f>
        <ns0:v>0.433766415074301</ns0:v>
      </ns0:c>
      <ns0:c r="L21" s="312">
        <ns0:f>(E21-E$19)*100</ns0:f>
        <ns0:v>1.17647058823529</ns0:v>
      </ns0:c>
    </ns0:row>
    <ns0:row r="22" ht="24" customHeight="1" s="2">
      <ns0:c r="A22" s="313" t="inlineStr">
        <ns0:is>
          <ns0:t>office2</ns0:t>
        </ns0:is>
      </ns0:c>
      <ns0:c r="B22" s="313" t="inlineStr">
        <ns0:is>
          <ns0:t>v7_merge</ns0:t>
        </ns0:is>
      </ns0:c>
      <ns0:c r="C22" s="313" t="n">
        <ns0:v>0</ns0:v>
      </ns0:c>
      <ns0:c r="D22" s="314" t="n">
        <ns0:v>0.08882578152015838</ns0:v>
      </ns0:c>
      <ns0:c r="E22" s="314" t="n">
        <ns0:v>0.1882352941176471</ns0:v>
      </ns0:c>
      <ns0:c r="F22" s="314" t="n">
        <ns0:v>0.1226641744802187</ns0:v>
      </ns0:c>
      <ns0:c r="G22" s="314" t="n">
        <ns0:v>0.2777777777777778</ns0:v>
      </ns0:c>
      <ns0:c r="H22" s="314" t="n">
        <ns0:v>0.4501461608204587</ns0:v>
      </ns0:c>
      <ns0:c r="I22" s="314" t="n">
        <ns0:v>0.2728854910247132</ns0:v>
      </ns0:c>
      <ns0:c r="J22" s="314" t="n">
        <ns0:v>0.646326491670837</ns0:v>
      </ns0:c>
      <ns0:c r="K22" s="315">
        <ns0:f>(D22-D$24)*100</ns0:f>
        <ns0:v>0.916341323071514</ns0:v>
      </ns0:c>
      <ns0:c r="L22" s="315">
        <ns0:f>(E22-E$24)*100</ns0:f>
        <ns0:v>5.88235294117647</ns0:v>
      </ns0:c>
    </ns0:row>
    <ns0:row r="23" ht="24" customHeight="1" s="2">
      <ns0:c r="A23" s="310" t="inlineStr">
        <ns0:is>
          <ns0:t>office2</ns0:t>
        </ns0:is>
      </ns0:c>
      <ns0:c r="B23" s="310" t="inlineStr">
        <ns0:is>
          <ns0:t>v7_merge</ns0:t>
        </ns0:is>
      </ns0:c>
      <ns0:c r="C23" s="310" t="n">
        <ns0:v>0.25</ns0:v>
      </ns0:c>
      <ns0:c r="D23" s="311" t="n">
        <ns0:v>0.06783821498267675</ns0:v>
      </ns0:c>
      <ns0:c r="E23" s="311" t="n">
        <ns0:v>0.1294117647058824</ns0:v>
      </ns0:c>
      <ns0:c r="F23" s="311" t="n">
        <ns0:v>0.09368134449988695</ns0:v>
      </ns0:c>
      <ns0:c r="G23" s="311" t="n">
        <ns0:v>0.2222222222222222</ns0:v>
      </ns0:c>
      <ns0:c r="H23" s="311" t="n">
        <ns0:v>0.4501461608204587</ns0:v>
      </ns0:c>
      <ns0:c r="I23" s="311" t="n">
        <ns0:v>0.2728854910247132</ns0:v>
      </ns0:c>
      <ns0:c r="J23" s="311" t="n">
        <ns0:v>0.646326491670837</ns0:v>
      </ns0:c>
      <ns0:c r="K23" s="312">
        <ns0:f>(D23-D$24)*100</ns0:f>
        <ns0:v>-1.18241533067665</ns0:v>
      </ns0:c>
      <ns0:c r="L23" s="312">
        <ns0:f>(E23-E$24)*100</ns0:f>
        <ns0:v>0</ns0:v>
      </ns0:c>
    </ns0:row>
    <ns0:row r="24" ht="24" customHeight="1" s="2">
      <ns0:c r="A24" s="313" t="inlineStr">
        <ns0:is>
          <ns0:t>office2</ns0:t>
        </ns0:is>
      </ns0:c>
      <ns0:c r="B24" s="313" t="inlineStr">
        <ns0:is>
          <ns0:t>v7_merge</ns0:t>
        </ns0:is>
      </ns0:c>
      <ns0:c r="C24" s="313" t="n">
        <ns0:v>0.5</ns0:v>
      </ns0:c>
      <ns0:c r="D24" s="314" t="n">
        <ns0:v>0.07966236828944324</ns0:v>
      </ns0:c>
      <ns0:c r="E24" s="314" t="n">
        <ns0:v>0.1294117647058824</ns0:v>
      </ns0:c>
      <ns0:c r="F24" s="314" t="n">
        <ns0:v>0.106216491052591</ns0:v>
      </ns0:c>
      <ns0:c r="G24" s="314" t="n">
        <ns0:v>0.2222222222222222</ns0:v>
      </ns0:c>
      <ns0:c r="H24" s="314" t="n">
        <ns0:v>0.4501461608204587</ns0:v>
      </ns0:c>
      <ns0:c r="I24" s="314" t="n">
        <ns0:v>0.2728854910247132</ns0:v>
      </ns0:c>
      <ns0:c r="J24" s="314" t="n">
        <ns0:v>0.646326491670837</ns0:v>
      </ns0:c>
      <ns0:c r="K24" s="315">
        <ns0:f>(D24-D$24)*100</ns0:f>
        <ns0:v>0</ns0:v>
      </ns0:c>
      <ns0:c r="L24" s="315">
        <ns0:f>(E24-E$24)*100</ns0:f>
        <ns0:v>0</ns0:v>
      </ns0:c>
    </ns0:row>
    <ns0:row r="25" ht="24" customHeight="1" s="2">
      <ns0:c r="A25" s="310" t="inlineStr">
        <ns0:is>
          <ns0:t>office2</ns0:t>
        </ns0:is>
      </ns0:c>
      <ns0:c r="B25" s="310" t="inlineStr">
        <ns0:is>
          <ns0:t>v7_merge</ns0:t>
        </ns0:is>
      </ns0:c>
      <ns0:c r="C25" s="310" t="n">
        <ns0:v>0.75</ns0:v>
      </ns0:c>
      <ns0:c r="D25" s="311" t="n">
        <ns0:v>0.08986567509013925</ns0:v>
      </ns0:c>
      <ns0:c r="E25" s="311" t="n">
        <ns0:v>0.1274509803921569</ns0:v>
      </ns0:c>
      <ns0:c r="F25" s="311" t="n">
        <ns0:v>0.1155415822587505</ns0:v>
      </ns0:c>
      <ns0:c r="G25" s="311" t="n">
        <ns0:v>0.2777777777777778</ns0:v>
      </ns0:c>
      <ns0:c r="H25" s="311" t="n">
        <ns0:v>0.4501461608204587</ns0:v>
      </ns0:c>
      <ns0:c r="I25" s="311" t="n">
        <ns0:v>0.2728854910247132</ns0:v>
      </ns0:c>
      <ns0:c r="J25" s="311" t="n">
        <ns0:v>0.646326491670837</ns0:v>
      </ns0:c>
      <ns0:c r="K25" s="312">
        <ns0:f>(D25-D$24)*100</ns0:f>
        <ns0:v>1.0203306800696</ns0:v>
      </ns0:c>
      <ns0:c r="L25" s="312">
        <ns0:f>(E25-E$24)*100</ns0:f>
        <ns0:v>-0.196078431372548</ns0:v>
      </ns0:c>
    </ns0:row>
    <ns0:row r="26" ht="24" customHeight="1" s="2">
      <ns0:c r="A26" s="313" t="inlineStr">
        <ns0:is>
          <ns0:t>office2</ns0:t>
        </ns0:is>
      </ns0:c>
      <ns0:c r="B26" s="313" t="inlineStr">
        <ns0:is>
          <ns0:t>v7_merge</ns0:t>
        </ns0:is>
      </ns0:c>
      <ns0:c r="C26" s="313" t="n">
        <ns0:v>1</ns0:v>
      </ns0:c>
      <ns0:c r="D26" s="314" t="n">
        <ns0:v>0.08335717339884045</ns0:v>
      </ns0:c>
      <ns0:c r="E26" s="314" t="n">
        <ns0:v>0.1205882352941176</ns0:v>
      </ns0:c>
      <ns0:c r="F26" s="314" t="n">
        <ns0:v>0.107173508655652</ns0:v>
      </ns0:c>
      <ns0:c r="G26" s="314" t="n">
        <ns0:v>0.2222222222222222</ns0:v>
      </ns0:c>
      <ns0:c r="H26" s="314" t="n">
        <ns0:v>0.4501461608204587</ns0:v>
      </ns0:c>
      <ns0:c r="I26" s="314" t="n">
        <ns0:v>0.2728854910247132</ns0:v>
      </ns0:c>
      <ns0:c r="J26" s="314" t="n">
        <ns0:v>0.646326491670837</ns0:v>
      </ns0:c>
      <ns0:c r="K26" s="315">
        <ns0:f>(D26-D$24)*100</ns0:f>
        <ns0:v>0.369480510939721</ns0:v>
      </ns0:c>
      <ns0:c r="L26" s="315">
        <ns0:f>(E26-E$24)*100</ns0:f>
        <ns0:v>-0.88235294117648</ns0:v>
      </ns0:c>
    </ns0:row>
    <ns0:row r="27" ht="24" customHeight="1" s="2">
      <ns0:c r="A27" s="310" t="inlineStr">
        <ns0:is>
          <ns0:t>room1</ns0:t>
        </ns0:is>
      </ns0:c>
      <ns0:c r="B27" s="310" t="inlineStr">
        <ns0:is>
          <ns0:t>v7_CLIP</ns0:t>
        </ns0:is>
      </ns0:c>
      <ns0:c r="C27" s="310" t="n">
        <ns0:v>0</ns0:v>
      </ns0:c>
      <ns0:c r="D27" s="311" t="n">
        <ns0:v>0.210377231413111</ns0:v>
      </ns0:c>
      <ns0:c r="E27" s="311" t="n">
        <ns0:v>0.2670739348370927</ns0:v>
      </ns0:c>
      <ns0:c r="F27" s="311" t="n">
        <ns0:v>0.2366743853397498</ns0:v>
      </ns0:c>
      <ns0:c r="G27" s="311" t="n">
        <ns0:v>0.5555555555555556</ns0:v>
      </ns0:c>
      <ns0:c r="H27" s="311" t="n">
        <ns0:v>0.4315999409124848</ns0:v>
      </ns0:c>
      <ns0:c r="I27" s="311" t="n">
        <ns0:v>0.2567989750327216</ns0:v>
      </ns0:c>
      <ns0:c r="J27" s="311" t="n">
        <ns0:v>0.7612885442583471</ns0:v>
      </ns0:c>
      <ns0:c r="K27" s="312">
        <ns0:f>(D27-D$28)*100</ns0:f>
        <ns0:v>5.2206211507192</ns0:v>
      </ns0:c>
      <ns0:c r="L27" s="312">
        <ns0:f>(E27-E$28)*100</ns0:f>
        <ns0:v>3.31453634085213</ns0:v>
      </ns0:c>
    </ns0:row>
    <ns0:row r="28" ht="24" customHeight="1" s="2">
      <ns0:c r="A28" s="313" t="inlineStr">
        <ns0:is>
          <ns0:t>room1</ns0:t>
        </ns0:is>
      </ns0:c>
      <ns0:c r="B28" s="313" t="inlineStr">
        <ns0:is>
          <ns0:t>v7_CLIP</ns0:t>
        </ns0:is>
      </ns0:c>
      <ns0:c r="C28" s="313" t="n">
        <ns0:v>0.5</ns0:v>
      </ns0:c>
      <ns0:c r="D28" s="314" t="n">
        <ns0:v>0.158171019905919</ns0:v>
      </ns0:c>
      <ns0:c r="E28" s="314" t="n">
        <ns0:v>0.2339285714285714</ns0:v>
      </ns0:c>
      <ns0:c r="F28" s="314" t="n">
        <ns0:v>0.1845328565569055</ns0:v>
      </ns0:c>
      <ns0:c r="G28" s="314" t="n">
        <ns0:v>0.5555555555555556</ns0:v>
      </ns0:c>
      <ns0:c r="H28" s="314" t="n">
        <ns0:v>0.4315999409124848</ns0:v>
      </ns0:c>
      <ns0:c r="I28" s="314" t="n">
        <ns0:v>0.2567989750327216</ns0:v>
      </ns0:c>
      <ns0:c r="J28" s="314" t="n">
        <ns0:v>0.7612885442583471</ns0:v>
      </ns0:c>
      <ns0:c r="K28" s="315">
        <ns0:f>(D28-D$28)*100</ns0:f>
        <ns0:v>0</ns0:v>
      </ns0:c>
      <ns0:c r="L28" s="315">
        <ns0:f>(E28-E$28)*100</ns0:f>
        <ns0:v>0</ns0:v>
      </ns0:c>
    </ns0:row>
    <ns0:row r="29" ht="24" customHeight="1" s="2">
      <ns0:c r="A29" s="310" t="inlineStr">
        <ns0:is>
          <ns0:t>office0</ns0:t>
        </ns0:is>
      </ns0:c>
      <ns0:c r="B29" s="310" t="inlineStr">
        <ns0:is>
          <ns0:t>v7_CLIP</ns0:t>
        </ns0:is>
      </ns0:c>
      <ns0:c r="C29" s="310" t="n">
        <ns0:v>0</ns0:v>
      </ns0:c>
      <ns0:c r="D29" s="311" t="n">
        <ns0:v>0.1527351148100282</ns0:v>
      </ns0:c>
      <ns0:c r="E29" s="311" t="n">
        <ns0:v>0.225</ns0:v>
      </ns0:c>
      <ns0:c r="F29" s="311" t="n">
        <ns0:v>0.1845549303954507</ns0:v>
      </ns0:c>
      <ns0:c r="G29" s="311" t="n">
        <ns0:v>0.7</ns0:v>
      </ns0:c>
      <ns0:c r="H29" s="311" t="n">
        <ns0:v>0.3930128475211291</ns0:v>
      </ns0:c>
      <ns0:c r="I29" s="311" t="n">
        <ns0:v>0.1898389285028961</ns0:v>
      </ns0:c>
      <ns0:c r="J29" s="311" t="n">
        <ns0:v>0.6369576990191949</ns0:v>
      </ns0:c>
      <ns0:c r="K29" s="312">
        <ns0:f>(D29-D$30)*100</ns0:f>
        <ns0:v>2.70860399981237</ns0:v>
      </ns0:c>
      <ns0:c r="L29" s="312">
        <ns0:f>(E29-E$30)*100</ns0:f>
        <ns0:v>7.5</ns0:v>
      </ns0:c>
    </ns0:row>
    <ns0:row r="30" ht="24" customHeight="1" s="2">
      <ns0:c r="A30" s="313" t="inlineStr">
        <ns0:is>
          <ns0:t>office0</ns0:t>
        </ns0:is>
      </ns0:c>
      <ns0:c r="B30" s="313" t="inlineStr">
        <ns0:is>
          <ns0:t>v7_CLIP</ns0:t>
        </ns0:is>
      </ns0:c>
      <ns0:c r="C30" s="313" t="n">
        <ns0:v>0.5</ns0:v>
      </ns0:c>
      <ns0:c r="D30" s="314" t="n">
        <ns0:v>0.1256490748119045</ns0:v>
      </ns0:c>
      <ns0:c r="E30" s="314" t="n">
        <ns0:v>0.15</ns0:v>
      </ns0:c>
      <ns0:c r="F30" s="314" t="n">
        <ns0:v>0.1465905872805552</ns0:v>
      </ns0:c>
      <ns0:c r="G30" s="314" t="n">
        <ns0:v>0.5</ns0:v>
      </ns0:c>
      <ns0:c r="H30" s="314" t="n">
        <ns0:v>0.3930128475211291</ns0:v>
      </ns0:c>
      <ns0:c r="I30" s="314" t="n">
        <ns0:v>0.1898389285028961</ns0:v>
      </ns0:c>
      <ns0:c r="J30" s="314" t="n">
        <ns0:v>0.6369576990191949</ns0:v>
      </ns0:c>
      <ns0:c r="K30" s="315">
        <ns0:f>(D30-D$30)*100</ns0:f>
        <ns0:v>0</ns0:v>
      </ns0:c>
      <ns0:c r="L30" s="315">
        <ns0:f>(E30-E$30)*100</ns0:f>
        <ns0:v>0</ns0:v>
      </ns0:c>
    </ns0:row>
    <ns0:row r="31"/>
    <ns0:row r="32" ht="32" customHeight="1" s="2">
      <ns0:c r="A32" s="308" t="inlineStr">
        <ns0:is>
          <ns0:t>* 主语义 mIoU 平均 union&gt;0 类；GT类 mIoU 仅为与旧表对照。标签正确率仅统计一对一 IoU≥0.5 匹配对象。</ns0:t>
        </ns0:is>
      </ns0:c>
    </ns0:row>
    <ns0:row r="33" ht="32" customHeight="1" s="2">
      <ns0:c r="A33" s="308" t="inlineStr">
        <ns0:is>
          <ns0:t>每张固定地图的类别无关指标在全部权重下完全一致；这些是离线读出消融，不能作为新在线运行指标。</ns0:t>
        </ns0:is>
      </ns0:c>
    </ns0:row>
    <ns0:row r="34"/>
    <ns0:row r="35" ht="32" customHeight="1" s="2">
      <ns0:c r="A35" s="308" t="inlineStr">
        <ns0:is>
          <ns0:t>建议按用途拆分：关联暂保留等权融合，语义改用独立 bbox-only 读出；不整套回退，不宣称全面优于原版。</ns0:t>
        </ns0:is>
      </ns0:c>
    </ns0:row>
    <ns0:row r="36" ht="32" customHeight="1" s="2">
      <ns0:c r="A36" s="308" t="inlineStr">
        <ns0:is>
          <ns0:t>固定候选验证：room1、office0 的 bbox-only 语义 mIoU/AP50 均提升；room0 AP50 下降必须保留。</ns0:t>
        </ns0:is>
      </ns0:c>
    </ns0:row>
    <ns0:row r="37"/>
    <ns0:row r="38" ht="32" customHeight="1" s="2">
      <ns0:c r="A38" s="308" t="inlineStr">
        <ns0:is>
          <ns0:t>来源：/home/chenkejun/beauty/clip_applicability_audit_20260910/&lt;场景&gt;/readout_summary.json；实现和原始特征、聚合历史、混淆矩阵与原始日志均保留。</ns0:t>
        </ns0:is>
      </ns0:c>
    </ns0:row>
  </ns0:sheetData>
  <ns0:mergeCells count="9">
    <ns0:mergeCell ref="A38:L38"/>
    <ns0:mergeCell ref="A2:L2"/>
    <ns0:mergeCell ref="A33:L33"/>
    <ns0:mergeCell ref="A1:L1"/>
    <ns0:mergeCell ref="A32:L32"/>
    <ns0:mergeCell ref="A36:L36"/>
    <ns0:mergeCell ref="A3:L3"/>
    <ns0:mergeCell ref="A35:L35"/>
    <ns0:mergeCell ref="A4:L4"/>
  </ns0:mergeCells>
  <ns0:pageMargins left="0.25" right="0.25" top="0.3" bottom="0.3" header="0.5" footer="0.5"/>
  <ns0:pageSetup orientation="landscape" paperSize="8" fitToHeight="1" fitToWidth="1"/>
</ns0:worksheet>
</file>

<file path=xl/worksheets/sheet25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L32"/>
  <ns0:sheetViews>
    <ns0:sheetView showGridLines="0" workbookViewId="0">
      <ns0:selection activeCell="A1" sqref="A1"/>
    </ns0:sheetView>
  </ns0:sheetViews>
  <ns0:sheetFormatPr baseColWidth="8" defaultRowHeight="15"/>
  <ns0:cols>
    <ns0:col width="14" customWidth="1" style="2" min="1" max="1"/>
    <ns0:col width="20" customWidth="1" style="2" min="2" max="2"/>
    <ns0:col width="14" customWidth="1" style="2" min="3" max="3"/>
    <ns0:col width="14" customWidth="1" style="2" min="4" max="4"/>
    <ns0:col width="14" customWidth="1" style="2" min="5" max="5"/>
    <ns0:col width="14" customWidth="1" style="2" min="6" max="6"/>
    <ns0:col width="14" customWidth="1" style="2" min="7" max="7"/>
    <ns0:col width="14" customWidth="1" style="2" min="8" max="8"/>
    <ns0:col width="14" customWidth="1" style="2" min="9" max="9"/>
    <ns0:col width="14" customWidth="1" style="2" min="10" max="10"/>
    <ns0:col width="14" customWidth="1" style="2" min="11" max="11"/>
    <ns0:col width="14" customWidth="1" style="2" min="12" max="12"/>
  </ns0:cols>
  <ns0:sheetData>
    <ns0:row r="1" ht="32" customHeight="1" s="2">
      <ns0:c r="A1" s="307" t="inlineStr">
        <ns0:is>
          <ns0:t>CLIP 关联、成本与局限</ns0:t>
        </ns0:is>
      </ns0:c>
    </ns0:row>
    <ns0:row r="2" ht="32" customHeight="1" s="2">
      <ns0:c r="A2" s="308" t="inlineStr">
        <ns0:is>
          <ns0:t>候选诊断使用原事件时的历史版本与空间分数。每次运行都重现原视觉分数；未把替换后的分数当作已执行决策。</ns0:t>
        </ns0:is>
      </ns0:c>
    </ns0:row>
    <ns0:row r="3"/>
    <ns0:row r="4" ht="34" customHeight="1" s="2">
      <ns0:c r="A4" s="309" t="inlineStr">
        <ns0:is>
          <ns0:t>场景</ns0:t>
        </ns0:is>
      </ns0:c>
      <ns0:c r="B4" s="309" t="inlineStr">
        <ns0:is>
          <ns0:t>冻结轨迹</ns0:t>
        </ns0:is>
      </ns0:c>
      <ns0:c r="C4" s="309" t="inlineStr">
        <ns0:is>
          <ns0:t>事件数</ns0:t>
        </ns0:is>
      </ns0:c>
      <ns0:c r="D4" s="309" t="inlineStr">
        <ns0:is>
          <ns0:t>候选变化</ns0:t>
        </ns0:is>
      </ns0:c>
      <ns0:c r="E4" s="309" t="inlineStr">
        <ns0:is>
          <ns0:t>1.2跨阈值</ns0:t>
        </ns0:is>
      </ns0:c>
      <ns0:c r="F4" s="309" t="inlineStr">
        <ns0:is>
          <ns0:t>分差条件变化</ns0:t>
        </ns0:is>
      </ns0:c>
    </ns0:row>
    <ns0:row r="5" ht="24" customHeight="1" s="2">
      <ns0:c r="A5" s="310" t="inlineStr">
        <ns0:is>
          <ns0:t>room0</ns0:t>
        </ns0:is>
      </ns0:c>
      <ns0:c r="B5" s="310" t="inlineStr">
        <ns0:is>
          <ns0:t>融合→bbox</ns0:t>
        </ns0:is>
      </ns0:c>
      <ns0:c r="C5" s="310" t="n">
        <ns0:v>9304</ns0:v>
      </ns0:c>
      <ns0:c r="D5" s="310" t="n">
        <ns0:v>59</ns0:v>
      </ns0:c>
      <ns0:c r="E5" s="310" t="n">
        <ns0:v>5</ns0:v>
      </ns0:c>
      <ns0:c r="F5" s="310" t="n">
        <ns0:v>22</ns0:v>
      </ns0:c>
    </ns0:row>
    <ns0:row r="6" ht="24" customHeight="1" s="2">
      <ns0:c r="A6" s="313" t="inlineStr">
        <ns0:is>
          <ns0:t>room0</ns0:t>
        </ns0:is>
      </ns0:c>
      <ns0:c r="B6" s="313" t="inlineStr">
        <ns0:is>
          <ns0:t>bbox→融合</ns0:t>
        </ns0:is>
      </ns0:c>
      <ns0:c r="C6" s="313" t="n">
        <ns0:v>9304</ns0:v>
      </ns0:c>
      <ns0:c r="D6" s="313" t="n">
        <ns0:v>64</ns0:v>
      </ns0:c>
      <ns0:c r="E6" s="313" t="n">
        <ns0:v>9</ns0:v>
      </ns0:c>
      <ns0:c r="F6" s="313" t="n">
        <ns0:v>27</ns0:v>
      </ns0:c>
    </ns0:row>
    <ns0:row r="7" ht="24" customHeight="1" s="2">
      <ns0:c r="A7" s="310" t="inlineStr">
        <ns0:is>
          <ns0:t>office2</ns0:t>
        </ns0:is>
      </ns0:c>
      <ns0:c r="B7" s="310" t="inlineStr">
        <ns0:is>
          <ns0:t>融合→bbox</ns0:t>
        </ns0:is>
      </ns0:c>
      <ns0:c r="C7" s="310" t="n">
        <ns0:v>5613</ns0:v>
      </ns0:c>
      <ns0:c r="D7" s="310" t="n">
        <ns0:v>28</ns0:v>
      </ns0:c>
      <ns0:c r="E7" s="310" t="n">
        <ns0:v>3</ns0:v>
      </ns0:c>
      <ns0:c r="F7" s="310" t="n">
        <ns0:v>31</ns0:v>
      </ns0:c>
    </ns0:row>
    <ns0:row r="8" ht="24" customHeight="1" s="2">
      <ns0:c r="A8" s="313" t="inlineStr">
        <ns0:is>
          <ns0:t>office2</ns0:t>
        </ns0:is>
      </ns0:c>
      <ns0:c r="B8" s="313" t="inlineStr">
        <ns0:is>
          <ns0:t>bbox→融合</ns0:t>
        </ns0:is>
      </ns0:c>
      <ns0:c r="C8" s="313" t="n">
        <ns0:v>5613</ns0:v>
      </ns0:c>
      <ns0:c r="D8" s="313" t="n">
        <ns0:v>36</ns0:v>
      </ns0:c>
      <ns0:c r="E8" s="313" t="n">
        <ns0:v>5</ns0:v>
      </ns0:c>
      <ns0:c r="F8" s="313" t="n">
        <ns0:v>28</ns0:v>
      </ns0:c>
    </ns0:row>
    <ns0:row r="9"/>
    <ns0:row r="10" ht="32" customHeight="1" s="2">
      <ns0:c r="A10" s="308" t="inlineStr">
        <ns0:is>
          <ns0:t>同类实例区分：仅使用历史点云与 GT 对齐后纯度≥90%的诊断样本；每条观测最多确定性采样512点。</ns0:t>
        </ns0:is>
      </ns0:c>
    </ns0:row>
    <ns0:row r="11"/>
    <ns0:row r="12" ht="34" customHeight="1" s="2">
      <ns0:c r="A12" s="309" t="inlineStr">
        <ns0:is>
          <ns0:t>场景</ns0:t>
        </ns0:is>
      </ns0:c>
      <ns0:c r="B12" s="309" t="inlineStr">
        <ns0:is>
          <ns0:t>特征</ns0:t>
        </ns0:is>
      </ns0:c>
      <ns0:c r="C12" s="309" t="inlineStr">
        <ns0:is>
          <ns0:t>同实例对</ns0:t>
        </ns0:is>
      </ns0:c>
      <ns0:c r="D12" s="309" t="inlineStr">
        <ns0:is>
          <ns0:t>不同实例对</ns0:t>
        </ns0:is>
      </ns0:c>
      <ns0:c r="E12" s="309" t="inlineStr">
        <ns0:is>
          <ns0:t>AUC</ns0:t>
        </ns0:is>
      </ns0:c>
      <ns0:c r="F12" s="309" t="inlineStr">
        <ns0:is>
          <ns0:t>同实例过0.7</ns0:t>
        </ns0:is>
      </ns0:c>
      <ns0:c r="G12" s="309" t="inlineStr">
        <ns0:is>
          <ns0:t>不同实例过0.7</ns0:t>
        </ns0:is>
      </ns0:c>
    </ns0:row>
    <ns0:row r="13" ht="24" customHeight="1" s="2">
      <ns0:c r="A13" s="310" t="inlineStr">
        <ns0:is>
          <ns0:t>room0</ns0:t>
        </ns0:is>
      </ns0:c>
      <ns0:c r="B13" s="310" t="inlineStr">
        <ns0:is>
          <ns0:t>bbox</ns0:t>
        </ns0:is>
      </ns0:c>
      <ns0:c r="C13" s="310" t="n">
        <ns0:v>7031</ns0:v>
      </ns0:c>
      <ns0:c r="D13" s="310" t="n">
        <ns0:v>1001</ns0:v>
      </ns0:c>
      <ns0:c r="E13" s="311" t="n">
        <ns0:v>0.6999098895699664</ns0:v>
      </ns0:c>
      <ns0:c r="F13" s="311" t="n">
        <ns0:v>0.8280472194566918</ns0:v>
      </ns0:c>
      <ns0:c r="G13" s="311" t="n">
        <ns0:v>0.8441558441558441</ns0:v>
      </ns0:c>
    </ns0:row>
    <ns0:row r="14" ht="24" customHeight="1" s="2">
      <ns0:c r="A14" s="313" t="inlineStr">
        <ns0:is>
          <ns0:t>room0</ns0:t>
        </ns0:is>
      </ns0:c>
      <ns0:c r="B14" s="313" t="inlineStr">
        <ns0:is>
          <ns0:t>融合</ns0:t>
        </ns0:is>
      </ns0:c>
      <ns0:c r="C14" s="313" t="n">
        <ns0:v>7031</ns0:v>
      </ns0:c>
      <ns0:c r="D14" s="313" t="n">
        <ns0:v>1001</ns0:v>
      </ns0:c>
      <ns0:c r="E14" s="314" t="n">
        <ns0:v>0.82080812090768</ns0:v>
      </ns0:c>
      <ns0:c r="F14" s="314" t="n">
        <ns0:v>0.8563504480159294</ns0:v>
      </ns0:c>
      <ns0:c r="G14" s="314" t="n">
        <ns0:v>0.7542457542457542</ns0:v>
      </ns0:c>
    </ns0:row>
    <ns0:row r="15" ht="24" customHeight="1" s="2">
      <ns0:c r="A15" s="310" t="inlineStr">
        <ns0:is>
          <ns0:t>office2</ns0:t>
        </ns0:is>
      </ns0:c>
      <ns0:c r="B15" s="310" t="inlineStr">
        <ns0:is>
          <ns0:t>bbox</ns0:t>
        </ns0:is>
      </ns0:c>
      <ns0:c r="C15" s="310" t="n">
        <ns0:v>3603</ns0:v>
      </ns0:c>
      <ns0:c r="D15" s="310" t="n">
        <ns0:v>609</ns0:v>
      </ns0:c>
      <ns0:c r="E15" s="311" t="n">
        <ns0:v>0.6805266729467826</ns0:v>
      </ns0:c>
      <ns0:c r="F15" s="311" t="n">
        <ns0:v>0.8659450457951707</ns0:v>
      </ns0:c>
      <ns0:c r="G15" s="311" t="n">
        <ns0:v>0.9704433497536946</ns0:v>
      </ns0:c>
    </ns0:row>
    <ns0:row r="16" ht="24" customHeight="1" s="2">
      <ns0:c r="A16" s="313" t="inlineStr">
        <ns0:is>
          <ns0:t>office2</ns0:t>
        </ns0:is>
      </ns0:c>
      <ns0:c r="B16" s="313" t="inlineStr">
        <ns0:is>
          <ns0:t>融合</ns0:t>
        </ns0:is>
      </ns0:c>
      <ns0:c r="C16" s="313" t="n">
        <ns0:v>3603</ns0:v>
      </ns0:c>
      <ns0:c r="D16" s="313" t="n">
        <ns0:v>609</ns0:v>
      </ns0:c>
      <ns0:c r="E16" s="314" t="n">
        <ns0:v>0.7834608725532956</ns0:v>
      </ns0:c>
      <ns0:c r="F16" s="314" t="n">
        <ns0:v>0.9017485428809325</ns0:v>
      </ns0:c>
      <ns0:c r="G16" s="314" t="n">
        <ns0:v>0.9802955665024631</ns0:v>
      </ns0:c>
    </ns0:row>
    <ns0:row r="17"/>
    <ns0:row r="18" ht="32" customHeight="1" s="2">
      <ns0:c r="A18" s="308" t="inlineStr">
        <ns0:is>
          <ns0:t>AUC 是分数排序能力，不是最终关联正确率；“不同实例过0.7”仅为视觉条件通过率，不是系统实际误合并率。</ns0:t>
        </ns0:is>
      </ns0:c>
    </ns0:row>
    <ns0:row r="19" ht="32" customHeight="1" s="2">
      <ns0:c r="A19" s="308" t="inlineStr">
        <ns0:is>
          <ns0:t>样本含同物体跨帧重复，并非独立样本；混合、低纯度和无法对齐的节点另列未知，不用于身份正确率结论。</ns0:t>
        </ns0:is>
      </ns0:c>
    </ns0:row>
    <ns0:row r="20"/>
    <ns0:row r="21" ht="34" customHeight="1" s="2">
      <ns0:c r="A21" s="309" t="inlineStr">
        <ns0:is>
          <ns0:t>微基准</ns0:t>
        </ns0:is>
      </ns0:c>
      <ns0:c r="B21" s="309" t="inlineStr">
        <ns0:is>
          <ns0:t>样本裁剪数</ns0:t>
        </ns0:is>
      </ns0:c>
      <ns0:c r="C21" s="309" t="inlineStr">
        <ns0:is>
          <ns0:t>重复次数</ns0:t>
        </ns0:is>
      </ns0:c>
      <ns0:c r="D21" s="309" t="inlineStr">
        <ns0:is>
          <ns0:t>bbox中位秒</ns0:t>
        </ns0:is>
      </ns0:c>
      <ns0:c r="E21" s="309" t="inlineStr">
        <ns0:is>
          <ns0:t>融合中位秒</ns0:t>
        </ns0:is>
      </ns0:c>
      <ns0:c r="F21" s="309" t="inlineStr">
        <ns0:is>
          <ns0:t>融合/bbox</ns0:t>
        </ns0:is>
      </ns0:c>
    </ns0:row>
    <ns0:row r="22" ht="24" customHeight="1" s="2">
      <ns0:c r="A22" s="313" t="inlineStr">
        <ns0:is>
          <ns0:t>热模型图像特征</ns0:t>
        </ns0:is>
      </ns0:c>
      <ns0:c r="B22" s="313" t="n">
        <ns0:v>24</ns0:v>
      </ns0:c>
      <ns0:c r="C22" s="313" t="n">
        <ns0:v>6</ns0:v>
      </ns0:c>
      <ns0:c r="D22" s="316" t="n">
        <ns0:v>0.4241506075486541</ns0:v>
      </ns0:c>
      <ns0:c r="E22" s="316" t="n">
        <ns0:v>0.8233586903661489</ns0:v>
      </ns0:c>
      <ns0:c r="F22" s="316" t="n">
        <ns0:v>1.941194178937259</ns0:v>
      </ns0:c>
    </ns0:row>
    <ns0:row r="23"/>
    <ns0:row r="24" ht="32" customHeight="1" s="2">
      <ns0:c r="A24" s="308" t="inlineStr">
        <ns0:is>
          <ns0:t>成本仅含裁剪预处理、图像编码和归一化；排除检测、建图、VLM。不可写成整个系统慢1.94倍。</ns0:t>
        </ns0:is>
      </ns0:c>
    </ns0:row>
    <ns0:row r="25"/>
    <ns0:row r="26" ht="32" customHeight="1" s="2">
      <ns0:c r="A26" s="308" t="inlineStr">
        <ns0:is>
          <ns0:t>核验：两版4000项检测内容一致；四场景双视图均复现原特征；51类文本缓存逐项一致；原聚合树准确重放。</ns0:t>
        </ns0:is>
      </ns0:c>
    </ns0:row>
    <ns0:row r="27"/>
    <ns0:row r="28" ht="32" customHeight="1" s="2">
      <ns0:c r="A28" s="308" t="inlineStr">
        <ns0:is>
          <ns0:t>失败与局限：GPU3初始化失败，转空闲GPU1完成；诊断行号按UID纠正后重跑。保留失败日志，不计模型能力变化。</ns0:t>
        </ns0:is>
      </ns0:c>
    </ns0:row>
    <ns0:row r="29"/>
    <ns0:row r="30" ht="32" customHeight="1" s="2">
      <ns0:c r="A30" s="308" t="inlineStr">
        <ns0:is>
          <ns0:t>4个Replica场景、6张冻结地图；离线语义结论已验证。关联仅为历史候选诊断，未新跑在线序列；未修改主分支默认值。</ns0:t>
        </ns0:is>
      </ns0:c>
    </ns0:row>
    <ns0:row r="31"/>
    <ns0:row r="32" ht="32" customHeight="1" s="2">
      <ns0:c r="A32" s="308" t="inlineStr">
        <ns0:is>
          <ns0:t>服务器报告：/home/chenkejun/beauty/clip_applicability_audit_20260910/SUMMARY.md</ns0:t>
        </ns0:is>
      </ns0:c>
    </ns0:row>
  </ns0:sheetData>
  <ns0:mergeCells count="10">
    <ns0:mergeCell ref="A26:L26"/>
    <ns0:mergeCell ref="A24:L24"/>
    <ns0:mergeCell ref="A2:L2"/>
    <ns0:mergeCell ref="A30:L30"/>
    <ns0:mergeCell ref="A10:L10"/>
    <ns0:mergeCell ref="A19:L19"/>
    <ns0:mergeCell ref="A1:L1"/>
    <ns0:mergeCell ref="A28:L28"/>
    <ns0:mergeCell ref="A32:L32"/>
    <ns0:mergeCell ref="A18:L18"/>
  </ns0:mergeCells>
  <ns0:pageMargins left="0.25" right="0.25" top="0.3" bottom="0.3" header="0.5" footer="0.5"/>
  <ns0:pageSetup orientation="landscape" paperSize="8" fitToHeight="1" fitToWidth="1"/>
</ns0:worksheet>
</file>

<file path=xl/worksheets/sheet26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H25"/>
  <ns0:sheetViews>
    <ns0:sheetView showGridLines="0" workbookViewId="0">
      <ns0:pane xSplit="1" ySplit="4" topLeftCell="B5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27" customWidth="1" style="2" min="1" max="1"/>
    <ns0:col width="20" customWidth="1" style="2" min="2" max="2"/>
    <ns0:col width="17" customWidth="1" style="2" min="3" max="3"/>
    <ns0:col width="18" customWidth="1" style="2" min="4" max="4"/>
    <ns0:col width="18" customWidth="1" style="2" min="5" max="5"/>
    <ns0:col width="20" customWidth="1" style="2" min="6" max="6"/>
    <ns0:col width="21" customWidth="1" style="2" min="7" max="7"/>
    <ns0:col width="21" customWidth="1" style="2" min="8" max="8"/>
  </ns0:cols>
  <ns0:sheetData>
    <ns0:row r="1" ht="32" customHeight="1" s="2">
      <ns0:c r="A1" s="317" t="inlineStr">
        <ns0:is>
          <ns0:t>office2：v7_merge_re 统一评估</ns0:t>
        </ns0:is>
      </ns0:c>
    </ns0:row>
    <ns0:row r="2" ht="40" customHeight="1" s="2">
      <ns0:c r="A2" s="318" t="inlineStr">
        <ns0:is>
          <ns0:t>2026-09-10；office2单场景，400帧，步长5。协议 unified_fullmesh_v1_20260910；本页各方法均由相同版本评估器计算。</ns0:t>
        </ns0:is>
      </ns0:c>
    </ns0:row>
    <ns0:row r="4" ht="38" customHeight="1" s="2">
      <ns0:c r="A4" s="319" t="inlineStr">
        <ns0:is>
          <ns0:t>指标</ns0:t>
        </ns0:is>
      </ns0:c>
      <ns0:c r="B4" s="319" t="inlineStr">
        <ns0:is>
          <ns0:t>Baseline gateoff</ns0:t>
        </ns0:is>
      </ns0:c>
      <ns0:c r="C4" s="319" t="inlineStr">
        <ns0:is>
          <ns0:t>ali-my</ns0:t>
        </ns0:is>
      </ns0:c>
      <ns0:c r="D4" s="319" t="inlineStr">
        <ns0:is>
          <ns0:t>v7_CLIP</ns0:t>
        </ns0:is>
      </ns0:c>
      <ns0:c r="E4" s="319" t="inlineStr">
        <ns0:is>
          <ns0:t>OVI-MAP</ns0:t>
        </ns0:is>
      </ns0:c>
      <ns0:c r="F4" s="319" t="inlineStr">
        <ns0:is>
          <ns0:t>v7_merge_re</ns0:t>
        </ns0:is>
      </ns0:c>
      <ns0:c r="G4" s="319" t="inlineStr">
        <ns0:is>
          <ns0:t>merge_re − CLIP</ns0:t>
        </ns0:is>
      </ns0:c>
      <ns0:c r="H4" s="319" t="inlineStr">
        <ns0:is>
          <ns0:t>merge_re − OVI</ns0:t>
        </ns0:is>
      </ns0:c>
    </ns0:row>
    <ns0:row r="5" ht="28" customHeight="1" s="2">
      <ns0:c r="A5" s="320" t="inlineStr">
        <ns0:is>
          <ns0:t>实例 mIoU</ns0:t>
        </ns0:is>
      </ns0:c>
      <ns0:c r="B5" s="321" t="n">
        <ns0:v>0.41438234400121</ns0:v>
      </ns0:c>
      <ns0:c r="C5" s="321" t="n">
        <ns0:v>0.261359003226292</ns0:v>
      </ns0:c>
      <ns0:c r="D5" s="321" t="n">
        <ns0:v>0.444450827741351</ns0:v>
      </ns0:c>
      <ns0:c r="E5" s="321" t="n">
        <ns0:v>0.43542491958223</ns0:v>
      </ns0:c>
      <ns0:c r="F5" s="321" t="n">
        <ns0:v>0.432120916505914</ns0:v>
      </ns0:c>
      <ns0:c r="G5" s="322" t="n">
        <ns0:f>(F5-D5)*100</ns0:f>
        <ns0:v>-1.23299112354366</ns0:v>
      </ns0:c>
      <ns0:c r="H5" s="322" t="n">
        <ns0:f>(F5-E5)*100</ns0:f>
        <ns0:v>-0.330400307631562</ns0:v>
      </ns0:c>
    </ns0:row>
    <ns0:row r="6" ht="28" customHeight="1" s="2">
      <ns0:c r="A6" s="318" t="inlineStr">
        <ns0:is>
          <ns0:t>实例 AP25</ns0:t>
        </ns0:is>
      </ns0:c>
      <ns0:c r="B6" s="323" t="n">
        <ns0:v>0.602975295886854</ns0:v>
      </ns0:c>
      <ns0:c r="C6" s="323" t="n">
        <ns0:v>0.458186643260383</ns0:v>
      </ns0:c>
      <ns0:c r="D6" s="323" t="n">
        <ns0:v>0.656738357887824</ns0:v>
      </ns0:c>
      <ns0:c r="E6" s="323" t="n">
        <ns0:v>0.70746489885152</ns0:v>
      </ns0:c>
      <ns0:c r="F6" s="323" t="n">
        <ns0:v>0.67205662049425</ns0:v>
      </ns0:c>
      <ns0:c r="G6" s="324" t="n">
        <ns0:f>(F6-D6)*100</ns0:f>
        <ns0:v>1.53182626064259</ns0:v>
      </ns0:c>
      <ns0:c r="H6" s="324" t="n">
        <ns0:f>(F6-E6)*100</ns0:f>
        <ns0:v>-3.54082783572709</ns0:v>
      </ns0:c>
    </ns0:row>
    <ns0:row r="7" ht="28" customHeight="1" s="2">
      <ns0:c r="A7" s="320" t="inlineStr">
        <ns0:is>
          <ns0:t>实例 AP50</ns0:t>
        </ns0:is>
      </ns0:c>
      <ns0:c r="B7" s="321" t="n">
        <ns0:v>0.25311195301072</ns0:v>
      </ns0:c>
      <ns0:c r="C7" s="321" t="n">
        <ns0:v>0.117639658135982</ns0:v>
      </ns0:c>
      <ns0:c r="D7" s="321" t="n">
        <ns0:v>0.326365373225789</ns0:v>
      </ns0:c>
      <ns0:c r="E7" s="321" t="n">
        <ns0:v>0.359954223498544</ns0:v>
      </ns0:c>
      <ns0:c r="F7" s="321" t="n">
        <ns0:v>0.286262987711033</ns0:v>
      </ns0:c>
      <ns0:c r="G7" s="322" t="n">
        <ns0:f>(F7-D7)*100</ns0:f>
        <ns0:v>-4.0102385514756</ns0:v>
      </ns0:c>
      <ns0:c r="H7" s="322" t="n">
        <ns0:f>(F7-E7)*100</ns0:f>
        <ns0:v>-7.36912357875107</ns0:v>
      </ns0:c>
    </ns0:row>
    <ns0:row r="8" ht="28" customHeight="1" s="2">
      <ns0:c r="A8" s="318" t="inlineStr">
        <ns0:is>
          <ns0:t>实例 AP75</ns0:t>
        </ns0:is>
      </ns0:c>
      <ns0:c r="B8" s="323" t="n">
        <ns0:v>0.0526131891435095</ns0:v>
      </ns0:c>
      <ns0:c r="C8" s="323" t="n">
        <ns0:v>0.00658700980392157</ns0:v>
      </ns0:c>
      <ns0:c r="D8" s="323" t="n">
        <ns0:v>0.0597828737381083</ns0:v>
      </ns0:c>
      <ns0:c r="E8" s="323" t="n">
        <ns0:v>0.02925363389583</ns0:v>
      </ns0:c>
      <ns0:c r="F8" s="323" t="n">
        <ns0:v>0.0435559080837719</ns0:v>
      </ns0:c>
      <ns0:c r="G8" s="324" t="n">
        <ns0:f>(F8-D8)*100</ns0:f>
        <ns0:v>-1.62269656543364</ns0:v>
      </ns0:c>
      <ns0:c r="H8" s="324" t="n">
        <ns0:f>(F8-E8)*100</ns0:f>
        <ns0:v>1.43022741879418</ns0:v>
      </ns0:c>
    </ns0:row>
    <ns0:row r="9" ht="28" customHeight="1" s="2">
      <ns0:c r="A9" s="320" t="inlineStr">
        <ns0:is>
          <ns0:t>语义 mIoU</ns0:t>
        </ns0:is>
      </ns0:c>
      <ns0:c r="B9" s="321" t="n">
        <ns0:v>0.0720978891178627</ns0:v>
      </ns0:c>
      <ns0:c r="C9" s="321" t="n">
        <ns0:v>0.0885851615729292</ns0:v>
      </ns0:c>
      <ns0:c r="D9" s="321" t="n">
        <ns0:v>0.0941553112811063</ns0:v>
      </ns0:c>
      <ns0:c r="E9" s="321" t="n">
        <ns0:v>0.117359263644115</ns0:v>
      </ns0:c>
      <ns0:c r="F9" s="321" t="n">
        <ns0:v>0.0951310552461251</ns0:v>
      </ns0:c>
      <ns0:c r="G9" s="322" t="n">
        <ns0:f>(F9-D9)*100</ns0:f>
        <ns0:v>0.0975743965018816</ns0:v>
      </ns0:c>
      <ns0:c r="H9" s="322" t="n">
        <ns0:f>(F9-E9)*100</ns0:f>
        <ns0:v>-2.22282083979903</ns0:v>
      </ns0:c>
    </ns0:row>
    <ns0:row r="10" ht="28" customHeight="1" s="2">
      <ns0:c r="A10" s="318" t="inlineStr">
        <ns0:is>
          <ns0:t>语义 mAcc</ns0:t>
        </ns0:is>
      </ns0:c>
      <ns0:c r="B10" s="323" t="n">
        <ns0:v>0.133021219738761</ns0:v>
      </ns0:c>
      <ns0:c r="C10" s="323" t="n">
        <ns0:v>0.139715831522719</ns0:v>
      </ns0:c>
      <ns0:c r="D10" s="323" t="n">
        <ns0:v>0.134025142760132</ns0:v>
      </ns0:c>
      <ns0:c r="E10" s="323" t="n">
        <ns0:v>0.24228041623584</ns0:v>
      </ns0:c>
      <ns0:c r="F10" s="323" t="n">
        <ns0:v>0.180154084124378</ns0:v>
      </ns0:c>
      <ns0:c r="G10" s="324" t="n">
        <ns0:f>(F10-D10)*100</ns0:f>
        <ns0:v>4.61289413642453</ns0:v>
      </ns0:c>
      <ns0:c r="H10" s="324" t="n">
        <ns0:f>(F10-E10)*100</ns0:f>
        <ns0:v>-6.21263321114619</ns0:v>
      </ns0:c>
    </ns0:row>
    <ns0:row r="11" ht="28" customHeight="1" s="2">
      <ns0:c r="A11" s="320" t="inlineStr">
        <ns0:is>
          <ns0:t>语义 AP50</ns0:t>
        </ns0:is>
      </ns0:c>
      <ns0:c r="B11" s="321" t="n">
        <ns0:v>0.0950980392156863</ns0:v>
      </ns0:c>
      <ns0:c r="C11" s="321" t="n">
        <ns0:v>0.129411764705882</ns0:v>
      </ns0:c>
      <ns0:c r="D11" s="321" t="n">
        <ns0:v>0.129411764705882</ns0:v>
      </ns0:c>
      <ns0:c r="E11" s="321" t="n">
        <ns0:v>0.147058823529412</ns0:v>
      </ns0:c>
      <ns0:c r="F11" s="321" t="n">
        <ns0:v>0.188235294117647</ns0:v>
      </ns0:c>
      <ns0:c r="G11" s="322" t="n">
        <ns0:f>(F11-D11)*100</ns0:f>
        <ns0:v>5.88235294117647</ns0:v>
      </ns0:c>
      <ns0:c r="H11" s="322" t="n">
        <ns0:f>(F11-E11)*100</ns0:f>
        <ns0:v>4.11764705882353</ns0:v>
      </ns0:c>
    </ns0:row>
    <ns0:row r="12" ht="28" customHeight="1" s="2">
      <ns0:c r="A12" s="318" t="inlineStr">
        <ns0:is>
          <ns0:t>实例覆盖率 &lt;5cm</ns0:t>
        </ns0:is>
      </ns0:c>
      <ns0:c r="B12" s="323" t="n">
        <ns0:v>0.655402705222873</ns0:v>
      </ns0:c>
      <ns0:c r="C12" s="323" t="n">
        <ns0:v>0.587088087154692</ns0:v>
      </ns0:c>
      <ns0:c r="D12" s="323" t="n">
        <ns0:v>0.645296822065172</ns0:v>
      </ns0:c>
      <ns0:c r="E12" s="323" t="n">
        <ns0:v>0.654589050219795</ns0:v>
      </ns0:c>
      <ns0:c r="F12" s="323" t="n">
        <ns0:v>0.640486896914231</ns0:v>
      </ns0:c>
      <ns0:c r="G12" s="324" t="n">
        <ns0:f>(F12-D12)*100</ns0:f>
        <ns0:v>-0.480992515094014</ns0:v>
      </ns0:c>
      <ns0:c r="H12" s="324" t="n">
        <ns0:f>(F12-E12)*100</ns0:f>
        <ns0:v>-1.41021533055634</ns0:v>
      </ns0:c>
    </ns0:row>
    <ns0:row r="14" ht="40" customHeight="1" s="2">
      <ns0:c r="A14" s="318" t="inlineStr">
        <ns0:is>
          <ns0:t>同口径结论：merge_re的语义AP50较v7_CLIP提高5.88个百分点；实例AP50下降4.01个百分点，实例覆盖率下降0.48个百分点。</ns0:t>
        </ns0:is>
      </ns0:c>
    </ns0:row>
    <ns0:row r="15" ht="40" customHeight="1" s="2">
      <ns0:c r="A15" s="320" t="inlineStr">
        <ns0:is>
          <ns0:t>评测范围：官方完整office2网格858623顶点；40个合格GT实例；实例覆盖率分母277759点。未预测部分保留在分母。</ns0:t>
        </ns0:is>
      </ns0:c>
    </ns0:row>
    <ns0:row r="16" ht="44" customHeight="1" s="2">
      <ns0:c r="A16" s="318" t="inlineStr">
        <ns0:is>
          <ns0:t>实例mIoU：一对一最大总IoU匹配，全部合格GT平均，未匹配记0。实例AP不检查语义类别；语义AP必须类别正确。</ns0:t>
        </ns0:is>
      </ns0:c>
    </ns0:row>
    <ns0:row r="17" ht="44" customHeight="1" s="2">
      <ns0:c r="A17" s="320" t="inlineStr">
        <ns0:is>
          <ns0:t>语义mIoU：固定51类读出，平均union&gt;0类别。与历史页面“仅GT出现类平均”或旧SLAM点云口径不同，不可混用。</ns0:t>
        </ns0:is>
      </ns0:c>
    </ns0:row>
    <ns0:row r="18" ht="44" customHeight="1" s="2">
      <ns0:c r="A18" s="318" t="inlineStr">
        <ns0:is>
          <ns0:t>输入核对：merge_re与v7_CLIP的400帧RGB-D、位姿、内参一致；原生前端/代码版本仍有差异，不能仅据本表作模块因果结论。</ns0:t>
        </ns0:is>
      </ns0:c>
    </ns0:row>
    <ns0:row r="19" ht="40" customHeight="1" s="2">
      <ns0:c r="A19" s="320" t="inlineStr">
        <ns0:is>
          <ns0:t>运行：merge_re完整在线建图，57个最终对象；证据区间289.26分钟。该时间不是统一端到端耗时，不计算速度倍率。</ns0:t>
        </ns0:is>
      </ns0:c>
    </ns0:row>
    <ns0:row r="20" ht="44" customHeight="1" s="2">
      <ns0:c r="A20" s="318" t="inlineStr">
        <ns0:is>
          <ns0:t>缺失与局限：仅office2结果，未计算merge_re八场景均值；未核定VLM HTTP次数，缺失不填0。失败/小掩码诊断保存在原始结果。</ns0:t>
        </ns0:is>
      </ns0:c>
    </ns0:row>
    <ns0:row r="22" ht="62" customHeight="1" s="2">
      <ns0:c r="A22" s="318" t="inlineStr">
        <ns0:is>
          <ns0:t>v7_merge_re来源：/home/chenkejun/beauty/conceptgraphs/results/experiments/oracle_three_error_20260828/pilot/b0_dataset/Replica/office2/exps/v7_merge_re_auto_20260910_160644_2867240/pcd_v7_merge_re_auto_20260910_160644_2867240.pkl.gz</ns0:t>
        </ns0:is>
      </ns0:c>
    </ns0:row>
    <ns0:row r="23" ht="46" customHeight="1" s="2">
      <ns0:c r="A23" s="320" t="inlineStr">
        <ns0:is>
          <ns0:t>本次原始指标：/home/chenkejun/beauty/ovimap_aligned_eval_20260908/merge_re_eval_20260910/metrics/v7_merge_re/office2/result.json</ns0:t>
        </ns0:is>
      </ns0:c>
    </ns0:row>
    <ns0:row r="24" ht="42" customHeight="1" s="2">
      <ns0:c r="A24" s="318" t="inlineStr">
        <ns0:is>
          <ns0:t>比较方法来源：/home/chenkejun/beauty/unified_evaluator_20260910/results/&lt;method&gt;/office2/result.json</ns0:t>
        </ns0:is>
      </ns0:c>
    </ns0:row>
    <ns0:row r="25" ht="40" customHeight="1" s="2">
      <ns0:c r="A25" s="320" t="inlineStr">
        <ns0:is>
          <ns0:t>评估说明：/home/chenkejun/beauty/unified_evaluator_20260910/README.md</ns0:t>
        </ns0:is>
      </ns0:c>
    </ns0:row>
  </ns0:sheetData>
  <ns0:mergeCells count="13">
    <ns0:mergeCell ref="A18:H18"/>
    <ns0:mergeCell ref="A15:H15"/>
    <ns0:mergeCell ref="A25:H25"/>
    <ns0:mergeCell ref="A20:H20"/>
    <ns0:mergeCell ref="A24:H24"/>
    <ns0:mergeCell ref="A16:H16"/>
    <ns0:mergeCell ref="A2:H2"/>
    <ns0:mergeCell ref="A19:H19"/>
    <ns0:mergeCell ref="A14:H14"/>
    <ns0:mergeCell ref="A1:H1"/>
    <ns0:mergeCell ref="A23:H23"/>
    <ns0:mergeCell ref="A22:H22"/>
    <ns0:mergeCell ref="A17:H17"/>
  </ns0:mergeCells>
  <ns0:pageMargins left="0.25" right="0.25" top="0.3" bottom="0.3" header="0.5" footer="0.5"/>
  <ns0:pageSetup orientation="landscape" paperSize="8" fitToHeight="1" fitToWidth="1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2026-09-09T10:40:58Z</dcterms:created>
  <dcterms:modified xmlns:dcterms="http://purl.org/dc/terms/" xmlns:xsi="http://www.w3.org/2001/XMLSchema-instance" xsi:type="dcterms:W3CDTF">2026-09-10T13:17:47Z</dcterms:modified>
</cp:coreProperties>
</file>