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1.xml" ContentType="application/vnd.openxmlformats-officedocument.spreadsheetml.comments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omments/comment2.xml" ContentType="application/vnd.openxmlformats-officedocument.spreadsheetml.comments+xml"/>
  <Override PartName="/xl/worksheets/sheet17.xml" ContentType="application/vnd.openxmlformats-officedocument.spreadsheetml.worksheet+xml"/>
  <Override PartName="/xl/comments/comment3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主结果总览" sheetId="1" state="visible" r:id="rId1"/>
    <sheet xmlns:r="http://schemas.openxmlformats.org/officeDocument/2006/relationships" name="在线门控room0" sheetId="2" state="visible" r:id="rId2"/>
    <sheet xmlns:r="http://schemas.openxmlformats.org/officeDocument/2006/relationships" name="语义8场景" sheetId="3" state="visible" r:id="rId3"/>
    <sheet xmlns:r="http://schemas.openxmlformats.org/officeDocument/2006/relationships" name="对象8场景" sheetId="4" state="visible" r:id="rId4"/>
    <sheet xmlns:r="http://schemas.openxmlformats.org/officeDocument/2006/relationships" name="关系指标" sheetId="5" state="visible" r:id="rId5"/>
    <sheet xmlns:r="http://schemas.openxmlformats.org/officeDocument/2006/relationships" name="ali-my审计" sheetId="6" state="visible" r:id="rId6"/>
    <sheet xmlns:r="http://schemas.openxmlformats.org/officeDocument/2006/relationships" name="ali-my-VLM" sheetId="7" state="visible" r:id="rId7"/>
    <sheet xmlns:r="http://schemas.openxmlformats.org/officeDocument/2006/relationships" name="RevisionKernel" sheetId="8" state="visible" r:id="rId8"/>
    <sheet xmlns:r="http://schemas.openxmlformats.org/officeDocument/2006/relationships" name="论文官方指标" sheetId="9" state="visible" r:id="rId9"/>
    <sheet xmlns:r="http://schemas.openxmlformats.org/officeDocument/2006/relationships" name="其他已完成结果" sheetId="10" state="visible" r:id="rId10"/>
    <sheet xmlns:r="http://schemas.openxmlformats.org/officeDocument/2006/relationships" name="来源与说明" sheetId="11" state="visible" r:id="rId11"/>
    <sheet xmlns:r="http://schemas.openxmlformats.org/officeDocument/2006/relationships" name="三类错误Oracle" sheetId="12" state="visible" r:id="rId12"/>
    <sheet xmlns:r="http://schemas.openxmlformats.org/officeDocument/2006/relationships" name="可修性对比总览" sheetId="13" state="visible" r:id="rId13"/>
    <sheet xmlns:r="http://schemas.openxmlformats.org/officeDocument/2006/relationships" name="可修性对比明细" sheetId="14" state="visible" r:id="rId14"/>
    <sheet xmlns:r="http://schemas.openxmlformats.org/officeDocument/2006/relationships" name="Mask前置顺序总览" sheetId="15" state="visible" r:id="rId15"/>
    <sheet xmlns:r="http://schemas.openxmlformats.org/officeDocument/2006/relationships" name="Mask前置顺序明细" sheetId="16" state="visible" r:id="rId16"/>
    <sheet xmlns:r="http://schemas.openxmlformats.org/officeDocument/2006/relationships" name="OVI-MAP新增指标" sheetId="17" state="visible" r:id="rId17"/>
  </sheets>
  <definedNames>
    <definedName name="_xlnm._FilterDatabase" localSheetId="1" hidden="1">'在线门控room0'!$A$5:$L$9</definedName>
    <definedName name="_xlnm.Print_Area" localSheetId="1">'在线门控room0'!$A$1:$L$38</definedName>
    <definedName name="_xlnm._FilterDatabase" localSheetId="12" hidden="1">'可修性对比总览'!$A$21:$J$25</definedName>
    <definedName name="_xlnm._FilterDatabase" localSheetId="14" hidden="1">'Mask前置顺序总览'!$A$12:$J$18</definedName>
    <definedName name="_xlnm._FilterDatabase" localSheetId="15" hidden="1">'Mask前置顺序明细'!$A$5:$L$41</definedName>
  </definedNames>
</workbook>
</file>

<file path=xl/styles.xml><?xml version="1.0" encoding="utf-8"?>
<styleSheet xmlns="http://schemas.openxmlformats.org/spreadsheetml/2006/main">
  <numFmts count="9">
    <numFmt numFmtId="164" formatCode="+0.00 &quot;pp&quot;;-0.00 &quot;pp&quot;;0.00 &quot;pp&quot;"/>
    <numFmt numFmtId="165" formatCode="0.0000"/>
    <numFmt numFmtId="166" formatCode="0.0%"/>
    <numFmt numFmtId="167" formatCode="0.0"/>
    <numFmt numFmtId="168" formatCode="0.000"/>
    <numFmt numFmtId="169" formatCode="0.0x"/>
    <numFmt numFmtId="170" formatCode="+0.0000;-0.0000"/>
    <numFmt numFmtId="171" formatCode="0.000000%"/>
    <numFmt numFmtId="172" formatCode="+0.000000;-0.000000;0.000000"/>
  </numFmts>
  <fonts count="35">
    <font>
      <name val="宋体"/>
      <color theme="1"/>
      <sz val="11"/>
    </font>
    <font>
      <name val="宋体"/>
      <sz val="9"/>
    </font>
    <font>
      <name val="宋体"/>
      <color theme="1"/>
      <sz val="11"/>
    </font>
    <font>
      <name val="宋体"/>
      <sz val="9"/>
    </font>
    <font>
      <name val="Microsoft YaHei"/>
      <b val="1"/>
      <color rgb="FFFFFFFF"/>
      <sz val="16"/>
    </font>
    <font>
      <name val="Microsoft YaHei"/>
      <i val="1"/>
      <color rgb="FF1F1F1F"/>
      <sz val="10"/>
    </font>
    <font>
      <name val="Microsoft YaHei"/>
      <b val="1"/>
      <color rgb="FF1F4E78"/>
      <sz val="11"/>
    </font>
    <font>
      <name val="Microsoft YaHei"/>
      <b val="1"/>
      <color rgb="FFFFFFFF"/>
      <sz val="10"/>
    </font>
    <font>
      <name val="Microsoft YaHei"/>
      <color rgb="FF1F1F1F"/>
      <sz val="9"/>
    </font>
    <font>
      <name val="Microsoft YaHei"/>
      <i val="1"/>
      <color rgb="FF1F1F1F"/>
      <sz val="9"/>
    </font>
    <font>
      <name val="Microsoft YaHei"/>
      <color rgb="FF0563C1"/>
      <sz val="9"/>
    </font>
    <font>
      <name val="Microsoft YaHei"/>
      <i val="1"/>
      <sz val="10"/>
    </font>
    <font>
      <name val="Microsoft YaHei"/>
      <sz val="9"/>
    </font>
    <font>
      <name val="Microsoft YaHei"/>
      <i val="1"/>
      <sz val="9"/>
    </font>
    <font>
      <name val="Microsoft YaHei"/>
      <i val="1"/>
      <color rgb="FF222222"/>
      <sz val="10"/>
    </font>
    <font>
      <name val="Microsoft YaHei"/>
      <color rgb="FF222222"/>
      <sz val="9"/>
    </font>
    <font>
      <name val="Microsoft YaHei"/>
      <b val="1"/>
      <color rgb="FF1F4E78"/>
      <sz val="9"/>
    </font>
    <font>
      <name val="Microsoft YaHei"/>
      <b val="1"/>
      <color rgb="FFFFFFFF"/>
      <sz val="9"/>
    </font>
    <font>
      <name val="Microsoft YaHei"/>
      <b val="1"/>
      <color rgb="FF222222"/>
      <sz val="9"/>
    </font>
    <font>
      <name val="Microsoft YaHei"/>
      <color theme="1"/>
      <sz val="11"/>
    </font>
    <font>
      <name val="Microsoft YaHei"/>
      <b val="1"/>
      <color rgb="00FFFFFF"/>
      <sz val="16"/>
    </font>
    <font>
      <name val="Microsoft YaHei"/>
      <i val="1"/>
      <color rgb="007F8C8D"/>
      <sz val="10"/>
    </font>
    <font>
      <name val="Microsoft YaHei"/>
      <b val="1"/>
      <color rgb="00FFFFFF"/>
      <sz val="11"/>
    </font>
    <font>
      <name val="Microsoft YaHei"/>
      <b val="1"/>
      <color rgb="00FFFFFF"/>
      <sz val="10"/>
    </font>
    <font>
      <name val="Microsoft YaHei"/>
      <b val="1"/>
      <color rgb="001F1F1F"/>
      <sz val="10"/>
    </font>
    <font>
      <name val="Microsoft YaHei"/>
      <color rgb="001F1F1F"/>
      <sz val="10"/>
    </font>
    <font>
      <name val="Microsoft YaHei"/>
      <color rgb="000563C1"/>
      <sz val="10"/>
      <u val="single"/>
    </font>
    <font>
      <name val="Microsoft YaHei"/>
      <b val="1"/>
      <color rgb="00FFFFFF"/>
      <sz val="15"/>
    </font>
    <font>
      <name val="Microsoft YaHei"/>
      <b val="1"/>
      <color rgb="00C00000"/>
      <sz val="10"/>
    </font>
    <font>
      <name val="Microsoft YaHei"/>
      <b val="1"/>
      <color rgb="000563C1"/>
      <sz val="10"/>
      <u val="single"/>
    </font>
    <font>
      <name val="Microsoft YaHei"/>
      <color rgb="007F8C8D"/>
      <sz val="10"/>
    </font>
    <font>
      <name val="Microsoft YaHei"/>
      <color rgb="000563C1"/>
      <u val="single"/>
    </font>
    <font>
      <name val="微软雅黑"/>
      <b val="1"/>
      <color rgb="00FFFFFF"/>
      <sz val="11"/>
    </font>
    <font>
      <name val="微软雅黑"/>
      <sz val="10"/>
    </font>
    <font>
      <name val="微软雅黑"/>
      <b val="1"/>
      <sz val="10"/>
    </font>
  </fonts>
  <fills count="27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EAF3F8"/>
      </patternFill>
    </fill>
    <fill>
      <patternFill patternType="solid">
        <fgColor rgb="FFD9EAF7"/>
      </patternFill>
    </fill>
    <fill>
      <patternFill patternType="solid">
        <fgColor rgb="FF5B9BD5"/>
      </patternFill>
    </fill>
    <fill>
      <patternFill patternType="solid">
        <fgColor rgb="FFFFFFFF"/>
      </patternFill>
    </fill>
    <fill>
      <patternFill patternType="solid">
        <fgColor rgb="FFF7FAFC"/>
      </patternFill>
    </fill>
    <fill>
      <patternFill patternType="solid">
        <fgColor rgb="FFFCE4D6"/>
      </patternFill>
    </fill>
    <fill>
      <patternFill patternType="solid">
        <fgColor rgb="FF1F4E78"/>
      </patternFill>
    </fill>
    <fill>
      <patternFill patternType="solid">
        <fgColor rgb="FFEAF3F8"/>
      </patternFill>
    </fill>
    <fill>
      <patternFill patternType="solid">
        <fgColor rgb="FFD9EAF7"/>
      </patternFill>
    </fill>
    <fill>
      <patternFill patternType="solid">
        <fgColor rgb="FFFFFFFF"/>
      </patternFill>
    </fill>
    <fill>
      <patternFill patternType="solid">
        <fgColor rgb="FFF4F7F9"/>
      </patternFill>
    </fill>
    <fill>
      <patternFill patternType="solid">
        <fgColor rgb="FF5B9BD5"/>
      </patternFill>
    </fill>
    <fill>
      <patternFill patternType="solid">
        <fgColor rgb="0017365D"/>
      </patternFill>
    </fill>
    <fill>
      <patternFill patternType="solid">
        <fgColor rgb="00EEF5FB"/>
      </patternFill>
    </fill>
    <fill>
      <patternFill patternType="solid">
        <fgColor rgb="002F75B5"/>
      </patternFill>
    </fill>
    <fill>
      <patternFill patternType="solid">
        <fgColor rgb="00FCE4D6"/>
      </patternFill>
    </fill>
    <fill>
      <patternFill patternType="solid">
        <fgColor rgb="00E7E6E6"/>
      </patternFill>
    </fill>
    <fill>
      <patternFill patternType="solid">
        <fgColor rgb="00E2F0D9"/>
      </patternFill>
    </fill>
    <fill>
      <patternFill patternType="solid">
        <fgColor rgb="00FFFFFF"/>
      </patternFill>
    </fill>
    <fill>
      <patternFill patternType="solid">
        <fgColor rgb="00D9EAF7"/>
      </patternFill>
    </fill>
    <fill>
      <patternFill patternType="solid">
        <fgColor rgb="00F4CCCC"/>
      </patternFill>
    </fill>
    <fill>
      <patternFill patternType="solid">
        <fgColor rgb="00ED7D31"/>
      </patternFill>
    </fill>
    <fill>
      <patternFill patternType="solid">
        <fgColor rgb="00D9E5F2"/>
      </patternFill>
    </fill>
    <fill>
      <patternFill patternType="solid">
        <fgColor rgb="00F0F5FA"/>
      </patternFill>
    </fill>
  </fills>
  <borders count="13">
    <border/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</border>
    <border>
      <top style="thin">
        <color rgb="FFB7B7B7"/>
      </top>
    </border>
    <border>
      <right style="thin">
        <color rgb="FFB7B7B7"/>
      </right>
      <top style="thin">
        <color rgb="FFB7B7B7"/>
      </top>
    </border>
    <border>
      <top style="thin">
        <color rgb="FFB7B7B7"/>
      </top>
      <bottom style="thin">
        <color rgb="FFB7B7B7"/>
      </bottom>
    </border>
    <border>
      <right style="thin">
        <color rgb="FFB7B7B7"/>
      </right>
      <top style="thin">
        <color rgb="FFB7B7B7"/>
      </top>
      <bottom style="thin">
        <color rgb="FFB7B7B7"/>
      </bottom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</border>
    <border>
      <bottom style="medium">
        <color rgb="002F75B5"/>
      </bottom>
    </border>
    <border>
      <left style="thin">
        <color rgb="00B7B7B7"/>
      </left>
      <right style="thin">
        <color rgb="00B7B7B7"/>
      </right>
      <top style="thin">
        <color rgb="00B7B7B7"/>
      </top>
      <bottom style="thin">
        <color rgb="00B7B7B7"/>
      </bottom>
    </border>
    <border>
      <top style="thin">
        <color rgb="00B7B7B7"/>
      </top>
    </border>
    <border>
      <right style="thin">
        <color rgb="00B7B7B7"/>
      </right>
      <top style="thin">
        <color rgb="00B7B7B7"/>
      </top>
    </border>
    <border>
      <top style="thin">
        <color rgb="00B7B7B7"/>
      </top>
      <bottom style="thin">
        <color rgb="00B7B7B7"/>
      </bottom>
    </border>
    <border>
      <right style="thin">
        <color rgb="00B7B7B7"/>
      </right>
      <top style="thin">
        <color rgb="00B7B7B7"/>
      </top>
      <bottom style="thin">
        <color rgb="00B7B7B7"/>
      </bottom>
    </border>
  </borders>
  <cellStyleXfs count="1">
    <xf numFmtId="0" fontId="2" fillId="0" borderId="0" applyAlignment="1">
      <alignment vertical="center"/>
    </xf>
  </cellStyleXfs>
  <cellXfs count="174">
    <xf numFmtId="0" fontId="0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/>
    </xf>
    <xf numFmtId="0" fontId="0" fillId="0" borderId="1" pivotButton="0" quotePrefix="0" xfId="0"/>
    <xf numFmtId="0" fontId="5" fillId="3" borderId="1" applyAlignment="1" pivotButton="0" quotePrefix="0" xfId="0">
      <alignment horizontal="left" vertical="center" wrapText="1"/>
    </xf>
    <xf numFmtId="0" fontId="6" fillId="4" borderId="1" applyAlignment="1" pivotButton="0" quotePrefix="0" xfId="0">
      <alignment horizontal="left" vertical="center"/>
    </xf>
    <xf numFmtId="0" fontId="7" fillId="5" borderId="1" applyAlignment="1" pivotButton="0" quotePrefix="0" xfId="0">
      <alignment horizontal="center" vertical="center" wrapText="1"/>
    </xf>
    <xf numFmtId="0" fontId="8" fillId="6" borderId="1" applyAlignment="1" pivotButton="0" quotePrefix="0" xfId="0">
      <alignment horizontal="left" vertical="center" wrapText="1"/>
    </xf>
    <xf numFmtId="0" fontId="8" fillId="6" borderId="1" applyAlignment="1" pivotButton="0" quotePrefix="0" xfId="0">
      <alignment horizontal="center" vertical="center" wrapText="1"/>
    </xf>
    <xf numFmtId="10" fontId="8" fillId="6" borderId="1" applyAlignment="1" pivotButton="0" quotePrefix="0" xfId="0">
      <alignment horizontal="center" vertical="center" wrapText="1"/>
    </xf>
    <xf numFmtId="164" fontId="8" fillId="6" borderId="1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left" vertical="center" wrapText="1"/>
    </xf>
    <xf numFmtId="10" fontId="8" fillId="7" borderId="1" applyAlignment="1" pivotButton="0" quotePrefix="0" xfId="0">
      <alignment horizontal="center" vertical="center" wrapText="1"/>
    </xf>
    <xf numFmtId="164" fontId="8" fillId="7" borderId="1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center" vertical="center" wrapText="1"/>
    </xf>
    <xf numFmtId="0" fontId="9" fillId="8" borderId="1" applyAlignment="1" pivotButton="0" quotePrefix="0" xfId="0">
      <alignment horizontal="left" vertical="top" wrapText="1"/>
    </xf>
    <xf numFmtId="3" fontId="8" fillId="6" borderId="1" applyAlignment="1" pivotButton="0" quotePrefix="0" xfId="0">
      <alignment horizontal="center" vertical="center" wrapText="1"/>
    </xf>
    <xf numFmtId="3" fontId="8" fillId="7" borderId="1" applyAlignment="1" pivotButton="0" quotePrefix="0" xfId="0">
      <alignment horizontal="center" vertical="center" wrapText="1"/>
    </xf>
    <xf numFmtId="165" fontId="8" fillId="6" borderId="1" applyAlignment="1" pivotButton="0" quotePrefix="0" xfId="0">
      <alignment horizontal="center" vertical="center" wrapText="1"/>
    </xf>
    <xf numFmtId="165" fontId="8" fillId="7" borderId="1" applyAlignment="1" pivotButton="0" quotePrefix="0" xfId="0">
      <alignment horizontal="center" vertical="center" wrapText="1"/>
    </xf>
    <xf numFmtId="0" fontId="10" fillId="6" borderId="1" applyAlignment="1" pivotButton="0" quotePrefix="0" xfId="0">
      <alignment horizontal="left" vertical="center" wrapText="1"/>
    </xf>
    <xf numFmtId="0" fontId="10" fillId="7" borderId="1" applyAlignment="1" pivotButton="0" quotePrefix="0" xfId="0">
      <alignment horizontal="left" vertical="center" wrapText="1"/>
    </xf>
    <xf numFmtId="0" fontId="0" fillId="0" borderId="4" pivotButton="0" quotePrefix="0" xfId="0"/>
    <xf numFmtId="0" fontId="0" fillId="0" borderId="5" pivotButton="0" quotePrefix="0" xfId="0"/>
    <xf numFmtId="0" fontId="4" fillId="2" borderId="0" applyAlignment="1" pivotButton="0" quotePrefix="0" xfId="0">
      <alignment horizontal="center" vertical="center"/>
    </xf>
    <xf numFmtId="0" fontId="11" fillId="3" borderId="0" applyAlignment="1" pivotButton="0" quotePrefix="0" xfId="0">
      <alignment vertical="center" wrapText="1"/>
    </xf>
    <xf numFmtId="0" fontId="6" fillId="4" borderId="1" applyAlignment="1" pivotButton="0" quotePrefix="0" xfId="0">
      <alignment vertical="center"/>
    </xf>
    <xf numFmtId="0" fontId="12" fillId="6" borderId="1" applyAlignment="1" pivotButton="0" quotePrefix="0" xfId="0">
      <alignment horizontal="left" vertical="center" wrapText="1"/>
    </xf>
    <xf numFmtId="10" fontId="12" fillId="6" borderId="1" applyAlignment="1" pivotButton="0" quotePrefix="0" xfId="0">
      <alignment horizontal="center" vertical="center" wrapText="1"/>
    </xf>
    <xf numFmtId="0" fontId="12" fillId="7" borderId="1" applyAlignment="1" pivotButton="0" quotePrefix="0" xfId="0">
      <alignment horizontal="left" vertical="center" wrapText="1"/>
    </xf>
    <xf numFmtId="10" fontId="12" fillId="7" borderId="1" applyAlignment="1" pivotButton="0" quotePrefix="0" xfId="0">
      <alignment horizontal="center" vertical="center" wrapText="1"/>
    </xf>
    <xf numFmtId="3" fontId="12" fillId="6" borderId="1" applyAlignment="1" pivotButton="0" quotePrefix="0" xfId="0">
      <alignment horizontal="center" vertical="center" wrapText="1"/>
    </xf>
    <xf numFmtId="165" fontId="12" fillId="6" borderId="1" applyAlignment="1" pivotButton="0" quotePrefix="0" xfId="0">
      <alignment horizontal="center" vertical="center" wrapText="1"/>
    </xf>
    <xf numFmtId="3" fontId="12" fillId="7" borderId="1" applyAlignment="1" pivotButton="0" quotePrefix="0" xfId="0">
      <alignment horizontal="center" vertical="center" wrapText="1"/>
    </xf>
    <xf numFmtId="165" fontId="12" fillId="7" borderId="1" applyAlignment="1" pivotButton="0" quotePrefix="0" xfId="0">
      <alignment horizontal="center" vertical="center" wrapText="1"/>
    </xf>
    <xf numFmtId="0" fontId="13" fillId="8" borderId="1" applyAlignment="1" pivotButton="0" quotePrefix="0" xfId="0">
      <alignment vertical="top" wrapText="1"/>
    </xf>
    <xf numFmtId="0" fontId="12" fillId="6" borderId="1" applyAlignment="1" pivotButton="0" quotePrefix="0" xfId="0">
      <alignment horizontal="center" vertical="center" wrapText="1"/>
    </xf>
    <xf numFmtId="0" fontId="12" fillId="7" borderId="1" applyAlignment="1" pivotButton="0" quotePrefix="0" xfId="0">
      <alignment horizontal="center" vertical="center" wrapText="1"/>
    </xf>
    <xf numFmtId="0" fontId="0" fillId="9" borderId="0" applyAlignment="1" pivotButton="0" quotePrefix="0" xfId="0">
      <alignment vertical="center"/>
    </xf>
    <xf numFmtId="0" fontId="4" fillId="9" borderId="0" applyAlignment="1" pivotButton="0" quotePrefix="0" xfId="0">
      <alignment vertical="center"/>
    </xf>
    <xf numFmtId="0" fontId="4" fillId="9" borderId="0" applyAlignment="1" pivotButton="0" quotePrefix="0" xfId="0">
      <alignment horizontal="center" vertical="center"/>
    </xf>
    <xf numFmtId="0" fontId="0" fillId="10" borderId="0" applyAlignment="1" pivotButton="0" quotePrefix="0" xfId="0">
      <alignment vertical="center"/>
    </xf>
    <xf numFmtId="0" fontId="14" fillId="10" borderId="0" applyAlignment="1" pivotButton="0" quotePrefix="0" xfId="0">
      <alignment vertical="center"/>
    </xf>
    <xf numFmtId="0" fontId="14" fillId="10" borderId="0" applyAlignment="1" pivotButton="0" quotePrefix="0" xfId="0">
      <alignment vertical="center" wrapText="1"/>
    </xf>
    <xf numFmtId="0" fontId="0" fillId="11" borderId="0" applyAlignment="1" pivotButton="0" quotePrefix="0" xfId="0">
      <alignment vertical="center"/>
    </xf>
    <xf numFmtId="0" fontId="6" fillId="11" borderId="0" applyAlignment="1" pivotButton="0" quotePrefix="0" xfId="0">
      <alignment vertical="center"/>
    </xf>
    <xf numFmtId="0" fontId="0" fillId="12" borderId="0" applyAlignment="1" pivotButton="0" quotePrefix="0" xfId="0">
      <alignment vertical="center"/>
    </xf>
    <xf numFmtId="0" fontId="15" fillId="12" borderId="0" applyAlignment="1" pivotButton="0" quotePrefix="0" xfId="0">
      <alignment vertical="center"/>
    </xf>
    <xf numFmtId="0" fontId="15" fillId="12" borderId="6" applyAlignment="1" pivotButton="0" quotePrefix="0" xfId="0">
      <alignment vertical="center"/>
    </xf>
    <xf numFmtId="0" fontId="15" fillId="12" borderId="6" applyAlignment="1" pivotButton="0" quotePrefix="0" xfId="0">
      <alignment vertical="center" wrapText="1"/>
    </xf>
    <xf numFmtId="0" fontId="16" fillId="12" borderId="6" applyAlignment="1" pivotButton="0" quotePrefix="0" xfId="0">
      <alignment vertical="center" wrapText="1"/>
    </xf>
    <xf numFmtId="0" fontId="0" fillId="13" borderId="0" applyAlignment="1" pivotButton="0" quotePrefix="0" xfId="0">
      <alignment vertical="center"/>
    </xf>
    <xf numFmtId="0" fontId="15" fillId="13" borderId="0" applyAlignment="1" pivotButton="0" quotePrefix="0" xfId="0">
      <alignment vertical="center"/>
    </xf>
    <xf numFmtId="0" fontId="15" fillId="13" borderId="6" applyAlignment="1" pivotButton="0" quotePrefix="0" xfId="0">
      <alignment vertical="center"/>
    </xf>
    <xf numFmtId="0" fontId="15" fillId="13" borderId="6" applyAlignment="1" pivotButton="0" quotePrefix="0" xfId="0">
      <alignment vertical="center" wrapText="1"/>
    </xf>
    <xf numFmtId="0" fontId="16" fillId="13" borderId="6" applyAlignment="1" pivotButton="0" quotePrefix="0" xfId="0">
      <alignment vertical="center" wrapText="1"/>
    </xf>
    <xf numFmtId="0" fontId="0" fillId="14" borderId="0" applyAlignment="1" pivotButton="0" quotePrefix="0" xfId="0">
      <alignment vertical="center"/>
    </xf>
    <xf numFmtId="0" fontId="17" fillId="14" borderId="0" applyAlignment="1" pivotButton="0" quotePrefix="0" xfId="0">
      <alignment vertical="center"/>
    </xf>
    <xf numFmtId="0" fontId="17" fillId="14" borderId="6" applyAlignment="1" pivotButton="0" quotePrefix="0" xfId="0">
      <alignment vertical="center"/>
    </xf>
    <xf numFmtId="0" fontId="17" fillId="14" borderId="6" applyAlignment="1" pivotButton="0" quotePrefix="0" xfId="0">
      <alignment vertical="center" wrapText="1"/>
    </xf>
    <xf numFmtId="0" fontId="17" fillId="14" borderId="6" applyAlignment="1" pivotButton="0" quotePrefix="0" xfId="0">
      <alignment horizontal="center" vertical="center" wrapText="1"/>
    </xf>
    <xf numFmtId="0" fontId="18" fillId="13" borderId="6" applyAlignment="1" pivotButton="0" quotePrefix="0" xfId="0">
      <alignment vertical="center" wrapText="1"/>
    </xf>
    <xf numFmtId="10" fontId="15" fillId="13" borderId="6" applyAlignment="1" pivotButton="0" quotePrefix="0" xfId="0">
      <alignment vertical="center" wrapText="1"/>
    </xf>
    <xf numFmtId="10" fontId="15" fillId="12" borderId="6" applyAlignment="1" pivotButton="0" quotePrefix="0" xfId="0">
      <alignment vertical="center" wrapText="1"/>
    </xf>
    <xf numFmtId="10" fontId="18" fillId="13" borderId="6" applyAlignment="1" pivotButton="0" quotePrefix="0" xfId="0">
      <alignment vertical="center" wrapText="1"/>
    </xf>
    <xf numFmtId="3" fontId="15" fillId="12" borderId="6" applyAlignment="1" pivotButton="0" quotePrefix="0" xfId="0">
      <alignment vertical="center" wrapText="1"/>
    </xf>
    <xf numFmtId="3" fontId="15" fillId="13" borderId="6" applyAlignment="1" pivotButton="0" quotePrefix="0" xfId="0">
      <alignment vertical="center" wrapText="1"/>
    </xf>
    <xf numFmtId="0" fontId="19" fillId="0" borderId="0" applyAlignment="1" pivotButton="0" quotePrefix="0" xfId="0">
      <alignment vertical="center"/>
    </xf>
    <xf numFmtId="10" fontId="0" fillId="0" borderId="0" applyAlignment="1" pivotButton="0" quotePrefix="0" xfId="0">
      <alignment vertical="center"/>
    </xf>
    <xf numFmtId="0" fontId="4" fillId="2" borderId="6" applyAlignment="1" pivotButton="0" quotePrefix="0" xfId="0">
      <alignment horizontal="center" vertical="center"/>
    </xf>
    <xf numFmtId="0" fontId="5" fillId="3" borderId="6" applyAlignment="1" pivotButton="0" quotePrefix="0" xfId="0">
      <alignment horizontal="left" vertical="center" wrapText="1"/>
    </xf>
    <xf numFmtId="0" fontId="6" fillId="4" borderId="6" applyAlignment="1" pivotButton="0" quotePrefix="0" xfId="0">
      <alignment horizontal="left" vertical="center"/>
    </xf>
    <xf numFmtId="0" fontId="29" fillId="20" borderId="8" applyAlignment="1" pivotButton="0" quotePrefix="0" xfId="0">
      <alignment vertical="center" wrapText="1"/>
    </xf>
    <xf numFmtId="0" fontId="25" fillId="20" borderId="8" applyAlignment="1" pivotButton="0" quotePrefix="0" xfId="0">
      <alignment vertical="center" wrapText="1"/>
    </xf>
    <xf numFmtId="10" fontId="25" fillId="20" borderId="8" applyAlignment="1" pivotButton="0" quotePrefix="0" xfId="0">
      <alignment vertical="center" wrapText="1"/>
    </xf>
    <xf numFmtId="10" fontId="24" fillId="20" borderId="8" applyAlignment="1" pivotButton="0" quotePrefix="0" xfId="0">
      <alignment vertical="center" wrapText="1"/>
    </xf>
    <xf numFmtId="0" fontId="25" fillId="18" borderId="8" applyAlignment="1" pivotButton="0" quotePrefix="0" xfId="0">
      <alignment vertical="center" wrapText="1"/>
    </xf>
    <xf numFmtId="0" fontId="9" fillId="8" borderId="6" applyAlignment="1" pivotButton="0" quotePrefix="0" xfId="0">
      <alignment horizontal="left" vertical="top" wrapText="1"/>
    </xf>
    <xf numFmtId="0" fontId="6" fillId="4" borderId="6" applyAlignment="1" pivotButton="0" quotePrefix="0" xfId="0">
      <alignment vertical="center"/>
    </xf>
    <xf numFmtId="0" fontId="13" fillId="8" borderId="6" applyAlignment="1" pivotButton="0" quotePrefix="0" xfId="0">
      <alignment vertical="top" wrapText="1"/>
    </xf>
    <xf numFmtId="0" fontId="27" fillId="9" borderId="0" applyAlignment="1" pivotButton="0" quotePrefix="0" xfId="0">
      <alignment horizontal="center" vertical="center"/>
    </xf>
    <xf numFmtId="0" fontId="28" fillId="23" borderId="0" applyAlignment="1" pivotButton="0" quotePrefix="0" xfId="0">
      <alignment vertical="center" wrapText="1"/>
    </xf>
    <xf numFmtId="0" fontId="28" fillId="23" borderId="6" applyAlignment="1" pivotButton="0" quotePrefix="0" xfId="0">
      <alignment vertical="center" wrapText="1"/>
    </xf>
    <xf numFmtId="10" fontId="15" fillId="13" borderId="6" applyAlignment="1" pivotButton="0" quotePrefix="0" xfId="0">
      <alignment vertical="center" wrapText="1"/>
    </xf>
    <xf numFmtId="10" fontId="15" fillId="12" borderId="6" applyAlignment="1" pivotButton="0" quotePrefix="0" xfId="0">
      <alignment vertical="center" wrapText="1"/>
    </xf>
    <xf numFmtId="10" fontId="18" fillId="13" borderId="6" applyAlignment="1" pivotButton="0" quotePrefix="0" xfId="0">
      <alignment vertical="center" wrapText="1"/>
    </xf>
    <xf numFmtId="3" fontId="15" fillId="12" borderId="6" applyAlignment="1" pivotButton="0" quotePrefix="0" xfId="0">
      <alignment vertical="center" wrapText="1"/>
    </xf>
    <xf numFmtId="3" fontId="15" fillId="13" borderId="6" applyAlignment="1" pivotButton="0" quotePrefix="0" xfId="0">
      <alignment vertical="center" wrapText="1"/>
    </xf>
    <xf numFmtId="0" fontId="20" fillId="15" borderId="0" applyAlignment="1" pivotButton="0" quotePrefix="0" xfId="0">
      <alignment horizontal="left" vertical="center"/>
    </xf>
    <xf numFmtId="0" fontId="21" fillId="16" borderId="0" applyAlignment="1" pivotButton="0" quotePrefix="0" xfId="0">
      <alignment vertical="center" wrapText="1"/>
    </xf>
    <xf numFmtId="0" fontId="22" fillId="17" borderId="7" applyAlignment="1" pivotButton="0" quotePrefix="0" xfId="0">
      <alignment horizontal="left" vertical="center"/>
    </xf>
    <xf numFmtId="0" fontId="23" fillId="15" borderId="8" applyAlignment="1" pivotButton="0" quotePrefix="0" xfId="0">
      <alignment horizontal="center" vertical="center" wrapText="1"/>
    </xf>
    <xf numFmtId="0" fontId="24" fillId="18" borderId="8" applyAlignment="1" pivotButton="0" quotePrefix="0" xfId="0">
      <alignment vertical="center" wrapText="1"/>
    </xf>
    <xf numFmtId="0" fontId="24" fillId="19" borderId="8" applyAlignment="1" pivotButton="0" quotePrefix="0" xfId="0">
      <alignment vertical="center" wrapText="1"/>
    </xf>
    <xf numFmtId="0" fontId="24" fillId="20" borderId="8" applyAlignment="1" pivotButton="0" quotePrefix="0" xfId="0">
      <alignment vertical="center" wrapText="1"/>
    </xf>
    <xf numFmtId="0" fontId="25" fillId="21" borderId="8" applyAlignment="1" pivotButton="0" quotePrefix="0" xfId="0">
      <alignment vertical="center" wrapText="1"/>
    </xf>
    <xf numFmtId="0" fontId="25" fillId="16" borderId="8" applyAlignment="1" pivotButton="0" quotePrefix="0" xfId="0">
      <alignment vertical="center" wrapText="1"/>
    </xf>
    <xf numFmtId="166" fontId="25" fillId="16" borderId="8" applyAlignment="1" pivotButton="0" quotePrefix="0" xfId="0">
      <alignment horizontal="center" vertical="center" wrapText="1"/>
    </xf>
    <xf numFmtId="166" fontId="25" fillId="21" borderId="8" applyAlignment="1" pivotButton="0" quotePrefix="0" xfId="0">
      <alignment horizontal="center" vertical="center" wrapText="1"/>
    </xf>
    <xf numFmtId="0" fontId="25" fillId="19" borderId="8" applyAlignment="1" pivotButton="0" quotePrefix="0" xfId="0">
      <alignment vertical="center" wrapText="1"/>
    </xf>
    <xf numFmtId="0" fontId="25" fillId="22" borderId="8" applyAlignment="1" pivotButton="0" quotePrefix="0" xfId="0">
      <alignment vertical="center" wrapText="1"/>
    </xf>
    <xf numFmtId="0" fontId="25" fillId="23" borderId="8" applyAlignment="1" pivotButton="0" quotePrefix="0" xfId="0">
      <alignment vertical="center" wrapText="1"/>
    </xf>
    <xf numFmtId="0" fontId="26" fillId="16" borderId="8" applyAlignment="1" pivotButton="0" quotePrefix="0" xfId="0">
      <alignment vertical="center" wrapText="1"/>
    </xf>
    <xf numFmtId="0" fontId="26" fillId="21" borderId="8" applyAlignment="1" pivotButton="0" quotePrefix="0" xfId="0">
      <alignment vertical="center" wrapText="1"/>
    </xf>
    <xf numFmtId="0" fontId="25" fillId="21" borderId="8" applyAlignment="1" pivotButton="0" quotePrefix="0" xfId="0">
      <alignment horizontal="center" vertical="center" wrapText="1"/>
    </xf>
    <xf numFmtId="10" fontId="25" fillId="21" borderId="8" applyAlignment="1" pivotButton="0" quotePrefix="0" xfId="0">
      <alignment horizontal="center" vertical="center" wrapText="1"/>
    </xf>
    <xf numFmtId="0" fontId="25" fillId="16" borderId="8" applyAlignment="1" pivotButton="0" quotePrefix="0" xfId="0">
      <alignment horizontal="center" vertical="center" wrapText="1"/>
    </xf>
    <xf numFmtId="10" fontId="25" fillId="16" borderId="8" applyAlignment="1" pivotButton="0" quotePrefix="0" xfId="0">
      <alignment horizontal="center" vertical="center" wrapText="1"/>
    </xf>
    <xf numFmtId="10" fontId="25" fillId="21" borderId="8" applyAlignment="1" pivotButton="0" quotePrefix="0" xfId="0">
      <alignment vertical="center" wrapText="1"/>
    </xf>
    <xf numFmtId="10" fontId="25" fillId="16" borderId="8" applyAlignment="1" pivotButton="0" quotePrefix="0" xfId="0">
      <alignment vertical="center" wrapText="1"/>
    </xf>
    <xf numFmtId="167" fontId="25" fillId="16" borderId="8" applyAlignment="1" pivotButton="0" quotePrefix="0" xfId="0">
      <alignment horizontal="center" vertical="center" wrapText="1"/>
    </xf>
    <xf numFmtId="167" fontId="25" fillId="21" borderId="8" applyAlignment="1" pivotButton="0" quotePrefix="0" xfId="0">
      <alignment horizontal="center" vertical="center" wrapText="1"/>
    </xf>
    <xf numFmtId="0" fontId="25" fillId="19" borderId="8" applyAlignment="1" pivotButton="0" quotePrefix="0" xfId="0">
      <alignment horizontal="center" vertical="center" wrapText="1"/>
    </xf>
    <xf numFmtId="168" fontId="25" fillId="21" borderId="8" applyAlignment="1" pivotButton="0" quotePrefix="0" xfId="0">
      <alignment horizontal="center" vertical="center" wrapText="1"/>
    </xf>
    <xf numFmtId="168" fontId="25" fillId="16" borderId="8" applyAlignment="1" pivotButton="0" quotePrefix="0" xfId="0">
      <alignment horizontal="center" vertical="center" wrapText="1"/>
    </xf>
    <xf numFmtId="0" fontId="24" fillId="18" borderId="8" applyAlignment="1" pivotButton="0" quotePrefix="0" xfId="0">
      <alignment horizontal="center" vertical="center" wrapText="1"/>
    </xf>
    <xf numFmtId="169" fontId="25" fillId="16" borderId="8" applyAlignment="1" pivotButton="0" quotePrefix="0" xfId="0">
      <alignment horizontal="center" vertical="center" wrapText="1"/>
    </xf>
    <xf numFmtId="169" fontId="25" fillId="21" borderId="8" applyAlignment="1" pivotButton="0" quotePrefix="0" xfId="0">
      <alignment horizontal="center" vertical="center" wrapText="1"/>
    </xf>
    <xf numFmtId="0" fontId="24" fillId="23" borderId="8" applyAlignment="1" pivotButton="0" quotePrefix="0" xfId="0">
      <alignment vertical="center" wrapText="1"/>
    </xf>
    <xf numFmtId="0" fontId="0" fillId="0" borderId="7" pivotButton="0" quotePrefix="0" xfId="0"/>
    <xf numFmtId="0" fontId="20" fillId="15" borderId="8" applyAlignment="1" pivotButton="0" quotePrefix="0" xfId="0">
      <alignment horizontal="left" vertical="center" wrapText="1"/>
    </xf>
    <xf numFmtId="0" fontId="30" fillId="16" borderId="8" applyAlignment="1" pivotButton="0" quotePrefix="0" xfId="0">
      <alignment horizontal="left" vertical="center" wrapText="1"/>
    </xf>
    <xf numFmtId="0" fontId="22" fillId="17" borderId="8" applyAlignment="1" pivotButton="0" quotePrefix="0" xfId="0">
      <alignment horizontal="left" vertical="center" wrapText="1"/>
    </xf>
    <xf numFmtId="0" fontId="24" fillId="20" borderId="8" applyAlignment="1" pivotButton="0" quotePrefix="0" xfId="0">
      <alignment horizontal="left" vertical="center" wrapText="1"/>
    </xf>
    <xf numFmtId="0" fontId="24" fillId="18" borderId="8" applyAlignment="1" pivotButton="0" quotePrefix="0" xfId="0">
      <alignment horizontal="left" vertical="center" wrapText="1"/>
    </xf>
    <xf numFmtId="0" fontId="24" fillId="23" borderId="8" applyAlignment="1" pivotButton="0" quotePrefix="0" xfId="0">
      <alignment horizontal="left" vertical="center" wrapText="1"/>
    </xf>
    <xf numFmtId="0" fontId="24" fillId="22" borderId="8" applyAlignment="1" pivotButton="0" quotePrefix="0" xfId="0">
      <alignment horizontal="left" vertical="center" wrapText="1"/>
    </xf>
    <xf numFmtId="0" fontId="25" fillId="21" borderId="8" applyAlignment="1" pivotButton="0" quotePrefix="0" xfId="0">
      <alignment horizontal="left" vertical="center" wrapText="1"/>
    </xf>
    <xf numFmtId="166" fontId="25" fillId="21" borderId="8" applyAlignment="1" pivotButton="0" quotePrefix="0" xfId="0">
      <alignment horizontal="left" vertical="center" wrapText="1"/>
    </xf>
    <xf numFmtId="0" fontId="25" fillId="16" borderId="8" applyAlignment="1" pivotButton="0" quotePrefix="0" xfId="0">
      <alignment horizontal="left" vertical="center" wrapText="1"/>
    </xf>
    <xf numFmtId="0" fontId="24" fillId="16" borderId="8" applyAlignment="1" pivotButton="0" quotePrefix="0" xfId="0">
      <alignment horizontal="left" vertical="center" wrapText="1"/>
    </xf>
    <xf numFmtId="168" fontId="24" fillId="16" borderId="8" applyAlignment="1" pivotButton="0" quotePrefix="0" xfId="0">
      <alignment horizontal="center" vertical="center" wrapText="1"/>
    </xf>
    <xf numFmtId="166" fontId="24" fillId="16" borderId="8" applyAlignment="1" pivotButton="0" quotePrefix="0" xfId="0">
      <alignment horizontal="center" vertical="center" wrapText="1"/>
    </xf>
    <xf numFmtId="168" fontId="24" fillId="20" borderId="8" applyAlignment="1" pivotButton="0" quotePrefix="0" xfId="0">
      <alignment horizontal="center" vertical="center" wrapText="1"/>
    </xf>
    <xf numFmtId="166" fontId="24" fillId="20" borderId="8" applyAlignment="1" pivotButton="0" quotePrefix="0" xfId="0">
      <alignment horizontal="center" vertical="center" wrapText="1"/>
    </xf>
    <xf numFmtId="166" fontId="25" fillId="16" borderId="8" applyAlignment="1" pivotButton="0" quotePrefix="0" xfId="0">
      <alignment horizontal="left" vertical="center" wrapText="1"/>
    </xf>
    <xf numFmtId="0" fontId="25" fillId="23" borderId="8" applyAlignment="1" pivotButton="0" quotePrefix="0" xfId="0">
      <alignment horizontal="left" vertical="center" wrapText="1"/>
    </xf>
    <xf numFmtId="168" fontId="25" fillId="23" borderId="8" applyAlignment="1" pivotButton="0" quotePrefix="0" xfId="0">
      <alignment horizontal="center" vertical="center" wrapText="1"/>
    </xf>
    <xf numFmtId="0" fontId="25" fillId="20" borderId="8" applyAlignment="1" pivotButton="0" quotePrefix="0" xfId="0">
      <alignment horizontal="left" vertical="center" wrapText="1"/>
    </xf>
    <xf numFmtId="168" fontId="25" fillId="20" borderId="8" applyAlignment="1" pivotButton="0" quotePrefix="0" xfId="0">
      <alignment horizontal="center" vertical="center" wrapText="1"/>
    </xf>
    <xf numFmtId="0" fontId="25" fillId="18" borderId="8" applyAlignment="1" pivotButton="0" quotePrefix="0" xfId="0">
      <alignment horizontal="left" vertical="center" wrapText="1"/>
    </xf>
    <xf numFmtId="0" fontId="25" fillId="19" borderId="8" applyAlignment="1" pivotButton="0" quotePrefix="0" xfId="0">
      <alignment horizontal="left" vertical="center" wrapText="1"/>
    </xf>
    <xf numFmtId="0" fontId="31" fillId="16" borderId="8" applyAlignment="1" pivotButton="0" quotePrefix="0" xfId="0">
      <alignment horizontal="left" vertical="center" wrapText="1"/>
    </xf>
    <xf numFmtId="165" fontId="25" fillId="16" borderId="8" applyAlignment="1" pivotButton="0" quotePrefix="0" xfId="0">
      <alignment horizontal="center" vertical="center" wrapText="1"/>
    </xf>
    <xf numFmtId="165" fontId="25" fillId="21" borderId="8" applyAlignment="1" pivotButton="0" quotePrefix="0" xfId="0">
      <alignment horizontal="center" vertical="center" wrapText="1"/>
    </xf>
    <xf numFmtId="165" fontId="25" fillId="16" borderId="8" applyAlignment="1" pivotButton="0" quotePrefix="0" xfId="0">
      <alignment horizontal="left" vertical="center" wrapText="1"/>
    </xf>
    <xf numFmtId="0" fontId="25" fillId="22" borderId="8" applyAlignment="1" pivotButton="0" quotePrefix="0" xfId="0">
      <alignment horizontal="left" vertical="center" wrapText="1"/>
    </xf>
    <xf numFmtId="167" fontId="25" fillId="22" borderId="8" applyAlignment="1" pivotButton="0" quotePrefix="0" xfId="0">
      <alignment horizontal="left" vertical="center" wrapText="1"/>
    </xf>
    <xf numFmtId="170" fontId="25" fillId="16" borderId="8" applyAlignment="1" pivotButton="0" quotePrefix="0" xfId="0">
      <alignment horizontal="center" vertical="center" wrapText="1"/>
    </xf>
    <xf numFmtId="170" fontId="25" fillId="21" borderId="8" applyAlignment="1" pivotButton="0" quotePrefix="0" xfId="0">
      <alignment horizontal="center" vertical="center" wrapText="1"/>
    </xf>
    <xf numFmtId="170" fontId="25" fillId="20" borderId="8" applyAlignment="1" pivotButton="0" quotePrefix="0" xfId="0">
      <alignment horizontal="center" vertical="center" wrapText="1"/>
    </xf>
    <xf numFmtId="0" fontId="22" fillId="24" borderId="8" applyAlignment="1" pivotButton="0" quotePrefix="0" xfId="0">
      <alignment horizontal="left" vertical="center" wrapText="1"/>
    </xf>
    <xf numFmtId="166" fontId="25" fillId="22" borderId="8" applyAlignment="1" pivotButton="0" quotePrefix="0" xfId="0">
      <alignment horizontal="center" vertical="center" wrapText="1"/>
    </xf>
    <xf numFmtId="166" fontId="25" fillId="22" borderId="8" applyAlignment="1" pivotButton="0" quotePrefix="0" xfId="0">
      <alignment horizontal="left" vertical="center" wrapText="1"/>
    </xf>
    <xf numFmtId="166" fontId="25" fillId="18" borderId="8" applyAlignment="1" pivotButton="0" quotePrefix="0" xfId="0">
      <alignment horizontal="center" vertical="center" wrapText="1"/>
    </xf>
    <xf numFmtId="166" fontId="25" fillId="18" borderId="8" applyAlignment="1" pivotButton="0" quotePrefix="0" xfId="0">
      <alignment horizontal="left" vertical="center" wrapText="1"/>
    </xf>
    <xf numFmtId="0" fontId="26" fillId="16" borderId="8" applyAlignment="1" pivotButton="0" quotePrefix="0" xfId="0">
      <alignment horizontal="left" vertical="center" wrapText="1"/>
    </xf>
    <xf numFmtId="0" fontId="0" fillId="0" borderId="11" pivotButton="0" quotePrefix="0" xfId="0"/>
    <xf numFmtId="0" fontId="0" fillId="0" borderId="12" pivotButton="0" quotePrefix="0" xfId="0"/>
    <xf numFmtId="166" fontId="24" fillId="18" borderId="8" applyAlignment="1" pivotButton="0" quotePrefix="0" xfId="0">
      <alignment horizontal="center" vertical="center" wrapText="1"/>
    </xf>
    <xf numFmtId="0" fontId="26" fillId="18" borderId="8" applyAlignment="1" pivotButton="0" quotePrefix="0" xfId="0">
      <alignment horizontal="left" vertical="center" wrapText="1"/>
    </xf>
    <xf numFmtId="0" fontId="25" fillId="18" borderId="8" applyAlignment="1" pivotButton="0" quotePrefix="0" xfId="0">
      <alignment horizontal="center" vertical="center" wrapText="1"/>
    </xf>
    <xf numFmtId="0" fontId="26" fillId="21" borderId="8" applyAlignment="1" pivotButton="0" quotePrefix="0" xfId="0">
      <alignment horizontal="left" vertical="center" wrapText="1"/>
    </xf>
    <xf numFmtId="166" fontId="25" fillId="20" borderId="8" applyAlignment="1" pivotButton="0" quotePrefix="0" xfId="0">
      <alignment horizontal="center" vertical="center" wrapText="1"/>
    </xf>
    <xf numFmtId="0" fontId="26" fillId="20" borderId="8" applyAlignment="1" pivotButton="0" quotePrefix="0" xfId="0">
      <alignment horizontal="left" vertical="center" wrapText="1"/>
    </xf>
    <xf numFmtId="0" fontId="32" fillId="15" borderId="0" applyAlignment="1" pivotButton="0" quotePrefix="0" xfId="0">
      <alignment vertical="center" wrapText="1"/>
    </xf>
    <xf numFmtId="0" fontId="33" fillId="0" borderId="0" applyAlignment="1" pivotButton="0" quotePrefix="0" xfId="0">
      <alignment vertical="center" wrapText="1"/>
    </xf>
    <xf numFmtId="0" fontId="34" fillId="25" borderId="0" applyAlignment="1" pivotButton="0" quotePrefix="0" xfId="0">
      <alignment vertical="center" wrapText="1"/>
    </xf>
    <xf numFmtId="0" fontId="33" fillId="26" borderId="0" applyAlignment="1" pivotButton="0" quotePrefix="0" xfId="0">
      <alignment vertical="center" wrapText="1"/>
    </xf>
    <xf numFmtId="171" fontId="33" fillId="26" borderId="0" applyAlignment="1" pivotButton="0" quotePrefix="0" xfId="0">
      <alignment vertical="center" wrapText="1"/>
    </xf>
    <xf numFmtId="171" fontId="33" fillId="0" borderId="0" applyAlignment="1" pivotButton="0" quotePrefix="0" xfId="0">
      <alignment vertical="center" wrapText="1"/>
    </xf>
    <xf numFmtId="172" fontId="33" fillId="26" borderId="0" applyAlignment="1" pivotButton="0" quotePrefix="0" xfId="0">
      <alignment vertical="center" wrapText="1"/>
    </xf>
    <xf numFmtId="172" fontId="33" fillId="0" borderId="0" applyAlignment="1" pivotButton="0" quotePrefix="0" xfId="0">
      <alignment vertical="center" wrapText="1"/>
    </xf>
  </cellXfs>
  <cellStyles count="1">
    <cellStyle name="常规" xfId="0"/>
  </cellStyles>
  <dxfs count="3">
    <dxf>
      <font>
        <b val="1"/>
        <color rgb="FF9C0006"/>
      </font>
      <fill>
        <patternFill patternType="solid">
          <bgColor rgb="FFF4CCCC"/>
        </patternFill>
      </fill>
    </dxf>
    <dxf>
      <font>
        <b val="1"/>
        <color rgb="FF9C6500"/>
      </font>
      <fill>
        <patternFill patternType="solid">
          <bgColor rgb="FFFFF2CC"/>
        </patternFill>
      </fill>
    </dxf>
    <dxf>
      <font>
        <b val="1"/>
        <color rgb="FF006100"/>
      </font>
      <fill>
        <patternFill patternType="solid">
          <bgColor rgb="FFE2F0D9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comments/comment1.xml><?xml version="1.0" encoding="utf-8"?>
<comments xmlns="http://schemas.openxmlformats.org/spreadsheetml/2006/main">
  <authors>
    <author>Codex</author>
  </authors>
  <commentList>
    <comment ref="A1" authorId="0" shapeId="0">
      <text>
        <t>旧页保留是为了不丢失历史数据，不代表这些精确数值仍可使用。</t>
      </text>
    </comment>
  </commentList>
</comments>
</file>

<file path=xl/comments/comment2.xml><?xml version="1.0" encoding="utf-8"?>
<comments xmlns="http://schemas.openxmlformats.org/spreadsheetml/2006/main">
  <authors>
    <author>Codex</author>
  </authors>
  <commentList>
    <comment ref="A2" authorId="0" shapeId="0">
      <text>
        <t>原始汇总：D:\Users\刘雯静\Downloads\Conceptgraphs\results\mask_first_order_20260830\mask_first_order_summary.json
服务器：/home/chenkejun/beauty/conceptgraphs/results/experiments/mask_first_order_20260830
GitHub commit：21cf3d6acb8db140b7953a0e7e60831874706a40</t>
      </text>
    </comment>
  </commentList>
</comments>
</file>

<file path=xl/comments/comment3.xml><?xml version="1.0" encoding="utf-8"?>
<comments xmlns="http://schemas.openxmlformats.org/spreadsheetml/2006/main">
  <authors>
    <author>Codex</author>
  </authors>
  <commentList>
    <comment ref="A2" authorId="0" shapeId="0">
      <text>
        <t>数值已于2026-08-31逐表复核论文HTML版。</t>
      </text>
    </comment>
  </commentList>
</comment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/>
            </a:gs>
            <a:gs pos="100000">
              <a:schemeClr val="phClr"/>
            </a:gs>
          </a:gsLst>
          <a:lin ang="2700000" scaled="0"/>
        </a:gradFill>
      </a:fillStyleLst>
      <a:lnStyleLst>
        <a:ln w="1270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2700">
          <a:gradFill>
            <a:gsLst>
              <a:gs pos="0">
                <a:schemeClr val="phClr"/>
              </a:gs>
              <a:gs pos="100000">
                <a:schemeClr val="phClr"/>
              </a:gs>
            </a:gsLst>
            <a:lin ang="2700000" scaled="1"/>
          </a:gradFill>
          <a:prstDash val="solid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#'&#21487;&#20462;&#24615;&#23545;&#27604;&#24635;&#35272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https://arxiv.org/html/2603.26541v1#S4.SS2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file:///D:/Users/&#21016;&#38639;&#38745;/Downloads/Conceptgraphs/docs/ALI_DEV_MAIN_REPRODUCTION_VS_PAPER_20260822.md" TargetMode="External" Id="rId1"/><Relationship Type="http://schemas.openxmlformats.org/officeDocument/2006/relationships/hyperlink" Target="file:///D:/Users/&#21016;&#38639;&#38745;/Downloads/Conceptgraphs/docs/ALI_MY_PAPER_MAIN_ALIGNED_8SCENE_EVALUATION_20260821.md" TargetMode="External" Id="rId2"/><Relationship Type="http://schemas.openxmlformats.org/officeDocument/2006/relationships/hyperlink" Target="file:///D:/Users/&#21016;&#38639;&#38745;/Downloads/Conceptgraphs/docs/ALI_DEV_RELATION_EDGES_EVALUATION_20260822.md" TargetMode="External" Id="rId3"/><Relationship Type="http://schemas.openxmlformats.org/officeDocument/2006/relationships/hyperlink" Target="file:///D:/Users/&#21016;&#38639;&#38745;/Downloads/Conceptgraphs/docs/ALI_MY_METRICS_EVALUATION_20260821.md" TargetMode="External" Id="rId4"/><Relationship Type="http://schemas.openxmlformats.org/officeDocument/2006/relationships/hyperlink" Target="file:///D:/Users/&#21016;&#38639;&#38745;/Downloads/Conceptgraphs/docs/ALI_MY_REVISION_KERNEL_VALIDATION_SUMMARY_20260822.md" TargetMode="External" Id="rId5"/><Relationship Type="http://schemas.openxmlformats.org/officeDocument/2006/relationships/hyperlink" Target="file:///D:/Users/&#21016;&#38639;&#38745;/Downloads/Conceptgraphs/docs/ALI_MY_REVISION_KERNEL_V1_IMPLEMENTATION_EVALUATION_20260823.md" TargetMode="External" Id="rId6"/><Relationship Type="http://schemas.openxmlformats.org/officeDocument/2006/relationships/hyperlink" Target="https://arxiv.org/abs/2309.16650" TargetMode="External" Id="rId7"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3.xml.rels><Relationships xmlns="http://schemas.openxmlformats.org/package/2006/relationships"><Relationship Type="http://schemas.openxmlformats.org/officeDocument/2006/relationships/hyperlink" Target="https://github.com/liuwenjing613-maker/concept-graphs/blob/contrary/artifacts/repairability_validation_20260830/REPAIRABILITY_DECISION.md" TargetMode="External" Id="rId1"/><Relationship Type="http://schemas.openxmlformats.org/officeDocument/2006/relationships/hyperlink" Target="https://github.com/liuwenjing613-maker/concept-graphs/blob/contrary/artifacts/repairability_validation_20260830/repairability_decision.json" TargetMode="External" Id="rId2"/></Relationships>
</file>

<file path=xl/worksheets/_rels/sheet14.xml.rels><Relationships xmlns="http://schemas.openxmlformats.org/package/2006/relationships"><Relationship Type="http://schemas.openxmlformats.org/officeDocument/2006/relationships/hyperlink" Target="https://github.com/liuwenjing613-maker/concept-graphs/blob/contrary/artifacts/repairability_validation_20260830/REPAIRABILITY_DECISION.md" TargetMode="External" Id="rId1"/><Relationship Type="http://schemas.openxmlformats.org/officeDocument/2006/relationships/hyperlink" Target="https://github.com/liuwenjing613-maker/concept-graphs/blob/contrary/artifacts/repairability_validation_20260830/repairability_decision.json" TargetMode="External" Id="rId2"/></Relationships>
</file>

<file path=xl/worksheets/_rels/sheet15.xml.rels><Relationships xmlns="http://schemas.openxmlformats.org/package/2006/relationships"><Relationship Type="http://schemas.openxmlformats.org/officeDocument/2006/relationships/hyperlink" Target="https://github.com/liuwenjing613-maker/concept-graphs/blob/contrary/experiments/mask_first_order_20260830/README.md" TargetMode="External" Id="rId1"/><Relationship Type="http://schemas.openxmlformats.org/officeDocument/2006/relationships/hyperlink" Target="https://arxiv.org/html/2603.26541v1#S4.SS1" TargetMode="External" Id="rId2"/></Relationships>
</file>

<file path=xl/worksheets/_rels/sheet16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17.xml.rels><Relationships xmlns="http://schemas.openxmlformats.org/package/2006/relationships"><Relationship Type="http://schemas.openxmlformats.org/officeDocument/2006/relationships/hyperlink" Target="https://arxiv.org/html/2603.26541v1" TargetMode="External" Id="rId1"/><Relationship Type="http://schemas.openxmlformats.org/officeDocument/2006/relationships/hyperlink" Target="https://arxiv.org/html/2603.26541v1#S4.SS1" TargetMode="External" Id="rId2"/><Relationship Type="http://schemas.openxmlformats.org/officeDocument/2006/relationships/hyperlink" Target="https://arxiv.org/html/2603.26541v1#S4.SS1" TargetMode="External" Id="rId3"/><Relationship Type="http://schemas.openxmlformats.org/officeDocument/2006/relationships/hyperlink" Target="https://arxiv.org/html/2603.26541v1#S4.SS2" TargetMode="External" Id="rId4"/><Relationship Type="http://schemas.openxmlformats.org/officeDocument/2006/relationships/hyperlink" Target="https://arxiv.org/html/2603.26541v1#S4.SS2" TargetMode="External" Id="rId5"/><Relationship Type="http://schemas.openxmlformats.org/officeDocument/2006/relationships/hyperlink" Target="https://arxiv.org/html/2603.26541v1#S4.SS2" TargetMode="External" Id="rId6"/><Relationship Type="http://schemas.openxmlformats.org/officeDocument/2006/relationships/hyperlink" Target="https://arxiv.org/html/2603.26541v1#S4.SS2" TargetMode="External" Id="rId7"/><Relationship Type="http://schemas.openxmlformats.org/officeDocument/2006/relationships/hyperlink" Target="https://arxiv.org/html/2603.26541v1#S4.SS3" TargetMode="External" Id="rId8"/><Relationship Type="http://schemas.openxmlformats.org/officeDocument/2006/relationships/hyperlink" Target="https://arxiv.org/html/2603.26541v1#S4.SS3" TargetMode="External" Id="rId9"/><Relationship Type="http://schemas.openxmlformats.org/officeDocument/2006/relationships/hyperlink" Target="https://arxiv.org/html/2603.26541v1#S4.SS3" TargetMode="External" Id="rId10"/><Relationship Type="http://schemas.openxmlformats.org/officeDocument/2006/relationships/hyperlink" Target="https://arxiv.org/html/2603.26541v1#S4.SS3" TargetMode="External" Id="rId11"/><Relationship Type="http://schemas.openxmlformats.org/officeDocument/2006/relationships/hyperlink" Target="https://arxiv.org/html/2603.26541v1#S4.SS3" TargetMode="External" Id="rId12"/><Relationship Type="http://schemas.openxmlformats.org/officeDocument/2006/relationships/hyperlink" Target="https://arxiv.org/html/2603.26541v1#S4.SS3" TargetMode="External" Id="rId13"/><Relationship Type="http://schemas.openxmlformats.org/officeDocument/2006/relationships/hyperlink" Target="https://arxiv.org/html/2603.26541v1#S4.SS3" TargetMode="External" Id="rId14"/><Relationship Type="http://schemas.openxmlformats.org/officeDocument/2006/relationships/hyperlink" Target="https://arxiv.org/html/2603.26541v1#S4.SS3" TargetMode="External" Id="rId15"/><Relationship Type="http://schemas.openxmlformats.org/officeDocument/2006/relationships/hyperlink" Target="https://arxiv.org/html/2603.26541v1#S4.SS3" TargetMode="External" Id="rId16"/><Relationship Type="http://schemas.openxmlformats.org/officeDocument/2006/relationships/hyperlink" Target="https://arxiv.org/html/2603.26541v1#S4.SS3" TargetMode="External" Id="rId17"/><Relationship Type="http://schemas.openxmlformats.org/officeDocument/2006/relationships/hyperlink" Target="https://arxiv.org/html/2603.26541v1#S7" TargetMode="External" Id="rId18"/><Relationship Type="http://schemas.openxmlformats.org/officeDocument/2006/relationships/hyperlink" Target="https://arxiv.org/html/2603.26541v1#S7" TargetMode="External" Id="rId19"/><Relationship Type="http://schemas.openxmlformats.org/officeDocument/2006/relationships/hyperlink" Target="https://arxiv.org/html/2603.26541v1#S7" TargetMode="External" Id="rId20"/><Relationship Type="http://schemas.openxmlformats.org/officeDocument/2006/relationships/hyperlink" Target="https://arxiv.org/html/2603.26541v1#S7" TargetMode="External" Id="rId21"/><Relationship Type="http://schemas.openxmlformats.org/officeDocument/2006/relationships/hyperlink" Target="https://arxiv.org/html/2603.26541v1#S7" TargetMode="External" Id="rId22"/><Relationship Type="http://schemas.openxmlformats.org/officeDocument/2006/relationships/hyperlink" Target="https://arxiv.org/html/2603.26541v1#S8" TargetMode="External" Id="rId23"/><Relationship Type="http://schemas.openxmlformats.org/officeDocument/2006/relationships/hyperlink" Target="https://arxiv.org/html/2603.26541v1#S8" TargetMode="External" Id="rId24"/><Relationship Type="http://schemas.openxmlformats.org/officeDocument/2006/relationships/hyperlink" Target="https://arxiv.org/html/2603.26541v1#S8" TargetMode="External" Id="rId25"/><Relationship Type="http://schemas.openxmlformats.org/officeDocument/2006/relationships/hyperlink" Target="https://arxiv.org/html/2603.26541v1#S8" TargetMode="External" Id="rId26"/><Relationship Type="http://schemas.openxmlformats.org/officeDocument/2006/relationships/hyperlink" Target="https://arxiv.org/html/2603.26541v1#S8" TargetMode="External" Id="rId27"/><Relationship Type="http://schemas.openxmlformats.org/officeDocument/2006/relationships/hyperlink" Target="https://arxiv.org/html/2603.26541v1" TargetMode="External" Id="rId28"/><Relationship Type="http://schemas.openxmlformats.org/officeDocument/2006/relationships/hyperlink" Target="https://arxiv.org/html/2603.26541v1" TargetMode="External" Id="rId29"/><Relationship Type="http://schemas.openxmlformats.org/officeDocument/2006/relationships/hyperlink" Target="https://arxiv.org/html/2603.26541v1" TargetMode="External" Id="rId30"/><Relationship Type="http://schemas.openxmlformats.org/officeDocument/2006/relationships/hyperlink" Target="https://arxiv.org/html/2603.26541v1" TargetMode="External" Id="rId31"/><Relationship Type="http://schemas.openxmlformats.org/officeDocument/2006/relationships/hyperlink" Target="https://arxiv.org/html/2603.26541v1" TargetMode="External" Id="rId32"/><Relationship Type="http://schemas.openxmlformats.org/officeDocument/2006/relationships/hyperlink" Target="https://ovi-map.github.io/" TargetMode="External" Id="rId33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2"/>
  <sheetViews>
    <sheetView showGridLines="0" workbookViewId="0">
      <selection activeCell="A1" sqref="A1"/>
    </sheetView>
  </sheetViews>
  <sheetFormatPr baseColWidth="8" defaultColWidth="9" defaultRowHeight="14"/>
  <cols>
    <col width="25" customWidth="1" style="2" min="1" max="1"/>
    <col width="20" customWidth="1" style="2" min="2" max="2"/>
    <col width="15" customWidth="1" style="2" min="3" max="3"/>
    <col width="18" customWidth="1" style="2" min="4" max="4"/>
    <col width="16" customWidth="1" style="2" min="5" max="5"/>
    <col width="18" customWidth="1" style="2" min="6" max="6"/>
    <col width="22" customWidth="1" style="2" min="7" max="7"/>
    <col width="42" customWidth="1" style="2" min="8" max="8"/>
  </cols>
  <sheetData>
    <row r="1" ht="30" customHeight="1" s="2">
      <c r="A1" s="70" t="inlineStr">
        <is>
          <t>ConceptGraphs 实验结果总览</t>
        </is>
      </c>
      <c r="B1" s="23" t="n"/>
      <c r="C1" s="23" t="n"/>
      <c r="D1" s="23" t="n"/>
      <c r="E1" s="23" t="n"/>
      <c r="F1" s="23" t="n"/>
      <c r="G1" s="23" t="n"/>
      <c r="H1" s="24" t="n"/>
    </row>
    <row r="2" ht="38" customHeight="1" s="2">
      <c r="A2" s="71" t="inlineStr">
        <is>
          <t>截至 2026-08-30；服务器已完成结果。新增“可修性对比总览/明细”；旧三类错误 Oracle 页仅保留历史追溯，其精确 ρ 已作废。</t>
        </is>
      </c>
      <c r="B2" s="23" t="n"/>
      <c r="C2" s="23" t="n"/>
      <c r="D2" s="23" t="n"/>
      <c r="E2" s="23" t="n"/>
      <c r="F2" s="23" t="n"/>
      <c r="G2" s="23" t="n"/>
      <c r="H2" s="24" t="n"/>
    </row>
    <row r="3"/>
    <row r="4" ht="22" customHeight="1" s="2">
      <c r="A4" s="72" t="inlineStr">
        <is>
          <t>A. Replica 8 场景语义主结果（n_exclude=6，400 帧/场景，stride=5）</t>
        </is>
      </c>
      <c r="B4" s="23" t="n"/>
      <c r="C4" s="23" t="n"/>
      <c r="D4" s="23" t="n"/>
      <c r="E4" s="23" t="n"/>
      <c r="F4" s="23" t="n"/>
      <c r="G4" s="23" t="n"/>
      <c r="H4" s="24" t="n"/>
    </row>
    <row r="5" ht="30" customHeight="1" s="2">
      <c r="A5" s="7" t="inlineStr">
        <is>
          <t>指标</t>
        </is>
      </c>
      <c r="B5" s="7" t="inlineStr">
        <is>
          <t>论文 ConceptGraphs</t>
        </is>
      </c>
      <c r="C5" s="7" t="inlineStr">
        <is>
          <t>main 复现</t>
        </is>
      </c>
      <c r="D5" s="7" t="inlineStr">
        <is>
          <t>ali-my</t>
        </is>
      </c>
      <c r="E5" s="7" t="inlineStr">
        <is>
          <t>ali-my-main（pp）</t>
        </is>
      </c>
      <c r="F5" s="7" t="inlineStr">
        <is>
          <t>ali-my-论文（pp）</t>
        </is>
      </c>
      <c r="G5" s="7" t="inlineStr">
        <is>
          <t>比较结论</t>
        </is>
      </c>
      <c r="H5" s="7" t="inlineStr">
        <is>
          <t>备注</t>
        </is>
      </c>
    </row>
    <row r="6" ht="24" customHeight="1" s="2">
      <c r="A6" s="8" t="inlineStr">
        <is>
          <t>mIoU</t>
        </is>
      </c>
      <c r="B6" s="9" t="n"/>
      <c r="C6" s="10" t="n">
        <v>0.2485475274</v>
      </c>
      <c r="D6" s="10" t="n">
        <v>0.2763743329</v>
      </c>
      <c r="E6" s="11" t="n">
        <v>2.78</v>
      </c>
      <c r="F6" s="9" t="n"/>
      <c r="G6" s="8" t="inlineStr">
        <is>
          <t>同后端可比</t>
        </is>
      </c>
      <c r="H6" s="8" t="inlineStr">
        <is>
          <t>论文 Table II 未报告 mIoU</t>
        </is>
      </c>
    </row>
    <row r="7" ht="24" customHeight="1" s="2">
      <c r="A7" s="12" t="inlineStr">
        <is>
          <t>mRecall / mAcc</t>
        </is>
      </c>
      <c r="B7" s="13" t="n">
        <v>0.4063</v>
      </c>
      <c r="C7" s="13" t="n">
        <v>0.4064905794</v>
      </c>
      <c r="D7" s="13" t="n">
        <v>0.4509408941</v>
      </c>
      <c r="E7" s="14" t="n">
        <v>4.45</v>
      </c>
      <c r="F7" s="14" t="n">
        <v>4.46</v>
      </c>
      <c r="G7" s="12" t="inlineStr">
        <is>
          <t>可直接对齐</t>
        </is>
      </c>
      <c r="H7" s="12" t="inlineStr">
        <is>
          <t>论文名称 mAcc</t>
        </is>
      </c>
    </row>
    <row r="8" ht="24" customHeight="1" s="2">
      <c r="A8" s="8" t="inlineStr">
        <is>
          <t>mPrecision</t>
        </is>
      </c>
      <c r="B8" s="9" t="n"/>
      <c r="C8" s="10" t="n">
        <v>0.3631107484</v>
      </c>
      <c r="D8" s="10" t="n">
        <v>0.4259949707</v>
      </c>
      <c r="E8" s="11" t="n">
        <v>6.29</v>
      </c>
      <c r="F8" s="9" t="n"/>
      <c r="G8" s="8" t="inlineStr">
        <is>
          <t>同后端可比</t>
        </is>
      </c>
      <c r="H8" s="8" t="inlineStr">
        <is>
          <t>论文未报告</t>
        </is>
      </c>
    </row>
    <row r="9" ht="24" customHeight="1" s="2">
      <c r="A9" s="12" t="inlineStr">
        <is>
          <t>mF1</t>
        </is>
      </c>
      <c r="B9" s="15" t="n"/>
      <c r="C9" s="13" t="n">
        <v>0.3041183629</v>
      </c>
      <c r="D9" s="13" t="n">
        <v>0.3421515314</v>
      </c>
      <c r="E9" s="14" t="n">
        <v>3.8</v>
      </c>
      <c r="F9" s="15" t="n"/>
      <c r="G9" s="12" t="inlineStr">
        <is>
          <t>同后端可比</t>
        </is>
      </c>
      <c r="H9" s="12" t="inlineStr">
        <is>
          <t>论文未报告</t>
        </is>
      </c>
    </row>
    <row r="10" ht="24" customHeight="1" s="2">
      <c r="A10" s="8" t="inlineStr">
        <is>
          <t>fwIoU / F-mIoU</t>
        </is>
      </c>
      <c r="B10" s="10" t="n">
        <v>0.3595</v>
      </c>
      <c r="C10" s="10" t="n">
        <v>0.3647047971</v>
      </c>
      <c r="D10" s="10" t="n">
        <v>0.4073802701</v>
      </c>
      <c r="E10" s="11" t="n">
        <v>4.27</v>
      </c>
      <c r="F10" s="11" t="n">
        <v>4.79</v>
      </c>
      <c r="G10" s="8" t="inlineStr">
        <is>
          <t>可直接对齐</t>
        </is>
      </c>
      <c r="H10" s="8" t="inlineStr">
        <is>
          <t>论文名称 F-mIoU</t>
        </is>
      </c>
    </row>
    <row r="11" ht="24" customHeight="1" s="2">
      <c r="A11" s="12" t="inlineStr">
        <is>
          <t>点准确率</t>
        </is>
      </c>
      <c r="B11" s="15" t="n"/>
      <c r="C11" s="13" t="n">
        <v>0.4325967455</v>
      </c>
      <c r="D11" s="13" t="n">
        <v>0.5110663723</v>
      </c>
      <c r="E11" s="14" t="n">
        <v>7.85</v>
      </c>
      <c r="F11" s="15" t="n"/>
      <c r="G11" s="12" t="inlineStr">
        <is>
          <t>同后端可比</t>
        </is>
      </c>
      <c r="H11" s="12" t="inlineStr">
        <is>
          <t>论文未报告</t>
        </is>
      </c>
    </row>
    <row r="12"/>
    <row r="13" ht="22" customHeight="1" s="2">
      <c r="A13" s="72" t="inlineStr">
        <is>
          <t>B. ReplicaSSG 8 场景对象识别</t>
        </is>
      </c>
      <c r="B13" s="23" t="n"/>
      <c r="C13" s="23" t="n"/>
      <c r="D13" s="23" t="n"/>
      <c r="E13" s="23" t="n"/>
      <c r="F13" s="23" t="n"/>
      <c r="G13" s="23" t="n"/>
      <c r="H13" s="24" t="n"/>
    </row>
    <row r="14" ht="30" customHeight="1" s="2">
      <c r="A14" s="7" t="inlineStr">
        <is>
          <t>指标</t>
        </is>
      </c>
      <c r="B14" s="7" t="inlineStr">
        <is>
          <t>论文官方</t>
        </is>
      </c>
      <c r="C14" s="7" t="inlineStr">
        <is>
          <t>main</t>
        </is>
      </c>
      <c r="D14" s="7" t="inlineStr">
        <is>
          <t>ali-my</t>
        </is>
      </c>
      <c r="E14" s="7" t="inlineStr">
        <is>
          <t>差值</t>
        </is>
      </c>
      <c r="F14" s="7" t="inlineStr">
        <is>
          <t>论文差值</t>
        </is>
      </c>
      <c r="G14" s="7" t="inlineStr">
        <is>
          <t>判断</t>
        </is>
      </c>
      <c r="H14" s="7" t="inlineStr">
        <is>
          <t>备注</t>
        </is>
      </c>
    </row>
    <row r="15" ht="24" customHeight="1" s="2">
      <c r="A15" s="8" t="inlineStr">
        <is>
          <t>GT 对象</t>
        </is>
      </c>
      <c r="B15" s="9" t="n"/>
      <c r="C15" s="10" t="n">
        <v>248</v>
      </c>
      <c r="D15" s="10" t="n">
        <v>248</v>
      </c>
      <c r="E15" s="9" t="n">
        <v>0</v>
      </c>
      <c r="F15" s="9" t="n"/>
      <c r="G15" s="8" t="inlineStr">
        <is>
          <t>相同</t>
        </is>
      </c>
      <c r="H15" s="8" t="inlineStr">
        <is>
          <t>8 场景池化</t>
        </is>
      </c>
    </row>
    <row r="16" ht="24" customHeight="1" s="2">
      <c r="A16" s="12" t="inlineStr">
        <is>
          <t>预测对象</t>
        </is>
      </c>
      <c r="B16" s="15" t="n"/>
      <c r="C16" s="13" t="n">
        <v>612</v>
      </c>
      <c r="D16" s="13" t="n">
        <v>381</v>
      </c>
      <c r="E16" s="15" t="n">
        <v>-231</v>
      </c>
      <c r="F16" s="15" t="n"/>
      <c r="G16" s="12" t="inlineStr">
        <is>
          <t>ali-my 更紧凑</t>
        </is>
      </c>
      <c r="H16" s="12" t="inlineStr">
        <is>
          <t>数量，不是百分比</t>
        </is>
      </c>
    </row>
    <row r="17" ht="24" customHeight="1" s="2">
      <c r="A17" s="8" t="inlineStr">
        <is>
          <t>几何匹配</t>
        </is>
      </c>
      <c r="B17" s="9" t="n"/>
      <c r="C17" s="10" t="n">
        <v>175</v>
      </c>
      <c r="D17" s="10" t="n">
        <v>138</v>
      </c>
      <c r="E17" s="9" t="n">
        <v>-37</v>
      </c>
      <c r="F17" s="9" t="n"/>
      <c r="G17" s="8" t="inlineStr">
        <is>
          <t>main 更高</t>
        </is>
      </c>
      <c r="H17" s="8" t="inlineStr">
        <is>
          <t>单向 KD-tree 协议</t>
        </is>
      </c>
    </row>
    <row r="18" ht="24" customHeight="1" s="2">
      <c r="A18" s="12" t="inlineStr">
        <is>
          <t>几何覆盖率</t>
        </is>
      </c>
      <c r="B18" s="15" t="n"/>
      <c r="C18" s="13" t="n">
        <v>0.7056</v>
      </c>
      <c r="D18" s="13" t="n">
        <v>0.5565</v>
      </c>
      <c r="E18" s="12" t="inlineStr">
        <is>
          <t>-14.92 pp</t>
        </is>
      </c>
      <c r="F18" s="15" t="n"/>
      <c r="G18" s="12" t="inlineStr">
        <is>
          <t>main 更高</t>
        </is>
      </c>
      <c r="H18" s="12" t="inlineStr">
        <is>
          <t>论文无对应指标</t>
        </is>
      </c>
    </row>
    <row r="19" ht="24" customHeight="1" s="2">
      <c r="A19" s="8" t="inlineStr">
        <is>
          <t>R@1</t>
        </is>
      </c>
      <c r="B19" s="9" t="n"/>
      <c r="C19" s="10" t="n">
        <v>0.2056</v>
      </c>
      <c r="D19" s="10" t="n">
        <v>0.1774</v>
      </c>
      <c r="E19" s="8" t="inlineStr">
        <is>
          <t>-2.82 pp</t>
        </is>
      </c>
      <c r="F19" s="9" t="n"/>
      <c r="G19" s="8" t="inlineStr">
        <is>
          <t>main 更高</t>
        </is>
      </c>
      <c r="H19" s="8" t="inlineStr">
        <is>
          <t>论文无 ReplicaSSG 对应值</t>
        </is>
      </c>
    </row>
    <row r="20" ht="24" customHeight="1" s="2">
      <c r="A20" s="12" t="inlineStr">
        <is>
          <t>R@5</t>
        </is>
      </c>
      <c r="B20" s="15" t="n"/>
      <c r="C20" s="13" t="n">
        <v>0.5565</v>
      </c>
      <c r="D20" s="13" t="n">
        <v>0.4395</v>
      </c>
      <c r="E20" s="12" t="inlineStr">
        <is>
          <t>-11.69 pp</t>
        </is>
      </c>
      <c r="F20" s="15" t="n"/>
      <c r="G20" s="12" t="inlineStr">
        <is>
          <t>main 更高</t>
        </is>
      </c>
      <c r="H20" s="12" t="inlineStr">
        <is>
          <t>论文无 ReplicaSSG 对应值</t>
        </is>
      </c>
    </row>
    <row r="21" ht="24" customHeight="1" s="2">
      <c r="A21" s="8" t="inlineStr">
        <is>
          <t>mR@1</t>
        </is>
      </c>
      <c r="B21" s="9" t="n"/>
      <c r="C21" s="10" t="n">
        <v>0.3159</v>
      </c>
      <c r="D21" s="10" t="n">
        <v>0.3232</v>
      </c>
      <c r="E21" s="8" t="inlineStr">
        <is>
          <t>+0.74 pp</t>
        </is>
      </c>
      <c r="F21" s="9" t="n"/>
      <c r="G21" s="8" t="inlineStr">
        <is>
          <t>ali-my 略高</t>
        </is>
      </c>
      <c r="H21" s="8" t="inlineStr">
        <is>
          <t>24 个出现类别</t>
        </is>
      </c>
    </row>
    <row r="22" ht="24" customHeight="1" s="2">
      <c r="A22" s="12" t="inlineStr">
        <is>
          <t>mR@5</t>
        </is>
      </c>
      <c r="B22" s="15" t="n"/>
      <c r="C22" s="13" t="n">
        <v>0.546</v>
      </c>
      <c r="D22" s="13" t="n">
        <v>0.553</v>
      </c>
      <c r="E22" s="12" t="inlineStr">
        <is>
          <t>+0.70 pp</t>
        </is>
      </c>
      <c r="F22" s="15" t="n"/>
      <c r="G22" s="12" t="inlineStr">
        <is>
          <t>ali-my 略高</t>
        </is>
      </c>
      <c r="H22" s="12" t="inlineStr">
        <is>
          <t>24 个出现类别</t>
        </is>
      </c>
    </row>
    <row r="23"/>
    <row r="24" ht="22" customHeight="1" s="2">
      <c r="A24" s="72" t="inlineStr">
        <is>
          <t>C. 已完成的关系、审计、VLM 与修订结果摘要</t>
        </is>
      </c>
      <c r="B24" s="23" t="n"/>
      <c r="C24" s="23" t="n"/>
      <c r="D24" s="23" t="n"/>
      <c r="E24" s="23" t="n"/>
      <c r="F24" s="23" t="n"/>
      <c r="G24" s="23" t="n"/>
      <c r="H24" s="24" t="n"/>
    </row>
    <row r="25" ht="30" customHeight="1" s="2">
      <c r="A25" s="7" t="inlineStr">
        <is>
          <t>实验</t>
        </is>
      </c>
      <c r="B25" s="7" t="inlineStr">
        <is>
          <t>指标1</t>
        </is>
      </c>
      <c r="C25" s="7" t="inlineStr">
        <is>
          <t>数值1</t>
        </is>
      </c>
      <c r="D25" s="7" t="inlineStr">
        <is>
          <t>指标2</t>
        </is>
      </c>
      <c r="E25" s="7" t="inlineStr">
        <is>
          <t>数值2</t>
        </is>
      </c>
      <c r="F25" s="7" t="inlineStr">
        <is>
          <t>指标3</t>
        </is>
      </c>
      <c r="G25" s="7" t="inlineStr">
        <is>
          <t>数值3</t>
        </is>
      </c>
      <c r="H25" s="7" t="inlineStr">
        <is>
          <t>口径/边界</t>
        </is>
      </c>
    </row>
    <row r="26" ht="24" customHeight="1" s="2">
      <c r="A26" s="8" t="inlineStr">
        <is>
          <t>ali-dev 派生关系（8场景）</t>
        </is>
      </c>
      <c r="B26" s="8" t="inlineStr">
        <is>
          <t>R@1</t>
        </is>
      </c>
      <c r="C26" s="10" t="n">
        <v>0.5503</v>
      </c>
      <c r="D26" s="8" t="inlineStr">
        <is>
          <t>R@3</t>
        </is>
      </c>
      <c r="E26" s="10" t="n">
        <v>0.7315</v>
      </c>
      <c r="F26" s="8" t="inlineStr">
        <is>
          <t>mR@1 / mR@3</t>
        </is>
      </c>
      <c r="G26" s="8" t="inlineStr">
        <is>
          <t>19.18% / 32.96%</t>
        </is>
      </c>
      <c r="H26" s="8" t="inlineStr">
        <is>
          <t>ReplicaSSG；不是论文 AMT precision</t>
        </is>
      </c>
    </row>
    <row r="27" ht="24" customHeight="1" s="2">
      <c r="A27" s="12" t="inlineStr">
        <is>
          <t>严格 ali-dev room0</t>
        </is>
      </c>
      <c r="B27" s="12" t="inlineStr">
        <is>
          <t>paper R@1</t>
        </is>
      </c>
      <c r="C27" s="13" t="n">
        <v>0.5600000000000001</v>
      </c>
      <c r="D27" s="12" t="inlineStr">
        <is>
          <t>paper R@3</t>
        </is>
      </c>
      <c r="E27" s="13" t="n">
        <v>0.64</v>
      </c>
      <c r="F27" s="12" t="inlineStr">
        <is>
          <t>0.99 edge F1</t>
        </is>
      </c>
      <c r="G27" s="12" t="inlineStr">
        <is>
          <t>14.08%</t>
        </is>
      </c>
      <c r="H27" s="12" t="inlineStr">
        <is>
          <t>仅 room0 可严格归属 ali-dev</t>
        </is>
      </c>
    </row>
    <row r="28" ht="24" customHeight="1" s="2">
      <c r="A28" s="8" t="inlineStr">
        <is>
          <t>ali-my R1 人工审计</t>
        </is>
      </c>
      <c r="B28" s="8" t="inlineStr">
        <is>
          <t>错误率</t>
        </is>
      </c>
      <c r="C28" s="10" t="n">
        <v>0.421053</v>
      </c>
      <c r="D28" s="8" t="inlineStr">
        <is>
          <t>证据充分</t>
        </is>
      </c>
      <c r="E28" s="10" t="n">
        <v>0.9793809999999999</v>
      </c>
      <c r="F28" s="8" t="inlineStr">
        <is>
          <t>错误/正确/不明确</t>
        </is>
      </c>
      <c r="G28" s="8" t="inlineStr">
        <is>
          <t>40 / 55 / 2</t>
        </is>
      </c>
      <c r="H28" s="8" t="inlineStr">
        <is>
          <t>97 endpoint</t>
        </is>
      </c>
    </row>
    <row r="29" ht="24" customHeight="1" s="2">
      <c r="A29" s="12" t="inlineStr">
        <is>
          <t>ali-my-VLM full_97</t>
        </is>
      </c>
      <c r="B29" s="12" t="inlineStr">
        <is>
          <t>状态准确率</t>
        </is>
      </c>
      <c r="C29" s="13" t="n">
        <v>0.670103</v>
      </c>
      <c r="D29" s="12" t="inlineStr">
        <is>
          <t>WRONG F1</t>
        </is>
      </c>
      <c r="E29" s="13" t="n">
        <v>0.666667</v>
      </c>
      <c r="F29" s="12" t="inlineStr">
        <is>
          <t>Precision / Recall</t>
        </is>
      </c>
      <c r="G29" s="12" t="inlineStr">
        <is>
          <t>58.49% / 77.50%</t>
        </is>
      </c>
      <c r="H29" s="12" t="inlineStr">
        <is>
          <t>19 个动作中 8 个对应 R1 CORRECT</t>
        </is>
      </c>
    </row>
    <row r="30" ht="24" customHeight="1" s="2">
      <c r="A30" s="8" t="inlineStr">
        <is>
          <t>Revision Kernel V1</t>
        </is>
      </c>
      <c r="B30" s="8" t="inlineStr">
        <is>
          <t>损伤案例修复</t>
        </is>
      </c>
      <c r="C30" s="10" t="n">
        <v>1</v>
      </c>
      <c r="D30" s="8" t="inlineStr">
        <is>
          <t>collateral-safe</t>
        </is>
      </c>
      <c r="E30" s="10" t="n">
        <v>1</v>
      </c>
      <c r="F30" s="8" t="inlineStr">
        <is>
          <t>修复/损伤/冻结</t>
        </is>
      </c>
      <c r="G30" s="8" t="inlineStr">
        <is>
          <t>49 / 49 / 60</t>
        </is>
      </c>
      <c r="H30" s="8" t="inlineStr">
        <is>
          <t>两开发场景 controlled benchmark</t>
        </is>
      </c>
    </row>
    <row r="31" ht="50" customHeight="1" s="2">
      <c r="A31" s="73" t="inlineStr">
        <is>
          <t>可修性对比验证（2场景）</t>
        </is>
      </c>
      <c r="B31" s="74" t="inlineStr">
        <is>
          <t>OA差距恢复(F1)</t>
        </is>
      </c>
      <c r="C31" s="75" t="inlineStr">
        <is>
          <t>room 12.09%; office 2.58%</t>
        </is>
      </c>
      <c r="D31" s="74" t="inlineStr">
        <is>
          <t>OM_all差距恢复(F1)</t>
        </is>
      </c>
      <c r="E31" s="75" t="inlineStr">
        <is>
          <t>room 81.47%; office 85.26%</t>
        </is>
      </c>
      <c r="F31" s="74" t="inlineStr">
        <is>
          <t>最终方向</t>
        </is>
      </c>
      <c r="G31" s="76" t="inlineStr">
        <is>
          <t>mask partition/cleanup + local replay</t>
        </is>
      </c>
      <c r="H31" s="77" t="inlineStr">
        <is>
          <t>旧ρ作废；严格语义收益未识别；详见新页</t>
        </is>
      </c>
    </row>
    <row r="32" ht="34" customHeight="1" s="2">
      <c r="A32" s="78" t="inlineStr">
        <is>
          <t>重要：论文 Table I 的 Edge Precision=88% 是 7 场景 AMT 开放词汇人工判断；本地 ReplicaSSG P/R/F1 使用稀疏封闭 GT，不能直接相减。</t>
        </is>
      </c>
      <c r="B32" s="23" t="n"/>
      <c r="C32" s="23" t="n"/>
      <c r="D32" s="23" t="n"/>
      <c r="E32" s="23" t="n"/>
      <c r="F32" s="23" t="n"/>
      <c r="G32" s="23" t="n"/>
      <c r="H32" s="24" t="n"/>
    </row>
  </sheetData>
  <mergeCells count="6">
    <mergeCell ref="A4:H4"/>
    <mergeCell ref="A24:H24"/>
    <mergeCell ref="A2:H2"/>
    <mergeCell ref="A13:H13"/>
    <mergeCell ref="A1:H1"/>
    <mergeCell ref="A32:H32"/>
  </mergeCells>
  <hyperlinks>
    <hyperlink xmlns:r="http://schemas.openxmlformats.org/officeDocument/2006/relationships" ref="A31" r:id="rId1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L38"/>
  <sheetViews>
    <sheetView showGridLines="0" workbookViewId="0">
      <pane xSplit="2" ySplit="5" topLeftCell="C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2" customWidth="1" style="2" min="1" max="1"/>
    <col width="14" customWidth="1" style="2" min="2" max="2"/>
    <col width="17" customWidth="1" style="2" min="3" max="3"/>
    <col width="17" customWidth="1" style="2" min="4" max="4"/>
    <col width="17" customWidth="1" style="2" min="5" max="5"/>
    <col width="17" customWidth="1" style="2" min="6" max="6"/>
    <col width="17" customWidth="1" style="2" min="7" max="7"/>
    <col width="17" customWidth="1" style="2" min="8" max="8"/>
    <col width="17" customWidth="1" style="2" min="9" max="9"/>
    <col width="17" customWidth="1" style="2" min="10" max="10"/>
    <col width="17" customWidth="1" style="2" min="11" max="11"/>
    <col width="17" customWidth="1" style="2" min="12" max="12"/>
  </cols>
  <sheetData>
    <row r="1" ht="32" customHeight="1" s="2">
      <c r="A1" s="166" t="inlineStr">
        <is>
          <t>在线门控 room0：off / VLM / human 已完成评估汇总（2026-09-04）</t>
        </is>
      </c>
    </row>
    <row r="2" ht="32" customHeight="1" s="2">
      <c r="A2" s="166" t="inlineStr">
        <is>
          <t>统一口径：Replica room0；0:2000:5，共400处理帧；n_exclude=6；23类；4,085,377评测点。仅单场景，不与8场景池化值直接比较。</t>
        </is>
      </c>
    </row>
    <row r="3">
      <c r="A3" s="167" t="n"/>
      <c r="B3" s="167" t="n"/>
      <c r="C3" s="167" t="n"/>
      <c r="D3" s="167" t="n"/>
      <c r="E3" s="167" t="n"/>
      <c r="F3" s="167" t="n"/>
      <c r="G3" s="167" t="n"/>
      <c r="H3" s="167" t="n"/>
      <c r="I3" s="167" t="n"/>
      <c r="J3" s="167" t="n"/>
      <c r="K3" s="167" t="n"/>
      <c r="L3" s="167" t="n"/>
    </row>
    <row r="4" ht="32" customHeight="1" s="2">
      <c r="A4" s="166" t="inlineStr">
        <is>
          <t>A. 点级语义主指标（百分比显示；保存原始精度）</t>
        </is>
      </c>
    </row>
    <row r="5" ht="42" customHeight="1" s="2">
      <c r="A5" s="168" t="inlineStr">
        <is>
          <t>实验目录</t>
        </is>
      </c>
      <c r="B5" s="168" t="inlineStr">
        <is>
          <t>模式</t>
        </is>
      </c>
      <c r="C5" s="168" t="inlineStr">
        <is>
          <t>mIoU</t>
        </is>
      </c>
      <c r="D5" s="168" t="inlineStr">
        <is>
          <t>mAcc / mRecall</t>
        </is>
      </c>
      <c r="E5" s="168" t="inlineStr">
        <is>
          <t>mPrecision</t>
        </is>
      </c>
      <c r="F5" s="168" t="inlineStr">
        <is>
          <t>mF1（原公式）</t>
        </is>
      </c>
      <c r="G5" s="168" t="inlineStr">
        <is>
          <t>fwIoU</t>
        </is>
      </c>
      <c r="H5" s="168" t="inlineStr">
        <is>
          <t>Point Accuracy</t>
        </is>
      </c>
      <c r="I5" s="168" t="inlineStr">
        <is>
          <t>IoU &gt; 0.15 类数</t>
        </is>
      </c>
      <c r="J5" s="168" t="inlineStr">
        <is>
          <t>IoU &gt; 0.25 类数</t>
        </is>
      </c>
      <c r="K5" s="168" t="inlineStr">
        <is>
          <t>IoU &gt; 0.50 类数</t>
        </is>
      </c>
      <c r="L5" s="168" t="inlineStr">
        <is>
          <t>IoU &gt; 0.75 类数</t>
        </is>
      </c>
    </row>
    <row r="6" ht="42" customHeight="1" s="2">
      <c r="A6" s="169" t="inlineStr">
        <is>
          <t>off2000</t>
        </is>
      </c>
      <c r="B6" s="169" t="inlineStr">
        <is>
          <t>off</t>
        </is>
      </c>
      <c r="C6" s="170" t="n">
        <v>0.1992985184308735</v>
      </c>
      <c r="D6" s="170" t="n">
        <v>0.3873306699705193</v>
      </c>
      <c r="E6" s="170" t="n">
        <v>0.2376431515604744</v>
      </c>
      <c r="F6" s="170" t="n">
        <v>0.2474773274218771</v>
      </c>
      <c r="G6" s="170" t="n">
        <v>0.4068411421813301</v>
      </c>
      <c r="H6" s="170" t="n">
        <v>0.5170443266312998</v>
      </c>
      <c r="I6" s="169" t="n">
        <v>8</v>
      </c>
      <c r="J6" s="169" t="n">
        <v>6</v>
      </c>
      <c r="K6" s="169" t="n">
        <v>5</v>
      </c>
      <c r="L6" s="169" t="n">
        <v>2</v>
      </c>
    </row>
    <row r="7" ht="42" customHeight="1" s="2">
      <c r="A7" s="167" t="inlineStr">
        <is>
          <t>my_vlm_pointcloud2000</t>
        </is>
      </c>
      <c r="B7" s="167" t="inlineStr">
        <is>
          <t>VLM</t>
        </is>
      </c>
      <c r="C7" s="171" t="n">
        <v>0.1951881265880493</v>
      </c>
      <c r="D7" s="171" t="n">
        <v>0.3710469788561864</v>
      </c>
      <c r="E7" s="171" t="n">
        <v>0.2234635190740883</v>
      </c>
      <c r="F7" s="171" t="n">
        <v>0.2384099230758029</v>
      </c>
      <c r="G7" s="171" t="n">
        <v>0.481758077116731</v>
      </c>
      <c r="H7" s="171" t="n">
        <v>0.6069425171777293</v>
      </c>
      <c r="I7" s="167" t="n">
        <v>7</v>
      </c>
      <c r="J7" s="167" t="n">
        <v>6</v>
      </c>
      <c r="K7" s="167" t="n">
        <v>5</v>
      </c>
      <c r="L7" s="167" t="n">
        <v>2</v>
      </c>
    </row>
    <row r="8" ht="42" customHeight="1" s="2">
      <c r="A8" s="169" t="inlineStr">
        <is>
          <t>my_human2000</t>
        </is>
      </c>
      <c r="B8" s="169" t="inlineStr">
        <is>
          <t>human</t>
        </is>
      </c>
      <c r="C8" s="170" t="n">
        <v>0.1989467221995654</v>
      </c>
      <c r="D8" s="170" t="n">
        <v>0.3753383216356859</v>
      </c>
      <c r="E8" s="170" t="n">
        <v>0.2247541988540486</v>
      </c>
      <c r="F8" s="170" t="n">
        <v>0.2416700366116194</v>
      </c>
      <c r="G8" s="170" t="n">
        <v>0.4918921916010184</v>
      </c>
      <c r="H8" s="170" t="n">
        <v>0.6162344380946972</v>
      </c>
      <c r="I8" s="169" t="n">
        <v>7</v>
      </c>
      <c r="J8" s="169" t="n">
        <v>6</v>
      </c>
      <c r="K8" s="169" t="n">
        <v>6</v>
      </c>
      <c r="L8" s="169" t="n">
        <v>2</v>
      </c>
    </row>
    <row r="9" ht="48" customHeight="1" s="2">
      <c r="A9" s="169" t="inlineStr">
        <is>
          <t>huamn2000_2</t>
        </is>
      </c>
      <c r="B9" s="169" t="inlineStr">
        <is>
          <t>human（第2版）</t>
        </is>
      </c>
      <c r="C9" s="170" t="n">
        <v>0.2001506539844413</v>
      </c>
      <c r="D9" s="170" t="n">
        <v>0.3758489806491229</v>
      </c>
      <c r="E9" s="170" t="n">
        <v>0.2268666163881042</v>
      </c>
      <c r="F9" s="170" t="n">
        <v>0.2425912546339255</v>
      </c>
      <c r="G9" s="170" t="n">
        <v>0.4925232370169597</v>
      </c>
      <c r="H9" s="170" t="n">
        <v>0.6170752417708329</v>
      </c>
      <c r="I9" s="169" t="n">
        <v>7</v>
      </c>
      <c r="J9" s="169" t="n">
        <v>6</v>
      </c>
      <c r="K9" s="169" t="n">
        <v>6</v>
      </c>
      <c r="L9" s="169" t="n">
        <v>2</v>
      </c>
    </row>
    <row r="10" ht="32" customHeight="1" s="2">
      <c r="A10" s="166" t="inlineStr">
        <is>
          <t>B. 相对 off 的变化（百分点；正数为提升，负数为退化）</t>
        </is>
      </c>
    </row>
    <row r="11" ht="42" customHeight="1" s="2">
      <c r="A11" s="168" t="inlineStr">
        <is>
          <t>实验目录</t>
        </is>
      </c>
      <c r="B11" s="168" t="inlineStr">
        <is>
          <t>参照</t>
        </is>
      </c>
      <c r="C11" s="168" t="inlineStr">
        <is>
          <t>ΔmIoU</t>
        </is>
      </c>
      <c r="D11" s="168" t="inlineStr">
        <is>
          <t>ΔmAcc</t>
        </is>
      </c>
      <c r="E11" s="168" t="inlineStr">
        <is>
          <t>ΔmPrecision</t>
        </is>
      </c>
      <c r="F11" s="168" t="inlineStr">
        <is>
          <t>ΔmF1</t>
        </is>
      </c>
      <c r="G11" s="168" t="inlineStr">
        <is>
          <t>ΔfwIoU</t>
        </is>
      </c>
      <c r="H11" s="168" t="inlineStr">
        <is>
          <t>ΔPoint Accuracy</t>
        </is>
      </c>
      <c r="I11" s="168" t="n"/>
      <c r="J11" s="168" t="n"/>
      <c r="K11" s="168" t="n"/>
      <c r="L11" s="168" t="n"/>
    </row>
    <row r="12" ht="42" customHeight="1" s="2">
      <c r="A12" s="169" t="inlineStr">
        <is>
          <t>my_vlm_pointcloud2000</t>
        </is>
      </c>
      <c r="B12" s="169" t="inlineStr">
        <is>
          <t>off2000</t>
        </is>
      </c>
      <c r="C12" s="172" t="n">
        <v>-0.4110391842824157</v>
      </c>
      <c r="D12" s="172" t="n">
        <v>-1.628369111433287</v>
      </c>
      <c r="E12" s="172" t="n">
        <v>-1.417963248638614</v>
      </c>
      <c r="F12" s="172" t="n">
        <v>-0.9067404346074213</v>
      </c>
      <c r="G12" s="172" t="n">
        <v>7.49169349354009</v>
      </c>
      <c r="H12" s="172" t="n">
        <v>8.989819054642943</v>
      </c>
      <c r="I12" s="169" t="n"/>
      <c r="J12" s="169" t="n"/>
      <c r="K12" s="169" t="n"/>
      <c r="L12" s="169" t="n"/>
    </row>
    <row r="13" ht="42" customHeight="1" s="2">
      <c r="A13" s="167" t="inlineStr">
        <is>
          <t>my_human2000</t>
        </is>
      </c>
      <c r="B13" s="167" t="inlineStr">
        <is>
          <t>off2000</t>
        </is>
      </c>
      <c r="C13" s="173" t="n">
        <v>-0.03517962313080147</v>
      </c>
      <c r="D13" s="173" t="n">
        <v>-1.199234833483338</v>
      </c>
      <c r="E13" s="173" t="n">
        <v>-1.288895270642584</v>
      </c>
      <c r="F13" s="173" t="n">
        <v>-0.5807290810257761</v>
      </c>
      <c r="G13" s="173" t="n">
        <v>8.505104941968824</v>
      </c>
      <c r="H13" s="173" t="n">
        <v>9.919011146339741</v>
      </c>
      <c r="I13" s="167" t="n"/>
      <c r="J13" s="167" t="n"/>
      <c r="K13" s="167" t="n"/>
      <c r="L13" s="167" t="n"/>
    </row>
    <row r="14" ht="48" customHeight="1" s="2">
      <c r="A14" s="167" t="inlineStr">
        <is>
          <t>huamn2000_2</t>
        </is>
      </c>
      <c r="B14" s="167" t="inlineStr">
        <is>
          <t>off2000</t>
        </is>
      </c>
      <c r="C14" s="173" t="n">
        <v>0.08521355535677344</v>
      </c>
      <c r="D14" s="173" t="n">
        <v>-1.14816893213964</v>
      </c>
      <c r="E14" s="173" t="n">
        <v>-1.077653517237017</v>
      </c>
      <c r="F14" s="173" t="n">
        <v>-0.4886072787951612</v>
      </c>
      <c r="G14" s="173" t="n">
        <v>8.56820948356296</v>
      </c>
      <c r="H14" s="173" t="n">
        <v>10.00309151395331</v>
      </c>
      <c r="I14" s="167" t="n"/>
      <c r="J14" s="167" t="n"/>
      <c r="K14" s="167" t="n"/>
      <c r="L14" s="167" t="n"/>
    </row>
    <row r="15" ht="32" customHeight="1" s="2">
      <c r="A15" s="166" t="inlineStr">
        <is>
          <t>C. 完成状态与运行诊断（时间为评估耗时，不是建图/VLM推理耗时）</t>
        </is>
      </c>
    </row>
    <row r="16" ht="42" customHeight="1" s="2">
      <c r="A16" s="168" t="inlineStr">
        <is>
          <t>实验目录</t>
        </is>
      </c>
      <c r="B16" s="168" t="inlineStr">
        <is>
          <t>状态</t>
        </is>
      </c>
      <c r="C16" s="168" t="inlineStr">
        <is>
          <t>处理帧</t>
        </is>
      </c>
      <c r="D16" s="168" t="inlineStr">
        <is>
          <t>对象数</t>
        </is>
      </c>
      <c r="E16" s="168" t="inlineStr">
        <is>
          <t>对象点数</t>
        </is>
      </c>
      <c r="F16" s="168" t="inlineStr">
        <is>
          <t>评估内部秒</t>
        </is>
      </c>
      <c r="G16" s="168" t="inlineStr">
        <is>
          <t>评估wall秒</t>
        </is>
      </c>
      <c r="H16" s="168" t="inlineStr">
        <is>
          <t>IoU为0类数</t>
        </is>
      </c>
      <c r="I16" s="168" t="inlineStr">
        <is>
          <t>证据审计说明</t>
        </is>
      </c>
      <c r="J16" s="168" t="n"/>
      <c r="K16" s="168" t="n"/>
      <c r="L16" s="168" t="n"/>
    </row>
    <row r="17" ht="42" customHeight="1" s="2">
      <c r="A17" s="169" t="inlineStr">
        <is>
          <t>off2000</t>
        </is>
      </c>
      <c r="B17" s="169" t="inlineStr">
        <is>
          <t>完成</t>
        </is>
      </c>
      <c r="C17" s="169" t="n">
        <v>400</v>
      </c>
      <c r="D17" s="169" t="n">
        <v>72</v>
      </c>
      <c r="E17" s="169" t="n">
        <v>740267</v>
      </c>
      <c r="F17" s="169" t="n">
        <v>36.67</v>
      </c>
      <c r="G17" s="169" t="n">
        <v>37.66</v>
      </c>
      <c r="H17" s="169" t="n">
        <v>12</v>
      </c>
      <c r="I17" s="169" t="inlineStr">
        <is>
          <t>manifest/gate完成；无独立audit报告</t>
        </is>
      </c>
    </row>
    <row r="18" ht="42" customHeight="1" s="2">
      <c r="A18" s="167" t="inlineStr">
        <is>
          <t>my_vlm_pointcloud2000</t>
        </is>
      </c>
      <c r="B18" s="167" t="inlineStr">
        <is>
          <t>完成</t>
        </is>
      </c>
      <c r="C18" s="167" t="n">
        <v>400</v>
      </c>
      <c r="D18" s="167" t="n">
        <v>57</v>
      </c>
      <c r="E18" s="167" t="n">
        <v>721802</v>
      </c>
      <c r="F18" s="167" t="n">
        <v>38.724</v>
      </c>
      <c r="G18" s="167" t="n">
        <v>39.74</v>
      </c>
      <c r="H18" s="167" t="n">
        <v>13</v>
      </c>
      <c r="I18" s="167" t="inlineStr">
        <is>
          <t>严格证据审计通过；前两次环境启动失败，未产生指标</t>
        </is>
      </c>
    </row>
    <row r="19" ht="42" customHeight="1" s="2">
      <c r="A19" s="169" t="inlineStr">
        <is>
          <t>my_human2000</t>
        </is>
      </c>
      <c r="B19" s="169" t="inlineStr">
        <is>
          <t>完成</t>
        </is>
      </c>
      <c r="C19" s="169" t="n">
        <v>400</v>
      </c>
      <c r="D19" s="169" t="n">
        <v>64</v>
      </c>
      <c r="E19" s="169" t="n">
        <v>729935</v>
      </c>
      <c r="F19" s="169" t="n">
        <v>35.305</v>
      </c>
      <c r="G19" s="169" t="n">
        <v>36.29</v>
      </c>
      <c r="H19" s="169" t="n">
        <v>13</v>
      </c>
      <c r="I19" s="169" t="inlineStr">
        <is>
          <t>85个人工事件，25次改变原决定；无独立audit报告</t>
        </is>
      </c>
    </row>
    <row r="20" ht="66" customHeight="1" s="2">
      <c r="A20" s="169" t="inlineStr">
        <is>
          <t>huamn2000_2</t>
        </is>
      </c>
      <c r="B20" s="169" t="inlineStr">
        <is>
          <t>评估JSON已生成</t>
        </is>
      </c>
      <c r="C20" s="169" t="n"/>
      <c r="D20" s="169" t="n">
        <v>59</v>
      </c>
      <c r="E20" s="169" t="n">
        <v>732654</v>
      </c>
      <c r="F20" s="169" t="n">
        <v>37.619</v>
      </c>
      <c r="G20" s="169" t="n"/>
      <c r="H20" s="169" t="n">
        <v>13</v>
      </c>
      <c r="I20" s="169" t="inlineStr">
        <is>
          <t>读取指定JSON；场景计算24.365秒，总评估37.619秒；未另查帧序列/审计及wall时间</t>
        </is>
      </c>
    </row>
    <row r="21" ht="32" customHeight="1" s="2">
      <c r="A21" s="166" t="inlineStr">
        <is>
          <t>D. 评估口径、结论与局限</t>
        </is>
      </c>
    </row>
    <row r="22" ht="34" customHeight="1" s="2">
      <c r="A22" s="167" t="inlineStr">
        <is>
          <t>原生1024维CLIP；ViT-H-14 / laion2b_s32b_b79k；文本提示 an image of {class}；不使用Oracle语义标签。</t>
        </is>
      </c>
    </row>
    <row r="23" ht="34" customHeight="1" s="2">
      <c r="A23" s="167" t="inlineStr">
        <is>
          <t>排除 other/floor/wall/ceiling/door/window；共享stride5 SLAM及Replica Semantic GT；CPU cKDTree精确k=1，无额外距离阈值。</t>
        </is>
      </c>
    </row>
    <row r="24" ht="34" customHeight="1" s="2">
      <c r="A24" s="167" t="inlineStr">
        <is>
          <t>mAcc等于mRecall宏平均；mF1沿用ali-dev原公式，不替换为其他F1公式。三组JSON/CSV/原始混淆矩阵已复核。</t>
        </is>
      </c>
    </row>
    <row r="25" ht="34" customHeight="1" s="2">
      <c r="A25" s="167" t="inlineStr">
        <is>
          <t>off与历史ali-my room0的52×52混淆矩阵逐元素完全一致。正确历史参照：语义8场景第15行；第10行为8场景池化结果。</t>
        </is>
      </c>
    </row>
    <row r="26" ht="34" customHeight="1" s="2">
      <c r="A26" s="167" t="inlineStr">
        <is>
          <t>VLM/human的fwIoU和点准确率高于off，但mIoU、mAcc、mPrecision、mF1低于off；不能仅报告成功指标。</t>
        </is>
      </c>
    </row>
    <row r="27" ht="34" customHeight="1" s="2">
      <c r="A27" s="167" t="inlineStr">
        <is>
          <t>单场景无重复运行/方差，不能推断多场景总体效果；最近邻无距离门限会混合覆盖误差与语义误差；不等于实例级AP或逐决策因果评估。</t>
        </is>
      </c>
    </row>
    <row r="28" ht="34" customHeight="1" s="2">
      <c r="A28" s="167" t="inlineStr">
        <is>
          <t>本次仅汇总已经完成的评估，没有重跑建图、评估或调用API。保留所有历史工作表。</t>
        </is>
      </c>
    </row>
    <row r="29">
      <c r="A29" s="167" t="n"/>
      <c r="B29" s="167" t="n"/>
      <c r="C29" s="167" t="n"/>
      <c r="D29" s="167" t="n"/>
      <c r="E29" s="167" t="n"/>
      <c r="F29" s="167" t="n"/>
      <c r="G29" s="167" t="n"/>
      <c r="H29" s="167" t="n"/>
      <c r="I29" s="167" t="n"/>
      <c r="J29" s="167" t="n"/>
      <c r="K29" s="167" t="n"/>
      <c r="L29" s="167" t="n"/>
    </row>
    <row r="30" ht="32" customHeight="1" s="2">
      <c r="A30" s="166" t="inlineStr">
        <is>
          <t>E. 原始产物路径（服务器绝对路径）</t>
        </is>
      </c>
    </row>
    <row r="31" ht="48" customHeight="1" s="2">
      <c r="A31" s="167" t="inlineStr">
        <is>
          <t>off2000：/home/chenkejun/beauty/conceptgraphs/results/experiments/oracle_three_error_20260828/pilot/b0_dataset/Replica/room0/exps/off2000/point_semantic_ali_dev_nexclude6/</t>
        </is>
      </c>
    </row>
    <row r="32" ht="48" customHeight="1" s="2">
      <c r="A32" s="167" t="inlineStr">
        <is>
          <t>my_vlm_pointcloud2000：/home/chenkejun/beauty/conceptgraphs/results/experiments/oracle_three_error_20260828/pilot/b0_dataset/Replica/room0/exps/my_vlm_pointcloud2000/point_semantic_ali_dev_nexclude6/</t>
        </is>
      </c>
    </row>
    <row r="33" ht="48" customHeight="1" s="2">
      <c r="A33" s="167" t="inlineStr">
        <is>
          <t>my_human2000：/home/chenkejun/beauty/conceptgraphs/results/experiments/oracle_three_error_20260828/pilot/b0_dataset/Replica/room0/exps/my_human2000/point_semantic_ali_dev_nexclude6/</t>
        </is>
      </c>
    </row>
    <row r="34" ht="40" customHeight="1" s="2">
      <c r="A34" s="167" t="inlineStr">
        <is>
          <t>每个目录保留 semseg_results.json、semseg_results.csv、semseg_conf_matrices.npz、evaluation.log；VLM/human另有validation.json。</t>
        </is>
      </c>
    </row>
    <row r="35" ht="40" customHeight="1" s="2">
      <c r="A35" s="167" t="inlineStr">
        <is>
          <t>历史CSV：/home/chenkejun/beauty/conceptgraphs/results/ali-my/paper_main_aligned_20260821/semseg_8scene_cdtree/semseg_results.csv</t>
        </is>
      </c>
    </row>
    <row r="36" ht="40" customHeight="1" s="2">
      <c r="A36" s="167" t="inlineStr">
        <is>
          <t>纠错：语义8场景!H15 原0.2474477327改为0.24747732742187715（24.747732742187715%），依据历史原始CSV；非实验指标变化。</t>
        </is>
      </c>
    </row>
    <row r="37" ht="60" customHeight="1" s="2">
      <c r="A37" s="167" t="inlineStr">
        <is>
          <t>huamn2000_2 原始结果：/home/chenkejun/beauty/conceptgraphs/results/experiments/oracle_three_error_20260828/pilot/b0_dataset/Replica/room0/exps/huamn2000_2/point_semantic_ali_dev_nexclude6_20260904_173946/semseg_results.json</t>
        </is>
      </c>
    </row>
    <row r="38" ht="60" customHeight="1" s="2">
      <c r="A38" s="167" t="inlineStr">
        <is>
          <t>第2版沿用同一评估口径：room0、n_exclude=6、23类、4,085,377点、native_clip、CPU精确k=1。此次仅录入既有JSON，未重跑评估；不将未核验的建图帧数或审计状态视为已通过。</t>
        </is>
      </c>
    </row>
  </sheetData>
  <autoFilter ref="A5:L9"/>
  <mergeCells count="26">
    <mergeCell ref="I17:L17"/>
    <mergeCell ref="A25:L25"/>
    <mergeCell ref="A37:L37"/>
    <mergeCell ref="I20:L20"/>
    <mergeCell ref="A27:L27"/>
    <mergeCell ref="A21:L21"/>
    <mergeCell ref="I19:L19"/>
    <mergeCell ref="A26:L26"/>
    <mergeCell ref="A2:L2"/>
    <mergeCell ref="A33:L33"/>
    <mergeCell ref="A23:L23"/>
    <mergeCell ref="A32:L32"/>
    <mergeCell ref="A22:L22"/>
    <mergeCell ref="A35:L35"/>
    <mergeCell ref="A4:L4"/>
    <mergeCell ref="A38:L38"/>
    <mergeCell ref="A10:L10"/>
    <mergeCell ref="A28:L28"/>
    <mergeCell ref="A31:L31"/>
    <mergeCell ref="A34:L34"/>
    <mergeCell ref="A24:L24"/>
    <mergeCell ref="A30:L30"/>
    <mergeCell ref="A15:L15"/>
    <mergeCell ref="I18:L18"/>
    <mergeCell ref="A1:L1"/>
    <mergeCell ref="A36:L36"/>
  </mergeCells>
  <printOptions horizontalCentered="1"/>
  <pageMargins left="0.75" right="0.75" top="1" bottom="1" header="0.5" footer="0.5"/>
  <pageSetup orientation="landscape" paperSize="8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9"/>
  <sheetViews>
    <sheetView showGridLines="0" workbookViewId="0">
      <selection activeCell="A1" sqref="A1"/>
    </sheetView>
  </sheetViews>
  <sheetFormatPr baseColWidth="8" defaultColWidth="9" defaultRowHeight="14"/>
  <cols>
    <col width="16" customWidth="1" style="2" min="1" max="1"/>
    <col width="16" customWidth="1" style="2" min="2" max="2"/>
    <col width="11" customWidth="1" style="2" min="3" max="3"/>
    <col width="14" customWidth="1" style="2" min="4" max="4"/>
    <col width="12" customWidth="1" style="2" min="5" max="5"/>
    <col width="14" customWidth="1" style="2" min="6" max="6"/>
    <col width="14" customWidth="1" style="2" min="7" max="7"/>
    <col width="12" customWidth="1" style="2" min="8" max="8"/>
    <col width="14" customWidth="1" style="2" min="9" max="9"/>
    <col width="14" customWidth="1" style="2" min="10" max="10"/>
    <col width="12" customWidth="1" style="2" min="11" max="11"/>
    <col width="12" customWidth="1" style="2" min="12" max="12"/>
    <col width="12" customWidth="1" style="2" min="13" max="13"/>
    <col width="12" customWidth="1" style="2" min="14" max="14"/>
  </cols>
  <sheetData>
    <row r="1" ht="30" customHeight="1" s="2">
      <c r="A1" s="70" t="inlineStr">
        <is>
          <t>Replica 语义分割：8 场景完整结果</t>
        </is>
      </c>
      <c r="B1" s="23" t="n"/>
      <c r="C1" s="23" t="n"/>
      <c r="D1" s="23" t="n"/>
      <c r="E1" s="23" t="n"/>
      <c r="F1" s="23" t="n"/>
      <c r="G1" s="23" t="n"/>
      <c r="H1" s="23" t="n"/>
      <c r="I1" s="23" t="n"/>
      <c r="J1" s="23" t="n"/>
      <c r="K1" s="23" t="n"/>
      <c r="L1" s="23" t="n"/>
      <c r="M1" s="23" t="n"/>
      <c r="N1" s="24" t="n"/>
    </row>
    <row r="2" ht="34" customHeight="1" s="2">
      <c r="A2" s="71" t="inlineStr">
        <is>
          <t>主口径 n_exclude=6；ali-my 同时保留 n_exclude=1/4/6 池化结果。百分比均为可计算数值。</t>
        </is>
      </c>
      <c r="B2" s="23" t="n"/>
      <c r="C2" s="23" t="n"/>
      <c r="D2" s="23" t="n"/>
      <c r="E2" s="23" t="n"/>
      <c r="F2" s="23" t="n"/>
      <c r="G2" s="23" t="n"/>
      <c r="H2" s="23" t="n"/>
      <c r="I2" s="23" t="n"/>
      <c r="J2" s="23" t="n"/>
      <c r="K2" s="23" t="n"/>
      <c r="L2" s="23" t="n"/>
      <c r="M2" s="23" t="n"/>
      <c r="N2" s="24" t="n"/>
    </row>
    <row r="3"/>
    <row r="4" ht="22" customHeight="1" s="2">
      <c r="A4" s="72" t="inlineStr">
        <is>
          <t>A. 池化结果</t>
        </is>
      </c>
      <c r="B4" s="23" t="n"/>
      <c r="C4" s="23" t="n"/>
      <c r="D4" s="23" t="n"/>
      <c r="E4" s="23" t="n"/>
      <c r="F4" s="23" t="n"/>
      <c r="G4" s="23" t="n"/>
      <c r="H4" s="23" t="n"/>
      <c r="I4" s="23" t="n"/>
      <c r="J4" s="23" t="n"/>
      <c r="K4" s="23" t="n"/>
      <c r="L4" s="23" t="n"/>
      <c r="M4" s="23" t="n"/>
      <c r="N4" s="24" t="n"/>
    </row>
    <row r="5" ht="30" customHeight="1" s="2">
      <c r="A5" s="7" t="inlineStr">
        <is>
          <t>方法</t>
        </is>
      </c>
      <c r="B5" s="7" t="inlineStr">
        <is>
          <t>n_exclude</t>
        </is>
      </c>
      <c r="C5" s="7" t="inlineStr">
        <is>
          <t>类别数</t>
        </is>
      </c>
      <c r="D5" s="7" t="inlineStr">
        <is>
          <t>点数</t>
        </is>
      </c>
      <c r="E5" s="7" t="inlineStr">
        <is>
          <t>mIoU</t>
        </is>
      </c>
      <c r="F5" s="7" t="inlineStr">
        <is>
          <t>mRecall/mAcc</t>
        </is>
      </c>
      <c r="G5" s="7" t="inlineStr">
        <is>
          <t>mPrecision</t>
        </is>
      </c>
      <c r="H5" s="7" t="inlineStr">
        <is>
          <t>mF1</t>
        </is>
      </c>
      <c r="I5" s="7" t="inlineStr">
        <is>
          <t>fwIoU/F-mIoU</t>
        </is>
      </c>
      <c r="J5" s="7" t="inlineStr">
        <is>
          <t>点准确率</t>
        </is>
      </c>
      <c r="K5" s="7" t="inlineStr">
        <is>
          <t>IoU≥.15 类数</t>
        </is>
      </c>
      <c r="L5" s="7" t="inlineStr">
        <is>
          <t>IoU≥.25</t>
        </is>
      </c>
      <c r="M5" s="7" t="inlineStr">
        <is>
          <t>IoU≥.50</t>
        </is>
      </c>
      <c r="N5" s="7" t="inlineStr">
        <is>
          <t>IoU≥.75</t>
        </is>
      </c>
    </row>
    <row r="6" ht="24" customHeight="1" s="2">
      <c r="A6" s="8" t="inlineStr">
        <is>
          <t>论文 ConceptGraphs</t>
        </is>
      </c>
      <c r="B6" s="17" t="n">
        <v>6</v>
      </c>
      <c r="C6" s="17" t="n">
        <v>46</v>
      </c>
      <c r="D6" s="9" t="n"/>
      <c r="E6" s="9" t="n"/>
      <c r="F6" s="10" t="n">
        <v>0.4063</v>
      </c>
      <c r="G6" s="9" t="n"/>
      <c r="H6" s="9" t="n"/>
      <c r="I6" s="10" t="n">
        <v>0.3595</v>
      </c>
      <c r="J6" s="9" t="n"/>
      <c r="K6" s="9" t="n"/>
      <c r="L6" s="9" t="n"/>
      <c r="M6" s="9" t="n"/>
      <c r="N6" s="9" t="n"/>
    </row>
    <row r="7" ht="24" customHeight="1" s="2">
      <c r="A7" s="12" t="inlineStr">
        <is>
          <t>main 复现</t>
        </is>
      </c>
      <c r="B7" s="18" t="n">
        <v>6</v>
      </c>
      <c r="C7" s="18" t="n">
        <v>46</v>
      </c>
      <c r="D7" s="18" t="n">
        <v>26203935</v>
      </c>
      <c r="E7" s="13" t="n">
        <v>0.2485475274</v>
      </c>
      <c r="F7" s="13" t="n">
        <v>0.4064905794</v>
      </c>
      <c r="G7" s="13" t="n">
        <v>0.3631107484</v>
      </c>
      <c r="H7" s="13" t="n">
        <v>0.3041183629</v>
      </c>
      <c r="I7" s="13" t="n">
        <v>0.3647047971</v>
      </c>
      <c r="J7" s="13" t="n">
        <v>0.4325967455</v>
      </c>
      <c r="K7" s="18" t="n">
        <v>21</v>
      </c>
      <c r="L7" s="18" t="n">
        <v>17</v>
      </c>
      <c r="M7" s="18" t="n">
        <v>12</v>
      </c>
      <c r="N7" s="18" t="n">
        <v>5</v>
      </c>
    </row>
    <row r="8" ht="24" customHeight="1" s="2">
      <c r="A8" s="8" t="inlineStr">
        <is>
          <t>ali-my</t>
        </is>
      </c>
      <c r="B8" s="17" t="n">
        <v>1</v>
      </c>
      <c r="C8" s="17" t="n">
        <v>51</v>
      </c>
      <c r="D8" s="17" t="n">
        <v>68227290</v>
      </c>
      <c r="E8" s="10" t="n">
        <v>0.1455697863</v>
      </c>
      <c r="F8" s="10" t="n">
        <v>0.4251217343</v>
      </c>
      <c r="G8" s="10" t="n">
        <v>0.2207539108</v>
      </c>
      <c r="H8" s="10" t="n">
        <v>0.2060610436</v>
      </c>
      <c r="I8" s="10" t="n">
        <v>0.137383928</v>
      </c>
      <c r="J8" s="10" t="n">
        <v>0.2623280069</v>
      </c>
      <c r="K8" s="17" t="n">
        <v>20</v>
      </c>
      <c r="L8" s="17" t="n">
        <v>13</v>
      </c>
      <c r="M8" s="17" t="n">
        <v>2</v>
      </c>
      <c r="N8" s="17" t="n">
        <v>0</v>
      </c>
    </row>
    <row r="9" ht="24" customHeight="1" s="2">
      <c r="A9" s="12" t="inlineStr">
        <is>
          <t>ali-my</t>
        </is>
      </c>
      <c r="B9" s="18" t="n">
        <v>4</v>
      </c>
      <c r="C9" s="18" t="n">
        <v>48</v>
      </c>
      <c r="D9" s="18" t="n">
        <v>28758853</v>
      </c>
      <c r="E9" s="13" t="n">
        <v>0.2536564781</v>
      </c>
      <c r="F9" s="13" t="n">
        <v>0.4509444526</v>
      </c>
      <c r="G9" s="13" t="n">
        <v>0.3954799556</v>
      </c>
      <c r="H9" s="13" t="n">
        <v>0.3201780468</v>
      </c>
      <c r="I9" s="13" t="n">
        <v>0.3825903618</v>
      </c>
      <c r="J9" s="13" t="n">
        <v>0.4943677343</v>
      </c>
      <c r="K9" s="18" t="n">
        <v>22</v>
      </c>
      <c r="L9" s="18" t="n">
        <v>18</v>
      </c>
      <c r="M9" s="18" t="n">
        <v>11</v>
      </c>
      <c r="N9" s="18" t="n">
        <v>5</v>
      </c>
    </row>
    <row r="10" ht="24" customHeight="1" s="2">
      <c r="A10" s="8" t="inlineStr">
        <is>
          <t>ali-my</t>
        </is>
      </c>
      <c r="B10" s="17" t="n">
        <v>6</v>
      </c>
      <c r="C10" s="17" t="n">
        <v>46</v>
      </c>
      <c r="D10" s="17" t="n">
        <v>26203935</v>
      </c>
      <c r="E10" s="10" t="n">
        <v>0.2763743329</v>
      </c>
      <c r="F10" s="10" t="n">
        <v>0.4509408941</v>
      </c>
      <c r="G10" s="10" t="n">
        <v>0.4259949707</v>
      </c>
      <c r="H10" s="10" t="n">
        <v>0.3421515314</v>
      </c>
      <c r="I10" s="10" t="n">
        <v>0.4073802701</v>
      </c>
      <c r="J10" s="10" t="n">
        <v>0.5110663723</v>
      </c>
      <c r="K10" s="17" t="n">
        <v>22</v>
      </c>
      <c r="L10" s="17" t="n">
        <v>18</v>
      </c>
      <c r="M10" s="17" t="n">
        <v>11</v>
      </c>
      <c r="N10" s="17" t="n">
        <v>6</v>
      </c>
    </row>
    <row r="11"/>
    <row r="12" ht="22" customHeight="1" s="2">
      <c r="A12" s="72" t="inlineStr">
        <is>
          <t>B. 分场景结果（n_exclude=6）</t>
        </is>
      </c>
      <c r="B12" s="23" t="n"/>
      <c r="C12" s="23" t="n"/>
      <c r="D12" s="23" t="n"/>
      <c r="E12" s="23" t="n"/>
      <c r="F12" s="23" t="n"/>
      <c r="G12" s="23" t="n"/>
      <c r="H12" s="23" t="n"/>
      <c r="I12" s="23" t="n"/>
      <c r="J12" s="23" t="n"/>
      <c r="K12" s="23" t="n"/>
      <c r="L12" s="23" t="n"/>
      <c r="M12" s="23" t="n"/>
      <c r="N12" s="24" t="n"/>
    </row>
    <row r="13" ht="30" customHeight="1" s="2">
      <c r="A13" s="7" t="inlineStr">
        <is>
          <t>场景</t>
        </is>
      </c>
      <c r="B13" s="7" t="inlineStr">
        <is>
          <t>方法</t>
        </is>
      </c>
      <c r="C13" s="7" t="inlineStr">
        <is>
          <t>类别数</t>
        </is>
      </c>
      <c r="D13" s="7" t="inlineStr">
        <is>
          <t>点数</t>
        </is>
      </c>
      <c r="E13" s="7" t="inlineStr">
        <is>
          <t>mIoU</t>
        </is>
      </c>
      <c r="F13" s="7" t="inlineStr">
        <is>
          <t>mRecall</t>
        </is>
      </c>
      <c r="G13" s="7" t="inlineStr">
        <is>
          <t>mPrecision</t>
        </is>
      </c>
      <c r="H13" s="7" t="inlineStr">
        <is>
          <t>mF1</t>
        </is>
      </c>
      <c r="I13" s="7" t="inlineStr">
        <is>
          <t>fwIoU</t>
        </is>
      </c>
      <c r="J13" s="7" t="inlineStr">
        <is>
          <t>点准确率</t>
        </is>
      </c>
      <c r="K13" s="7" t="inlineStr">
        <is>
          <t>IoU≥.15</t>
        </is>
      </c>
      <c r="L13" s="7" t="inlineStr">
        <is>
          <t>IoU≥.25</t>
        </is>
      </c>
      <c r="M13" s="7" t="inlineStr">
        <is>
          <t>IoU≥.50</t>
        </is>
      </c>
      <c r="N13" s="7" t="inlineStr">
        <is>
          <t>IoU≥.75</t>
        </is>
      </c>
    </row>
    <row r="14" ht="24" customHeight="1" s="2">
      <c r="A14" s="8" t="inlineStr">
        <is>
          <t>room0</t>
        </is>
      </c>
      <c r="B14" s="8" t="inlineStr">
        <is>
          <t>main</t>
        </is>
      </c>
      <c r="C14" s="17" t="n">
        <v>23</v>
      </c>
      <c r="D14" s="17" t="n">
        <v>4085377</v>
      </c>
      <c r="E14" s="10" t="n">
        <v>0.2155000553</v>
      </c>
      <c r="F14" s="10" t="n">
        <v>0.3839510443</v>
      </c>
      <c r="G14" s="10" t="n">
        <v>0.2950385153</v>
      </c>
      <c r="H14" s="10" t="n">
        <v>0.2543556411</v>
      </c>
      <c r="I14" s="10" t="n">
        <v>0.5064034485</v>
      </c>
      <c r="J14" s="10" t="n">
        <v>0.591481031</v>
      </c>
      <c r="K14" s="17" t="n">
        <v>7</v>
      </c>
      <c r="L14" s="17" t="n">
        <v>6</v>
      </c>
      <c r="M14" s="17" t="n">
        <v>6</v>
      </c>
      <c r="N14" s="17" t="n">
        <v>3</v>
      </c>
    </row>
    <row r="15" ht="24" customHeight="1" s="2">
      <c r="A15" s="12" t="inlineStr">
        <is>
          <t>room0</t>
        </is>
      </c>
      <c r="B15" s="12" t="inlineStr">
        <is>
          <t>ali-my</t>
        </is>
      </c>
      <c r="C15" s="18" t="n">
        <v>23</v>
      </c>
      <c r="D15" s="18" t="n">
        <v>4085377</v>
      </c>
      <c r="E15" s="13" t="n">
        <v>0.1992985184</v>
      </c>
      <c r="F15" s="13" t="n">
        <v>0.38733067</v>
      </c>
      <c r="G15" s="13" t="n">
        <v>0.2376431516</v>
      </c>
      <c r="H15" s="13" t="n">
        <v>0.2474773274218771</v>
      </c>
      <c r="I15" s="13" t="n">
        <v>0.4068411422</v>
      </c>
      <c r="J15" s="13" t="n">
        <v>0.5170443266</v>
      </c>
      <c r="K15" s="18" t="n">
        <v>8</v>
      </c>
      <c r="L15" s="18" t="n">
        <v>6</v>
      </c>
      <c r="M15" s="18" t="n">
        <v>5</v>
      </c>
      <c r="N15" s="18" t="n">
        <v>2</v>
      </c>
    </row>
    <row r="16" ht="24" customHeight="1" s="2">
      <c r="A16" s="8" t="inlineStr">
        <is>
          <t>room1</t>
        </is>
      </c>
      <c r="B16" s="8" t="inlineStr">
        <is>
          <t>main</t>
        </is>
      </c>
      <c r="C16" s="17" t="n">
        <v>19</v>
      </c>
      <c r="D16" s="17" t="n">
        <v>3772646</v>
      </c>
      <c r="E16" s="10" t="n">
        <v>0.2455057859</v>
      </c>
      <c r="F16" s="10" t="n">
        <v>0.429511889</v>
      </c>
      <c r="G16" s="10" t="n">
        <v>0.3295752399</v>
      </c>
      <c r="H16" s="10" t="n">
        <v>0.2954497174</v>
      </c>
      <c r="I16" s="10" t="n">
        <v>0.427754735</v>
      </c>
      <c r="J16" s="10" t="n">
        <v>0.5444518251</v>
      </c>
      <c r="K16" s="17" t="n">
        <v>7</v>
      </c>
      <c r="L16" s="17" t="n">
        <v>7</v>
      </c>
      <c r="M16" s="17" t="n">
        <v>4</v>
      </c>
      <c r="N16" s="17" t="n">
        <v>2</v>
      </c>
    </row>
    <row r="17" ht="24" customHeight="1" s="2">
      <c r="A17" s="12" t="inlineStr">
        <is>
          <t>room1</t>
        </is>
      </c>
      <c r="B17" s="12" t="inlineStr">
        <is>
          <t>ali-my</t>
        </is>
      </c>
      <c r="C17" s="18" t="n">
        <v>19</v>
      </c>
      <c r="D17" s="18" t="n">
        <v>3772646</v>
      </c>
      <c r="E17" s="13" t="n">
        <v>0.227630101</v>
      </c>
      <c r="F17" s="13" t="n">
        <v>0.4252447247</v>
      </c>
      <c r="G17" s="13" t="n">
        <v>0.2688495668</v>
      </c>
      <c r="H17" s="13" t="n">
        <v>0.2788215945</v>
      </c>
      <c r="I17" s="13" t="n">
        <v>0.4249301315</v>
      </c>
      <c r="J17" s="13" t="n">
        <v>0.5598993386</v>
      </c>
      <c r="K17" s="18" t="n">
        <v>7</v>
      </c>
      <c r="L17" s="18" t="n">
        <v>6</v>
      </c>
      <c r="M17" s="18" t="n">
        <v>4</v>
      </c>
      <c r="N17" s="18" t="n">
        <v>2</v>
      </c>
    </row>
    <row r="18" ht="24" customHeight="1" s="2">
      <c r="A18" s="8" t="inlineStr">
        <is>
          <t>room2</t>
        </is>
      </c>
      <c r="B18" s="8" t="inlineStr">
        <is>
          <t>main</t>
        </is>
      </c>
      <c r="C18" s="17" t="n">
        <v>16</v>
      </c>
      <c r="D18" s="17" t="n">
        <v>3513164</v>
      </c>
      <c r="E18" s="10" t="n">
        <v>0.2675509219</v>
      </c>
      <c r="F18" s="10" t="n">
        <v>0.3940038778</v>
      </c>
      <c r="G18" s="10" t="n">
        <v>0.4073923041</v>
      </c>
      <c r="H18" s="10" t="n">
        <v>0.3200088873</v>
      </c>
      <c r="I18" s="10" t="n">
        <v>0.3497561461</v>
      </c>
      <c r="J18" s="10" t="n">
        <v>0.3722325516</v>
      </c>
      <c r="K18" s="17" t="n">
        <v>7</v>
      </c>
      <c r="L18" s="17" t="n">
        <v>6</v>
      </c>
      <c r="M18" s="17" t="n">
        <v>4</v>
      </c>
      <c r="N18" s="17" t="n">
        <v>3</v>
      </c>
    </row>
    <row r="19" ht="24" customHeight="1" s="2">
      <c r="A19" s="12" t="inlineStr">
        <is>
          <t>room2</t>
        </is>
      </c>
      <c r="B19" s="12" t="inlineStr">
        <is>
          <t>ali-my</t>
        </is>
      </c>
      <c r="C19" s="18" t="n">
        <v>16</v>
      </c>
      <c r="D19" s="18" t="n">
        <v>3513164</v>
      </c>
      <c r="E19" s="13" t="n">
        <v>0.3070822627</v>
      </c>
      <c r="F19" s="13" t="n">
        <v>0.4369015774</v>
      </c>
      <c r="G19" s="13" t="n">
        <v>0.4321038126</v>
      </c>
      <c r="H19" s="13" t="n">
        <v>0.3440614401</v>
      </c>
      <c r="I19" s="13" t="n">
        <v>0.3842919255</v>
      </c>
      <c r="J19" s="13" t="n">
        <v>0.4226457973</v>
      </c>
      <c r="K19" s="18" t="n">
        <v>6</v>
      </c>
      <c r="L19" s="18" t="n">
        <v>6</v>
      </c>
      <c r="M19" s="18" t="n">
        <v>5</v>
      </c>
      <c r="N19" s="18" t="n">
        <v>4</v>
      </c>
    </row>
    <row r="20" ht="24" customHeight="1" s="2">
      <c r="A20" s="8" t="inlineStr">
        <is>
          <t>office0</t>
        </is>
      </c>
      <c r="B20" s="8" t="inlineStr">
        <is>
          <t>main</t>
        </is>
      </c>
      <c r="C20" s="17" t="n">
        <v>19</v>
      </c>
      <c r="D20" s="17" t="n">
        <v>4079896</v>
      </c>
      <c r="E20" s="10" t="n">
        <v>0.2179319727</v>
      </c>
      <c r="F20" s="10" t="n">
        <v>0.4055500261</v>
      </c>
      <c r="G20" s="10" t="n">
        <v>0.2625306559</v>
      </c>
      <c r="H20" s="10" t="n">
        <v>0.2577071386</v>
      </c>
      <c r="I20" s="10" t="n">
        <v>0.3312591416</v>
      </c>
      <c r="J20" s="10" t="n">
        <v>0.3626050762</v>
      </c>
      <c r="K20" s="17" t="n">
        <v>7</v>
      </c>
      <c r="L20" s="17" t="n">
        <v>6</v>
      </c>
      <c r="M20" s="17" t="n">
        <v>4</v>
      </c>
      <c r="N20" s="17" t="n">
        <v>2</v>
      </c>
    </row>
    <row r="21" ht="24" customHeight="1" s="2">
      <c r="A21" s="12" t="inlineStr">
        <is>
          <t>office0</t>
        </is>
      </c>
      <c r="B21" s="12" t="inlineStr">
        <is>
          <t>ali-my</t>
        </is>
      </c>
      <c r="C21" s="18" t="n">
        <v>19</v>
      </c>
      <c r="D21" s="18" t="n">
        <v>4079896</v>
      </c>
      <c r="E21" s="13" t="n">
        <v>0.2650252661</v>
      </c>
      <c r="F21" s="13" t="n">
        <v>0.4581917406</v>
      </c>
      <c r="G21" s="13" t="n">
        <v>0.3097018533</v>
      </c>
      <c r="H21" s="13" t="n">
        <v>0.3219611787</v>
      </c>
      <c r="I21" s="13" t="n">
        <v>0.4916264662</v>
      </c>
      <c r="J21" s="13" t="n">
        <v>0.603734507</v>
      </c>
      <c r="K21" s="18" t="n">
        <v>9</v>
      </c>
      <c r="L21" s="18" t="n">
        <v>8</v>
      </c>
      <c r="M21" s="18" t="n">
        <v>6</v>
      </c>
      <c r="N21" s="18" t="n">
        <v>2</v>
      </c>
    </row>
    <row r="22" ht="24" customHeight="1" s="2">
      <c r="A22" s="8" t="inlineStr">
        <is>
          <t>office1</t>
        </is>
      </c>
      <c r="B22" s="8" t="inlineStr">
        <is>
          <t>main</t>
        </is>
      </c>
      <c r="C22" s="17" t="n">
        <v>17</v>
      </c>
      <c r="D22" s="17" t="n">
        <v>3337612</v>
      </c>
      <c r="E22" s="10" t="n">
        <v>0.1593304956</v>
      </c>
      <c r="F22" s="10" t="n">
        <v>0.3286892212</v>
      </c>
      <c r="G22" s="10" t="n">
        <v>0.1711366153</v>
      </c>
      <c r="H22" s="10" t="n">
        <v>0.1877934634</v>
      </c>
      <c r="I22" s="10" t="n">
        <v>0.1607530827</v>
      </c>
      <c r="J22" s="10" t="n">
        <v>0.2817065015</v>
      </c>
      <c r="K22" s="17" t="n">
        <v>3</v>
      </c>
      <c r="L22" s="17" t="n">
        <v>3</v>
      </c>
      <c r="M22" s="17" t="n">
        <v>3</v>
      </c>
      <c r="N22" s="17" t="n">
        <v>2</v>
      </c>
    </row>
    <row r="23" ht="24" customHeight="1" s="2">
      <c r="A23" s="12" t="inlineStr">
        <is>
          <t>office1</t>
        </is>
      </c>
      <c r="B23" s="12" t="inlineStr">
        <is>
          <t>ali-my</t>
        </is>
      </c>
      <c r="C23" s="18" t="n">
        <v>17</v>
      </c>
      <c r="D23" s="18" t="n">
        <v>3599614</v>
      </c>
      <c r="E23" s="13" t="n">
        <v>0.1641305266</v>
      </c>
      <c r="F23" s="13" t="n">
        <v>0.2992288228</v>
      </c>
      <c r="G23" s="13" t="n">
        <v>0.2151897616</v>
      </c>
      <c r="H23" s="13" t="n">
        <v>0.2075583866</v>
      </c>
      <c r="I23" s="13" t="n">
        <v>0.1176244277</v>
      </c>
      <c r="J23" s="13" t="n">
        <v>0.2989487206</v>
      </c>
      <c r="K23" s="18" t="n">
        <v>5</v>
      </c>
      <c r="L23" s="18" t="n">
        <v>4</v>
      </c>
      <c r="M23" s="18" t="n">
        <v>2</v>
      </c>
      <c r="N23" s="18" t="n">
        <v>1</v>
      </c>
    </row>
    <row r="24" ht="24" customHeight="1" s="2">
      <c r="A24" s="8" t="inlineStr">
        <is>
          <t>office2</t>
        </is>
      </c>
      <c r="B24" s="8" t="inlineStr">
        <is>
          <t>main</t>
        </is>
      </c>
      <c r="C24" s="17" t="n">
        <v>15</v>
      </c>
      <c r="D24" s="17" t="n">
        <v>3226799</v>
      </c>
      <c r="E24" s="10" t="n">
        <v>0.2609555056</v>
      </c>
      <c r="F24" s="10" t="n">
        <v>0.4048687055</v>
      </c>
      <c r="G24" s="10" t="n">
        <v>0.3867234863</v>
      </c>
      <c r="H24" s="10" t="n">
        <v>0.3144811585</v>
      </c>
      <c r="I24" s="10" t="n">
        <v>0.4096170869</v>
      </c>
      <c r="J24" s="10" t="n">
        <v>0.4270991159</v>
      </c>
      <c r="K24" s="17" t="n">
        <v>6</v>
      </c>
      <c r="L24" s="17" t="n">
        <v>6</v>
      </c>
      <c r="M24" s="17" t="n">
        <v>4</v>
      </c>
      <c r="N24" s="17" t="n">
        <v>2</v>
      </c>
    </row>
    <row r="25" ht="24" customHeight="1" s="2">
      <c r="A25" s="12" t="inlineStr">
        <is>
          <t>office2</t>
        </is>
      </c>
      <c r="B25" s="12" t="inlineStr">
        <is>
          <t>ali-my</t>
        </is>
      </c>
      <c r="C25" s="18" t="n">
        <v>15</v>
      </c>
      <c r="D25" s="18" t="n">
        <v>3226799</v>
      </c>
      <c r="E25" s="13" t="n">
        <v>0.3150275886</v>
      </c>
      <c r="F25" s="13" t="n">
        <v>0.5057562671</v>
      </c>
      <c r="G25" s="13" t="n">
        <v>0.3978656133</v>
      </c>
      <c r="H25" s="13" t="n">
        <v>0.3592426913</v>
      </c>
      <c r="I25" s="13" t="n">
        <v>0.6660015385</v>
      </c>
      <c r="J25" s="13" t="n">
        <v>0.7128002085</v>
      </c>
      <c r="K25" s="18" t="n">
        <v>7</v>
      </c>
      <c r="L25" s="18" t="n">
        <v>7</v>
      </c>
      <c r="M25" s="18" t="n">
        <v>5</v>
      </c>
      <c r="N25" s="18" t="n">
        <v>4</v>
      </c>
    </row>
    <row r="26" ht="24" customHeight="1" s="2">
      <c r="A26" s="8" t="inlineStr">
        <is>
          <t>office3</t>
        </is>
      </c>
      <c r="B26" s="8" t="inlineStr">
        <is>
          <t>main</t>
        </is>
      </c>
      <c r="C26" s="17" t="n">
        <v>21</v>
      </c>
      <c r="D26" s="17" t="n">
        <v>2792153</v>
      </c>
      <c r="E26" s="10" t="n">
        <v>0.2170651017</v>
      </c>
      <c r="F26" s="10" t="n">
        <v>0.3584372412</v>
      </c>
      <c r="G26" s="10" t="n">
        <v>0.2613259746</v>
      </c>
      <c r="H26" s="10" t="n">
        <v>0.2513868454</v>
      </c>
      <c r="I26" s="10" t="n">
        <v>0.3603587926</v>
      </c>
      <c r="J26" s="10" t="n">
        <v>0.4363632652</v>
      </c>
      <c r="K26" s="17" t="n">
        <v>7</v>
      </c>
      <c r="L26" s="17" t="n">
        <v>5</v>
      </c>
      <c r="M26" s="17" t="n">
        <v>5</v>
      </c>
      <c r="N26" s="17" t="n">
        <v>3</v>
      </c>
    </row>
    <row r="27" ht="24" customHeight="1" s="2">
      <c r="A27" s="12" t="inlineStr">
        <is>
          <t>office3</t>
        </is>
      </c>
      <c r="B27" s="12" t="inlineStr">
        <is>
          <t>ali-my</t>
        </is>
      </c>
      <c r="C27" s="18" t="n">
        <v>21</v>
      </c>
      <c r="D27" s="18" t="n">
        <v>2792153</v>
      </c>
      <c r="E27" s="13" t="n">
        <v>0.2342936323</v>
      </c>
      <c r="F27" s="13" t="n">
        <v>0.3578286996</v>
      </c>
      <c r="G27" s="13" t="n">
        <v>0.3391040579</v>
      </c>
      <c r="H27" s="13" t="n">
        <v>0.2699308008</v>
      </c>
      <c r="I27" s="13" t="n">
        <v>0.383625846</v>
      </c>
      <c r="J27" s="13" t="n">
        <v>0.4541194555</v>
      </c>
      <c r="K27" s="18" t="n">
        <v>7</v>
      </c>
      <c r="L27" s="18" t="n">
        <v>6</v>
      </c>
      <c r="M27" s="18" t="n">
        <v>5</v>
      </c>
      <c r="N27" s="18" t="n">
        <v>5</v>
      </c>
    </row>
    <row r="28" ht="24" customHeight="1" s="2">
      <c r="A28" s="8" t="inlineStr">
        <is>
          <t>office4</t>
        </is>
      </c>
      <c r="B28" s="8" t="inlineStr">
        <is>
          <t>main</t>
        </is>
      </c>
      <c r="C28" s="17" t="n">
        <v>10</v>
      </c>
      <c r="D28" s="17" t="n">
        <v>1071540</v>
      </c>
      <c r="E28" s="10" t="n">
        <v>0.4717025085</v>
      </c>
      <c r="F28" s="10" t="n">
        <v>0.6134180694</v>
      </c>
      <c r="G28" s="10" t="n">
        <v>0.5553286817</v>
      </c>
      <c r="H28" s="10" t="n">
        <v>0.5175774297</v>
      </c>
      <c r="I28" s="10" t="n">
        <v>0.4923006476</v>
      </c>
      <c r="J28" s="10" t="n">
        <v>0.5052559867</v>
      </c>
      <c r="K28" s="17" t="n">
        <v>6</v>
      </c>
      <c r="L28" s="17" t="n">
        <v>6</v>
      </c>
      <c r="M28" s="17" t="n">
        <v>5</v>
      </c>
      <c r="N28" s="17" t="n">
        <v>4</v>
      </c>
    </row>
    <row r="29" ht="24" customHeight="1" s="2">
      <c r="A29" s="12" t="inlineStr">
        <is>
          <t>office4</t>
        </is>
      </c>
      <c r="B29" s="12" t="inlineStr">
        <is>
          <t>ali-my</t>
        </is>
      </c>
      <c r="C29" s="18" t="n">
        <v>10</v>
      </c>
      <c r="D29" s="18" t="n">
        <v>1071540</v>
      </c>
      <c r="E29" s="13" t="n">
        <v>0.4942039138</v>
      </c>
      <c r="F29" s="13" t="n">
        <v>0.6232639782</v>
      </c>
      <c r="G29" s="13" t="n">
        <v>0.5703964193</v>
      </c>
      <c r="H29" s="13" t="n">
        <v>0.5320294632</v>
      </c>
      <c r="I29" s="13" t="n">
        <v>0.523726924</v>
      </c>
      <c r="J29" s="13" t="n">
        <v>0.5367928402</v>
      </c>
      <c r="K29" s="18" t="n">
        <v>6</v>
      </c>
      <c r="L29" s="18" t="n">
        <v>6</v>
      </c>
      <c r="M29" s="18" t="n">
        <v>5</v>
      </c>
      <c r="N29" s="18" t="n">
        <v>4</v>
      </c>
    </row>
  </sheetData>
  <mergeCells count="4">
    <mergeCell ref="A12:N12"/>
    <mergeCell ref="A4:N4"/>
    <mergeCell ref="A2:N2"/>
    <mergeCell ref="A1:N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26"/>
  <sheetViews>
    <sheetView showGridLines="0" workbookViewId="0">
      <selection activeCell="A1" sqref="A1"/>
    </sheetView>
  </sheetViews>
  <sheetFormatPr baseColWidth="8" defaultColWidth="9" defaultRowHeight="14"/>
  <cols>
    <col width="16" customWidth="1" style="2" min="1" max="1"/>
    <col width="15" customWidth="1" style="2" min="2" max="2"/>
    <col width="12" customWidth="1" style="2" min="3" max="3"/>
    <col width="13" customWidth="1" style="2" min="4" max="4"/>
    <col width="13" customWidth="1" style="2" min="5" max="5"/>
    <col width="13" customWidth="1" style="2" min="6" max="6"/>
    <col width="12" customWidth="1" style="2" min="7" max="7"/>
    <col width="12" customWidth="1" style="2" min="8" max="8"/>
    <col width="12" customWidth="1" style="2" min="9" max="9"/>
    <col width="12" customWidth="1" style="2" min="10" max="10"/>
  </cols>
  <sheetData>
    <row r="1" ht="30" customHeight="1" s="2">
      <c r="A1" s="70" t="inlineStr">
        <is>
          <t>ReplicaSSG 对象识别：8 场景</t>
        </is>
      </c>
      <c r="B1" s="23" t="n"/>
      <c r="C1" s="23" t="n"/>
      <c r="D1" s="23" t="n"/>
      <c r="E1" s="23" t="n"/>
      <c r="F1" s="23" t="n"/>
      <c r="G1" s="23" t="n"/>
      <c r="H1" s="23" t="n"/>
      <c r="I1" s="23" t="n"/>
      <c r="J1" s="24" t="n"/>
    </row>
    <row r="2" ht="34" customHeight="1" s="2">
      <c r="A2" s="71" t="inlineStr">
        <is>
          <t>相同 GT、ViT-H-14 文本提示与几何匹配协议；mR 在出现类别并集上重算。论文没有报告这些指标。</t>
        </is>
      </c>
      <c r="B2" s="23" t="n"/>
      <c r="C2" s="23" t="n"/>
      <c r="D2" s="23" t="n"/>
      <c r="E2" s="23" t="n"/>
      <c r="F2" s="23" t="n"/>
      <c r="G2" s="23" t="n"/>
      <c r="H2" s="23" t="n"/>
      <c r="I2" s="23" t="n"/>
      <c r="J2" s="24" t="n"/>
    </row>
    <row r="3"/>
    <row r="4" ht="22" customHeight="1" s="2">
      <c r="A4" s="72" t="inlineStr">
        <is>
          <t>A. 8 场景池化</t>
        </is>
      </c>
      <c r="B4" s="23" t="n"/>
      <c r="C4" s="23" t="n"/>
      <c r="D4" s="23" t="n"/>
      <c r="E4" s="23" t="n"/>
      <c r="F4" s="23" t="n"/>
      <c r="G4" s="23" t="n"/>
      <c r="H4" s="23" t="n"/>
      <c r="I4" s="23" t="n"/>
      <c r="J4" s="24" t="n"/>
    </row>
    <row r="5" ht="30" customHeight="1" s="2">
      <c r="A5" s="7" t="inlineStr">
        <is>
          <t>方法</t>
        </is>
      </c>
      <c r="B5" s="7" t="inlineStr">
        <is>
          <t>GT对象</t>
        </is>
      </c>
      <c r="C5" s="7" t="inlineStr">
        <is>
          <t>预测对象</t>
        </is>
      </c>
      <c r="D5" s="7" t="inlineStr">
        <is>
          <t>几何匹配</t>
        </is>
      </c>
      <c r="E5" s="7" t="inlineStr">
        <is>
          <t>覆盖率</t>
        </is>
      </c>
      <c r="F5" s="7" t="inlineStr">
        <is>
          <t>R@1</t>
        </is>
      </c>
      <c r="G5" s="7" t="inlineStr">
        <is>
          <t>R@5</t>
        </is>
      </c>
      <c r="H5" s="7" t="inlineStr">
        <is>
          <t>mR@1</t>
        </is>
      </c>
      <c r="I5" s="7" t="inlineStr">
        <is>
          <t>mR@5</t>
        </is>
      </c>
      <c r="J5" s="7" t="inlineStr">
        <is>
          <t>出现类别</t>
        </is>
      </c>
    </row>
    <row r="6" ht="24" customHeight="1" s="2">
      <c r="A6" s="8" t="inlineStr">
        <is>
          <t>main</t>
        </is>
      </c>
      <c r="B6" s="17" t="n">
        <v>248</v>
      </c>
      <c r="C6" s="17" t="n">
        <v>612</v>
      </c>
      <c r="D6" s="17" t="n">
        <v>175</v>
      </c>
      <c r="E6" s="10" t="n">
        <v>0.7056</v>
      </c>
      <c r="F6" s="10" t="n">
        <v>0.2056</v>
      </c>
      <c r="G6" s="10" t="n">
        <v>0.5565</v>
      </c>
      <c r="H6" s="10" t="n">
        <v>0.3159</v>
      </c>
      <c r="I6" s="10" t="n">
        <v>0.546</v>
      </c>
      <c r="J6" s="17" t="n">
        <v>24</v>
      </c>
    </row>
    <row r="7" ht="24" customHeight="1" s="2">
      <c r="A7" s="12" t="inlineStr">
        <is>
          <t>ali-my</t>
        </is>
      </c>
      <c r="B7" s="18" t="n">
        <v>248</v>
      </c>
      <c r="C7" s="18" t="n">
        <v>381</v>
      </c>
      <c r="D7" s="18" t="n">
        <v>138</v>
      </c>
      <c r="E7" s="13" t="n">
        <v>0.5565</v>
      </c>
      <c r="F7" s="13" t="n">
        <v>0.1774</v>
      </c>
      <c r="G7" s="13" t="n">
        <v>0.4395</v>
      </c>
      <c r="H7" s="13" t="n">
        <v>0.3232</v>
      </c>
      <c r="I7" s="13" t="n">
        <v>0.553</v>
      </c>
      <c r="J7" s="18" t="n">
        <v>24</v>
      </c>
    </row>
    <row r="8"/>
    <row r="9" ht="22" customHeight="1" s="2">
      <c r="A9" s="72" t="inlineStr">
        <is>
          <t>B. 分场景</t>
        </is>
      </c>
      <c r="B9" s="23" t="n"/>
      <c r="C9" s="23" t="n"/>
      <c r="D9" s="23" t="n"/>
      <c r="E9" s="23" t="n"/>
      <c r="F9" s="23" t="n"/>
      <c r="G9" s="23" t="n"/>
      <c r="H9" s="23" t="n"/>
      <c r="I9" s="23" t="n"/>
      <c r="J9" s="24" t="n"/>
    </row>
    <row r="10" ht="30" customHeight="1" s="2">
      <c r="A10" s="7" t="inlineStr">
        <is>
          <t>场景</t>
        </is>
      </c>
      <c r="B10" s="7" t="inlineStr">
        <is>
          <t>方法</t>
        </is>
      </c>
      <c r="C10" s="7" t="inlineStr">
        <is>
          <t>GT对象</t>
        </is>
      </c>
      <c r="D10" s="7" t="inlineStr">
        <is>
          <t>预测对象</t>
        </is>
      </c>
      <c r="E10" s="7" t="inlineStr">
        <is>
          <t>几何匹配</t>
        </is>
      </c>
      <c r="F10" s="7" t="inlineStr">
        <is>
          <t>覆盖率</t>
        </is>
      </c>
      <c r="G10" s="7" t="inlineStr">
        <is>
          <t>R@1</t>
        </is>
      </c>
      <c r="H10" s="7" t="inlineStr">
        <is>
          <t>R@5</t>
        </is>
      </c>
      <c r="I10" s="7" t="inlineStr">
        <is>
          <t>mR@1</t>
        </is>
      </c>
      <c r="J10" s="7" t="inlineStr">
        <is>
          <t>mR@5</t>
        </is>
      </c>
    </row>
    <row r="11" ht="24" customHeight="1" s="2">
      <c r="A11" s="8" t="inlineStr">
        <is>
          <t>room0</t>
        </is>
      </c>
      <c r="B11" s="8" t="inlineStr">
        <is>
          <t>main</t>
        </is>
      </c>
      <c r="C11" s="17" t="n">
        <v>59</v>
      </c>
      <c r="D11" s="17" t="n">
        <v>75</v>
      </c>
      <c r="E11" s="17" t="n">
        <v>35</v>
      </c>
      <c r="F11" s="10" t="n">
        <v>0.5931999999999999</v>
      </c>
      <c r="G11" s="10" t="n">
        <v>0.2881</v>
      </c>
      <c r="H11" s="10" t="n">
        <v>0.4746</v>
      </c>
      <c r="I11" s="10" t="n">
        <v>0.3924</v>
      </c>
      <c r="J11" s="10" t="n">
        <v>0.5553</v>
      </c>
    </row>
    <row r="12" ht="24" customHeight="1" s="2">
      <c r="A12" s="12" t="inlineStr">
        <is>
          <t>room0</t>
        </is>
      </c>
      <c r="B12" s="12" t="inlineStr">
        <is>
          <t>ali-my</t>
        </is>
      </c>
      <c r="C12" s="18" t="n">
        <v>59</v>
      </c>
      <c r="D12" s="18" t="n">
        <v>72</v>
      </c>
      <c r="E12" s="18" t="n">
        <v>31</v>
      </c>
      <c r="F12" s="13" t="n">
        <v>0.5254</v>
      </c>
      <c r="G12" s="13" t="n">
        <v>0.2034</v>
      </c>
      <c r="H12" s="13" t="n">
        <v>0.339</v>
      </c>
      <c r="I12" s="13" t="n">
        <v>0.2741</v>
      </c>
      <c r="J12" s="13" t="n">
        <v>0.4747</v>
      </c>
    </row>
    <row r="13" ht="24" customHeight="1" s="2">
      <c r="A13" s="8" t="inlineStr">
        <is>
          <t>room1</t>
        </is>
      </c>
      <c r="B13" s="8" t="inlineStr">
        <is>
          <t>main</t>
        </is>
      </c>
      <c r="C13" s="17" t="n">
        <v>30</v>
      </c>
      <c r="D13" s="17" t="n">
        <v>68</v>
      </c>
      <c r="E13" s="17" t="n">
        <v>20</v>
      </c>
      <c r="F13" s="10" t="n">
        <v>0.6667</v>
      </c>
      <c r="G13" s="10" t="n">
        <v>0.3333</v>
      </c>
      <c r="H13" s="10" t="n">
        <v>0.5667</v>
      </c>
      <c r="I13" s="10" t="n">
        <v>0.4246</v>
      </c>
      <c r="J13" s="10" t="n">
        <v>0.629</v>
      </c>
    </row>
    <row r="14" ht="24" customHeight="1" s="2">
      <c r="A14" s="12" t="inlineStr">
        <is>
          <t>room1</t>
        </is>
      </c>
      <c r="B14" s="12" t="inlineStr">
        <is>
          <t>ali-my</t>
        </is>
      </c>
      <c r="C14" s="18" t="n">
        <v>30</v>
      </c>
      <c r="D14" s="18" t="n">
        <v>54</v>
      </c>
      <c r="E14" s="18" t="n">
        <v>13</v>
      </c>
      <c r="F14" s="13" t="n">
        <v>0.4333</v>
      </c>
      <c r="G14" s="13" t="n">
        <v>0.2</v>
      </c>
      <c r="H14" s="13" t="n">
        <v>0.3333</v>
      </c>
      <c r="I14" s="13" t="n">
        <v>0.3611</v>
      </c>
      <c r="J14" s="13" t="n">
        <v>0.498</v>
      </c>
    </row>
    <row r="15" ht="24" customHeight="1" s="2">
      <c r="A15" s="8" t="inlineStr">
        <is>
          <t>room2</t>
        </is>
      </c>
      <c r="B15" s="8" t="inlineStr">
        <is>
          <t>main</t>
        </is>
      </c>
      <c r="C15" s="17" t="n">
        <v>40</v>
      </c>
      <c r="D15" s="17" t="n">
        <v>78</v>
      </c>
      <c r="E15" s="17" t="n">
        <v>23</v>
      </c>
      <c r="F15" s="10" t="n">
        <v>0.575</v>
      </c>
      <c r="G15" s="10" t="n">
        <v>0.1</v>
      </c>
      <c r="H15" s="10" t="n">
        <v>0.425</v>
      </c>
      <c r="I15" s="10" t="n">
        <v>0.2077</v>
      </c>
      <c r="J15" s="10" t="n">
        <v>0.4436</v>
      </c>
    </row>
    <row r="16" ht="24" customHeight="1" s="2">
      <c r="A16" s="12" t="inlineStr">
        <is>
          <t>room2</t>
        </is>
      </c>
      <c r="B16" s="12" t="inlineStr">
        <is>
          <t>ali-my</t>
        </is>
      </c>
      <c r="C16" s="18" t="n">
        <v>40</v>
      </c>
      <c r="D16" s="18" t="n">
        <v>49</v>
      </c>
      <c r="E16" s="18" t="n">
        <v>19</v>
      </c>
      <c r="F16" s="13" t="n">
        <v>0.475</v>
      </c>
      <c r="G16" s="13" t="n">
        <v>0.1</v>
      </c>
      <c r="H16" s="13" t="n">
        <v>0.375</v>
      </c>
      <c r="I16" s="13" t="n">
        <v>0.2692</v>
      </c>
      <c r="J16" s="13" t="n">
        <v>0.4538</v>
      </c>
    </row>
    <row r="17" ht="24" customHeight="1" s="2">
      <c r="A17" s="8" t="inlineStr">
        <is>
          <t>office0</t>
        </is>
      </c>
      <c r="B17" s="8" t="inlineStr">
        <is>
          <t>main</t>
        </is>
      </c>
      <c r="C17" s="17" t="n">
        <v>15</v>
      </c>
      <c r="D17" s="17" t="n">
        <v>79</v>
      </c>
      <c r="E17" s="17" t="n">
        <v>12</v>
      </c>
      <c r="F17" s="10" t="n">
        <v>0.8</v>
      </c>
      <c r="G17" s="10" t="n">
        <v>0.2</v>
      </c>
      <c r="H17" s="10" t="n">
        <v>0.5333</v>
      </c>
      <c r="I17" s="10" t="n">
        <v>0.3333</v>
      </c>
      <c r="J17" s="10" t="n">
        <v>0.5</v>
      </c>
    </row>
    <row r="18" ht="24" customHeight="1" s="2">
      <c r="A18" s="12" t="inlineStr">
        <is>
          <t>office0</t>
        </is>
      </c>
      <c r="B18" s="12" t="inlineStr">
        <is>
          <t>ali-my</t>
        </is>
      </c>
      <c r="C18" s="18" t="n">
        <v>15</v>
      </c>
      <c r="D18" s="18" t="n">
        <v>35</v>
      </c>
      <c r="E18" s="18" t="n">
        <v>11</v>
      </c>
      <c r="F18" s="13" t="n">
        <v>0.7333</v>
      </c>
      <c r="G18" s="13" t="n">
        <v>0.1333</v>
      </c>
      <c r="H18" s="13" t="n">
        <v>0.5333</v>
      </c>
      <c r="I18" s="13" t="n">
        <v>0.2222</v>
      </c>
      <c r="J18" s="13" t="n">
        <v>0.5</v>
      </c>
    </row>
    <row r="19" ht="24" customHeight="1" s="2">
      <c r="A19" s="8" t="inlineStr">
        <is>
          <t>office1</t>
        </is>
      </c>
      <c r="B19" s="8" t="inlineStr">
        <is>
          <t>main</t>
        </is>
      </c>
      <c r="C19" s="17" t="n">
        <v>11</v>
      </c>
      <c r="D19" s="17" t="n">
        <v>55</v>
      </c>
      <c r="E19" s="17" t="n">
        <v>8</v>
      </c>
      <c r="F19" s="10" t="n">
        <v>0.7272999999999999</v>
      </c>
      <c r="G19" s="10" t="n">
        <v>0.2727</v>
      </c>
      <c r="H19" s="10" t="n">
        <v>0.4545</v>
      </c>
      <c r="I19" s="10" t="n">
        <v>0.2778</v>
      </c>
      <c r="J19" s="10" t="n">
        <v>0.4444</v>
      </c>
    </row>
    <row r="20" ht="24" customHeight="1" s="2">
      <c r="A20" s="12" t="inlineStr">
        <is>
          <t>office1</t>
        </is>
      </c>
      <c r="B20" s="12" t="inlineStr">
        <is>
          <t>ali-my</t>
        </is>
      </c>
      <c r="C20" s="18" t="n">
        <v>11</v>
      </c>
      <c r="D20" s="18" t="n">
        <v>25</v>
      </c>
      <c r="E20" s="18" t="n">
        <v>7</v>
      </c>
      <c r="F20" s="13" t="n">
        <v>0.6364</v>
      </c>
      <c r="G20" s="13" t="n">
        <v>0.3636</v>
      </c>
      <c r="H20" s="13" t="n">
        <v>0.6364</v>
      </c>
      <c r="I20" s="13" t="n">
        <v>0.3333</v>
      </c>
      <c r="J20" s="13" t="n">
        <v>0.6667</v>
      </c>
    </row>
    <row r="21" ht="24" customHeight="1" s="2">
      <c r="A21" s="8" t="inlineStr">
        <is>
          <t>office2</t>
        </is>
      </c>
      <c r="B21" s="8" t="inlineStr">
        <is>
          <t>main</t>
        </is>
      </c>
      <c r="C21" s="17" t="n">
        <v>29</v>
      </c>
      <c r="D21" s="17" t="n">
        <v>81</v>
      </c>
      <c r="E21" s="17" t="n">
        <v>26</v>
      </c>
      <c r="F21" s="10" t="n">
        <v>0.8966</v>
      </c>
      <c r="G21" s="10" t="n">
        <v>0.2759</v>
      </c>
      <c r="H21" s="10" t="n">
        <v>0.6552</v>
      </c>
      <c r="I21" s="10" t="n">
        <v>0.2963</v>
      </c>
      <c r="J21" s="10" t="n">
        <v>0.5556</v>
      </c>
    </row>
    <row r="22" ht="24" customHeight="1" s="2">
      <c r="A22" s="12" t="inlineStr">
        <is>
          <t>office2</t>
        </is>
      </c>
      <c r="B22" s="12" t="inlineStr">
        <is>
          <t>ali-my</t>
        </is>
      </c>
      <c r="C22" s="18" t="n">
        <v>29</v>
      </c>
      <c r="D22" s="18" t="n">
        <v>45</v>
      </c>
      <c r="E22" s="18" t="n">
        <v>15</v>
      </c>
      <c r="F22" s="13" t="n">
        <v>0.5172</v>
      </c>
      <c r="G22" s="13" t="n">
        <v>0.2069</v>
      </c>
      <c r="H22" s="13" t="n">
        <v>0.4828</v>
      </c>
      <c r="I22" s="13" t="n">
        <v>0.3111</v>
      </c>
      <c r="J22" s="13" t="n">
        <v>0.484</v>
      </c>
    </row>
    <row r="23" ht="24" customHeight="1" s="2">
      <c r="A23" s="8" t="inlineStr">
        <is>
          <t>office3</t>
        </is>
      </c>
      <c r="B23" s="8" t="inlineStr">
        <is>
          <t>main</t>
        </is>
      </c>
      <c r="C23" s="17" t="n">
        <v>42</v>
      </c>
      <c r="D23" s="17" t="n">
        <v>97</v>
      </c>
      <c r="E23" s="17" t="n">
        <v>31</v>
      </c>
      <c r="F23" s="10" t="n">
        <v>0.7381</v>
      </c>
      <c r="G23" s="10" t="n">
        <v>0.07140000000000001</v>
      </c>
      <c r="H23" s="10" t="n">
        <v>0.6667</v>
      </c>
      <c r="I23" s="10" t="n">
        <v>0.125</v>
      </c>
      <c r="J23" s="10" t="n">
        <v>0.6952</v>
      </c>
    </row>
    <row r="24" ht="24" customHeight="1" s="2">
      <c r="A24" s="12" t="inlineStr">
        <is>
          <t>office3</t>
        </is>
      </c>
      <c r="B24" s="12" t="inlineStr">
        <is>
          <t>ali-my</t>
        </is>
      </c>
      <c r="C24" s="18" t="n">
        <v>42</v>
      </c>
      <c r="D24" s="18" t="n">
        <v>57</v>
      </c>
      <c r="E24" s="18" t="n">
        <v>25</v>
      </c>
      <c r="F24" s="13" t="n">
        <v>0.5952</v>
      </c>
      <c r="G24" s="13" t="n">
        <v>0.119</v>
      </c>
      <c r="H24" s="13" t="n">
        <v>0.5</v>
      </c>
      <c r="I24" s="13" t="n">
        <v>0.1667</v>
      </c>
      <c r="J24" s="13" t="n">
        <v>0.4404</v>
      </c>
    </row>
    <row r="25" ht="24" customHeight="1" s="2">
      <c r="A25" s="8" t="inlineStr">
        <is>
          <t>office4</t>
        </is>
      </c>
      <c r="B25" s="8" t="inlineStr">
        <is>
          <t>main</t>
        </is>
      </c>
      <c r="C25" s="17" t="n">
        <v>22</v>
      </c>
      <c r="D25" s="17" t="n">
        <v>79</v>
      </c>
      <c r="E25" s="17" t="n">
        <v>20</v>
      </c>
      <c r="F25" s="10" t="n">
        <v>0.9091</v>
      </c>
      <c r="G25" s="10" t="n">
        <v>0.1364</v>
      </c>
      <c r="H25" s="10" t="n">
        <v>0.7272999999999999</v>
      </c>
      <c r="I25" s="10" t="n">
        <v>0.375</v>
      </c>
      <c r="J25" s="10" t="n">
        <v>0.7438</v>
      </c>
    </row>
    <row r="26" ht="24" customHeight="1" s="2">
      <c r="A26" s="12" t="inlineStr">
        <is>
          <t>office4</t>
        </is>
      </c>
      <c r="B26" s="12" t="inlineStr">
        <is>
          <t>ali-my</t>
        </is>
      </c>
      <c r="C26" s="18" t="n">
        <v>22</v>
      </c>
      <c r="D26" s="18" t="n">
        <v>44</v>
      </c>
      <c r="E26" s="18" t="n">
        <v>17</v>
      </c>
      <c r="F26" s="13" t="n">
        <v>0.7727000000000001</v>
      </c>
      <c r="G26" s="13" t="n">
        <v>0.2273</v>
      </c>
      <c r="H26" s="13" t="n">
        <v>0.6364</v>
      </c>
      <c r="I26" s="13" t="n">
        <v>0.5125</v>
      </c>
      <c r="J26" s="13" t="n">
        <v>0.7438</v>
      </c>
    </row>
  </sheetData>
  <mergeCells count="4">
    <mergeCell ref="A1:J1"/>
    <mergeCell ref="A4:J4"/>
    <mergeCell ref="A9:J9"/>
    <mergeCell ref="A2:J2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2"/>
  <sheetViews>
    <sheetView showGridLines="0" workbookViewId="0">
      <selection activeCell="A1" sqref="A1"/>
    </sheetView>
  </sheetViews>
  <sheetFormatPr baseColWidth="8" defaultRowHeight="15"/>
  <cols>
    <col width="28" customWidth="1" style="2" min="1" max="1"/>
    <col width="13" customWidth="1" style="2" min="2" max="2"/>
    <col width="13" customWidth="1" style="2" min="3" max="3"/>
    <col width="15" customWidth="1" style="2" min="4" max="4"/>
    <col width="18" customWidth="1" style="2" min="5" max="5"/>
    <col width="13" customWidth="1" style="2" min="6" max="6"/>
    <col width="13" customWidth="1" style="2" min="7" max="7"/>
    <col width="13" customWidth="1" style="2" min="8" max="8"/>
    <col width="42" customWidth="1" style="2" min="9" max="9"/>
    <col width="14" customWidth="1" style="2" min="10" max="10"/>
  </cols>
  <sheetData>
    <row r="1" ht="30" customHeight="1" s="2">
      <c r="A1" s="70" t="inlineStr">
        <is>
          <t>关系边与 ReplicaSSG 指标</t>
        </is>
      </c>
      <c r="B1" s="23" t="n"/>
      <c r="C1" s="23" t="n"/>
      <c r="D1" s="23" t="n"/>
      <c r="E1" s="23" t="n"/>
      <c r="F1" s="23" t="n"/>
      <c r="G1" s="23" t="n"/>
      <c r="H1" s="23" t="n"/>
      <c r="I1" s="23" t="n"/>
      <c r="J1" s="24" t="n"/>
    </row>
    <row r="2" ht="34" customHeight="1" s="2">
      <c r="A2" s="71" t="inlineStr">
        <is>
          <t>区分严格 ali-dev room0、ali-dev 关系系统在 ali-my 对齐底图上的 8 场景结果，以及 make_edges-compatible 非空正式流。</t>
        </is>
      </c>
      <c r="B2" s="23" t="n"/>
      <c r="C2" s="23" t="n"/>
      <c r="D2" s="23" t="n"/>
      <c r="E2" s="23" t="n"/>
      <c r="F2" s="23" t="n"/>
      <c r="G2" s="23" t="n"/>
      <c r="H2" s="23" t="n"/>
      <c r="I2" s="23" t="n"/>
      <c r="J2" s="24" t="n"/>
    </row>
    <row r="3"/>
    <row r="4" ht="22" customHeight="1" s="2">
      <c r="A4" s="72" t="inlineStr">
        <is>
          <t>A. 8 场景排名指标</t>
        </is>
      </c>
      <c r="B4" s="23" t="n"/>
      <c r="C4" s="23" t="n"/>
      <c r="D4" s="23" t="n"/>
      <c r="E4" s="23" t="n"/>
      <c r="F4" s="23" t="n"/>
      <c r="G4" s="23" t="n"/>
      <c r="H4" s="23" t="n"/>
      <c r="I4" s="23" t="n"/>
      <c r="J4" s="24" t="n"/>
    </row>
    <row r="5" ht="30" customHeight="1" s="2">
      <c r="A5" s="7" t="inlineStr">
        <is>
          <t>范围</t>
        </is>
      </c>
      <c r="B5" s="7" t="inlineStr">
        <is>
          <t>GT关系</t>
        </is>
      </c>
      <c r="C5" s="7" t="inlineStr">
        <is>
          <t>端点匹配</t>
        </is>
      </c>
      <c r="D5" s="7" t="inlineStr">
        <is>
          <t>候选覆盖</t>
        </is>
      </c>
      <c r="E5" s="7" t="inlineStr">
        <is>
          <t>R@1</t>
        </is>
      </c>
      <c r="F5" s="7" t="inlineStr">
        <is>
          <t>R@3</t>
        </is>
      </c>
      <c r="G5" s="7" t="inlineStr">
        <is>
          <t>mR@1</t>
        </is>
      </c>
      <c r="H5" s="7" t="inlineStr">
        <is>
          <t>mR@3</t>
        </is>
      </c>
      <c r="I5" s="7" t="inlineStr">
        <is>
          <t>条件R@1</t>
        </is>
      </c>
      <c r="J5" s="7" t="inlineStr">
        <is>
          <t>条件R@3</t>
        </is>
      </c>
    </row>
    <row r="6" ht="24" customHeight="1" s="2">
      <c r="A6" s="8" t="inlineStr">
        <is>
          <t>全部8场景</t>
        </is>
      </c>
      <c r="B6" s="17" t="n">
        <v>149</v>
      </c>
      <c r="C6" s="17" t="n">
        <v>121</v>
      </c>
      <c r="D6" s="17" t="n">
        <v>121</v>
      </c>
      <c r="E6" s="10" t="n">
        <v>0.5503</v>
      </c>
      <c r="F6" s="10" t="n">
        <v>0.7315</v>
      </c>
      <c r="G6" s="10" t="n">
        <v>0.1918</v>
      </c>
      <c r="H6" s="10" t="n">
        <v>0.3296</v>
      </c>
      <c r="I6" s="10" t="n">
        <v>0.6777</v>
      </c>
      <c r="J6" s="10" t="n">
        <v>0.9008</v>
      </c>
    </row>
    <row r="7" ht="24" customHeight="1" s="2">
      <c r="A7" s="12" t="inlineStr">
        <is>
          <t>开发集 room0+office0</t>
        </is>
      </c>
      <c r="B7" s="18" t="n">
        <v>41</v>
      </c>
      <c r="C7" s="18" t="n">
        <v>31</v>
      </c>
      <c r="D7" s="18" t="n">
        <v>31</v>
      </c>
      <c r="E7" s="13" t="n">
        <v>0.4878</v>
      </c>
      <c r="F7" s="13" t="n">
        <v>0.5854</v>
      </c>
      <c r="G7" s="13" t="n">
        <v>0.1786</v>
      </c>
      <c r="H7" s="13" t="n">
        <v>0.3393</v>
      </c>
      <c r="I7" s="15" t="n"/>
      <c r="J7" s="15" t="n"/>
    </row>
    <row r="8" ht="24" customHeight="1" s="2">
      <c r="A8" s="8" t="inlineStr">
        <is>
          <t>留出6场景</t>
        </is>
      </c>
      <c r="B8" s="17" t="n">
        <v>108</v>
      </c>
      <c r="C8" s="17" t="n">
        <v>90</v>
      </c>
      <c r="D8" s="17" t="n">
        <v>90</v>
      </c>
      <c r="E8" s="10" t="n">
        <v>0.5741000000000001</v>
      </c>
      <c r="F8" s="10" t="n">
        <v>0.787</v>
      </c>
      <c r="G8" s="10" t="n">
        <v>0.3319</v>
      </c>
      <c r="H8" s="10" t="n">
        <v>0.5683</v>
      </c>
      <c r="I8" s="9" t="n"/>
      <c r="J8" s="9" t="n"/>
    </row>
    <row r="9"/>
    <row r="10" ht="22" customHeight="1" s="2">
      <c r="A10" s="72" t="inlineStr">
        <is>
          <t>B. 分场景排名（0.99 边另见下表）</t>
        </is>
      </c>
      <c r="B10" s="23" t="n"/>
      <c r="C10" s="23" t="n"/>
      <c r="D10" s="23" t="n"/>
      <c r="E10" s="23" t="n"/>
      <c r="F10" s="23" t="n"/>
      <c r="G10" s="23" t="n"/>
      <c r="H10" s="23" t="n"/>
      <c r="I10" s="23" t="n"/>
      <c r="J10" s="24" t="n"/>
    </row>
    <row r="11" ht="30" customHeight="1" s="2">
      <c r="A11" s="7" t="inlineStr">
        <is>
          <t>场景</t>
        </is>
      </c>
      <c r="B11" s="7" t="inlineStr">
        <is>
          <t>GT</t>
        </is>
      </c>
      <c r="C11" s="7" t="inlineStr">
        <is>
          <t>端点</t>
        </is>
      </c>
      <c r="D11" s="7" t="inlineStr">
        <is>
          <t>候选</t>
        </is>
      </c>
      <c r="E11" s="7" t="inlineStr">
        <is>
          <t>R@1</t>
        </is>
      </c>
      <c r="F11" s="7" t="inlineStr">
        <is>
          <t>R@3</t>
        </is>
      </c>
      <c r="G11" s="7" t="inlineStr">
        <is>
          <t>mR@1</t>
        </is>
      </c>
      <c r="H11" s="7" t="inlineStr">
        <is>
          <t>mR@3</t>
        </is>
      </c>
      <c r="I11" s="7" t="inlineStr">
        <is>
          <t>paper边</t>
        </is>
      </c>
      <c r="J11" s="7" t="inlineStr">
        <is>
          <t>TP</t>
        </is>
      </c>
    </row>
    <row r="12" ht="24" customHeight="1" s="2">
      <c r="A12" s="8" t="inlineStr">
        <is>
          <t>office0</t>
        </is>
      </c>
      <c r="B12" s="17" t="n">
        <v>16</v>
      </c>
      <c r="C12" s="17" t="n">
        <v>15</v>
      </c>
      <c r="D12" s="17" t="n">
        <v>15</v>
      </c>
      <c r="E12" s="10" t="n">
        <v>0.375</v>
      </c>
      <c r="F12" s="10" t="n">
        <v>0.5</v>
      </c>
      <c r="G12" s="10" t="n">
        <v>0.125</v>
      </c>
      <c r="H12" s="10" t="n">
        <v>0.2917</v>
      </c>
      <c r="I12" s="17" t="n">
        <v>33</v>
      </c>
      <c r="J12" s="17" t="n">
        <v>0</v>
      </c>
    </row>
    <row r="13" ht="24" customHeight="1" s="2">
      <c r="A13" s="12" t="inlineStr">
        <is>
          <t>office1</t>
        </is>
      </c>
      <c r="B13" s="18" t="n">
        <v>7</v>
      </c>
      <c r="C13" s="18" t="n">
        <v>7</v>
      </c>
      <c r="D13" s="18" t="n">
        <v>7</v>
      </c>
      <c r="E13" s="13" t="n">
        <v>0.5714</v>
      </c>
      <c r="F13" s="13" t="n">
        <v>0.8571</v>
      </c>
      <c r="G13" s="13" t="n">
        <v>0.3333</v>
      </c>
      <c r="H13" s="13" t="n">
        <v>0.5</v>
      </c>
      <c r="I13" s="18" t="n">
        <v>33</v>
      </c>
      <c r="J13" s="18" t="n">
        <v>0</v>
      </c>
    </row>
    <row r="14" ht="24" customHeight="1" s="2">
      <c r="A14" s="8" t="inlineStr">
        <is>
          <t>office2</t>
        </is>
      </c>
      <c r="B14" s="17" t="n">
        <v>17</v>
      </c>
      <c r="C14" s="17" t="n">
        <v>16</v>
      </c>
      <c r="D14" s="17" t="n">
        <v>16</v>
      </c>
      <c r="E14" s="10" t="n">
        <v>0.7059</v>
      </c>
      <c r="F14" s="10" t="n">
        <v>0.9412</v>
      </c>
      <c r="G14" s="10" t="n">
        <v>0.6</v>
      </c>
      <c r="H14" s="10" t="n">
        <v>0.9333</v>
      </c>
      <c r="I14" s="17" t="n">
        <v>55</v>
      </c>
      <c r="J14" s="17" t="n">
        <v>2</v>
      </c>
    </row>
    <row r="15" ht="24" customHeight="1" s="2">
      <c r="A15" s="12" t="inlineStr">
        <is>
          <t>office3</t>
        </is>
      </c>
      <c r="B15" s="18" t="n">
        <v>19</v>
      </c>
      <c r="C15" s="18" t="n">
        <v>17</v>
      </c>
      <c r="D15" s="18" t="n">
        <v>17</v>
      </c>
      <c r="E15" s="13" t="n">
        <v>0.4737</v>
      </c>
      <c r="F15" s="13" t="n">
        <v>0.7895</v>
      </c>
      <c r="G15" s="13" t="n">
        <v>0.5714</v>
      </c>
      <c r="H15" s="13" t="n">
        <v>0.8214</v>
      </c>
      <c r="I15" s="18" t="n">
        <v>29</v>
      </c>
      <c r="J15" s="18" t="n">
        <v>4</v>
      </c>
    </row>
    <row r="16" ht="24" customHeight="1" s="2">
      <c r="A16" s="8" t="inlineStr">
        <is>
          <t>office4</t>
        </is>
      </c>
      <c r="B16" s="17" t="n">
        <v>18</v>
      </c>
      <c r="C16" s="17" t="n">
        <v>12</v>
      </c>
      <c r="D16" s="17" t="n">
        <v>12</v>
      </c>
      <c r="E16" s="10" t="n">
        <v>0.6667</v>
      </c>
      <c r="F16" s="10" t="n">
        <v>0.6667</v>
      </c>
      <c r="G16" s="10" t="n">
        <v>0.6667</v>
      </c>
      <c r="H16" s="10" t="n">
        <v>0.6667</v>
      </c>
      <c r="I16" s="17" t="n">
        <v>54</v>
      </c>
      <c r="J16" s="17" t="n">
        <v>0</v>
      </c>
    </row>
    <row r="17" ht="24" customHeight="1" s="2">
      <c r="A17" s="12" t="inlineStr">
        <is>
          <t>room0</t>
        </is>
      </c>
      <c r="B17" s="18" t="n">
        <v>25</v>
      </c>
      <c r="C17" s="18" t="n">
        <v>16</v>
      </c>
      <c r="D17" s="18" t="n">
        <v>16</v>
      </c>
      <c r="E17" s="13" t="n">
        <v>0.5600000000000001</v>
      </c>
      <c r="F17" s="13" t="n">
        <v>0.64</v>
      </c>
      <c r="G17" s="13" t="n">
        <v>0.375</v>
      </c>
      <c r="H17" s="13" t="n">
        <v>0.4583</v>
      </c>
      <c r="I17" s="18" t="n">
        <v>55</v>
      </c>
      <c r="J17" s="18" t="n">
        <v>5</v>
      </c>
    </row>
    <row r="18" ht="24" customHeight="1" s="2">
      <c r="A18" s="8" t="inlineStr">
        <is>
          <t>room1</t>
        </is>
      </c>
      <c r="B18" s="17" t="n">
        <v>16</v>
      </c>
      <c r="C18" s="17" t="n">
        <v>9</v>
      </c>
      <c r="D18" s="17" t="n">
        <v>9</v>
      </c>
      <c r="E18" s="10" t="n">
        <v>0.4375</v>
      </c>
      <c r="F18" s="10" t="n">
        <v>0.4375</v>
      </c>
      <c r="G18" s="10" t="n">
        <v>0.3704</v>
      </c>
      <c r="H18" s="10" t="n">
        <v>0.3704</v>
      </c>
      <c r="I18" s="17" t="n">
        <v>67</v>
      </c>
      <c r="J18" s="17" t="n">
        <v>0</v>
      </c>
    </row>
    <row r="19" ht="24" customHeight="1" s="2">
      <c r="A19" s="12" t="inlineStr">
        <is>
          <t>room2</t>
        </is>
      </c>
      <c r="B19" s="18" t="n">
        <v>31</v>
      </c>
      <c r="C19" s="18" t="n">
        <v>29</v>
      </c>
      <c r="D19" s="18" t="n">
        <v>29</v>
      </c>
      <c r="E19" s="13" t="n">
        <v>0.5806</v>
      </c>
      <c r="F19" s="13" t="n">
        <v>0.9355</v>
      </c>
      <c r="G19" s="13" t="n">
        <v>0.5009</v>
      </c>
      <c r="H19" s="13" t="n">
        <v>0.8667</v>
      </c>
      <c r="I19" s="18" t="n">
        <v>73</v>
      </c>
      <c r="J19" s="18" t="n">
        <v>2</v>
      </c>
    </row>
    <row r="20"/>
    <row r="21" ht="22" customHeight="1" s="2">
      <c r="A21" s="72" t="inlineStr">
        <is>
          <t>C. 谓词排名</t>
        </is>
      </c>
      <c r="B21" s="23" t="n"/>
      <c r="C21" s="23" t="n"/>
      <c r="D21" s="23" t="n"/>
      <c r="E21" s="23" t="n"/>
      <c r="F21" s="23" t="n"/>
      <c r="G21" s="23" t="n"/>
      <c r="H21" s="23" t="n"/>
      <c r="I21" s="23" t="n"/>
      <c r="J21" s="24" t="n"/>
    </row>
    <row r="22" ht="30" customHeight="1" s="2">
      <c r="A22" s="7" t="inlineStr">
        <is>
          <t>谓词</t>
        </is>
      </c>
      <c r="B22" s="7" t="inlineStr">
        <is>
          <t>GT</t>
        </is>
      </c>
      <c r="C22" s="7" t="inlineStr">
        <is>
          <t>端点匹配</t>
        </is>
      </c>
      <c r="D22" s="7" t="inlineStr">
        <is>
          <t>R@1命中</t>
        </is>
      </c>
      <c r="E22" s="7" t="inlineStr">
        <is>
          <t>R@3命中</t>
        </is>
      </c>
      <c r="F22" s="7" t="inlineStr">
        <is>
          <t>R@1</t>
        </is>
      </c>
      <c r="G22" s="7" t="inlineStr">
        <is>
          <t>R@3</t>
        </is>
      </c>
      <c r="H22" s="7" t="inlineStr">
        <is>
          <t>判断</t>
        </is>
      </c>
    </row>
    <row r="23" ht="24" customHeight="1" s="2">
      <c r="A23" s="8" t="inlineStr">
        <is>
          <t>near</t>
        </is>
      </c>
      <c r="B23" s="17" t="n">
        <v>79</v>
      </c>
      <c r="C23" s="17" t="n">
        <v>69</v>
      </c>
      <c r="D23" s="17" t="n">
        <v>59</v>
      </c>
      <c r="E23" s="17" t="n">
        <v>67</v>
      </c>
      <c r="F23" s="10" t="n">
        <v>0.7468</v>
      </c>
      <c r="G23" s="10" t="n">
        <v>0.8481</v>
      </c>
      <c r="H23" s="8" t="inlineStr">
        <is>
          <t>主力</t>
        </is>
      </c>
    </row>
    <row r="24" ht="24" customHeight="1" s="2">
      <c r="A24" s="12" t="inlineStr">
        <is>
          <t>on</t>
        </is>
      </c>
      <c r="B24" s="18" t="n">
        <v>40</v>
      </c>
      <c r="C24" s="18" t="n">
        <v>24</v>
      </c>
      <c r="D24" s="18" t="n">
        <v>22</v>
      </c>
      <c r="E24" s="18" t="n">
        <v>22</v>
      </c>
      <c r="F24" s="13" t="n">
        <v>0.55</v>
      </c>
      <c r="G24" s="13" t="n">
        <v>0.55</v>
      </c>
      <c r="H24" s="12" t="inlineStr">
        <is>
          <t>top-3 无额外收益</t>
        </is>
      </c>
    </row>
    <row r="25" ht="24" customHeight="1" s="2">
      <c r="A25" s="8" t="inlineStr">
        <is>
          <t>with</t>
        </is>
      </c>
      <c r="B25" s="17" t="n">
        <v>22</v>
      </c>
      <c r="C25" s="17" t="n">
        <v>22</v>
      </c>
      <c r="D25" s="17" t="n">
        <v>1</v>
      </c>
      <c r="E25" s="17" t="n">
        <v>20</v>
      </c>
      <c r="F25" s="10" t="n">
        <v>0.0455</v>
      </c>
      <c r="G25" s="10" t="n">
        <v>0.9091</v>
      </c>
      <c r="H25" s="8" t="inlineStr">
        <is>
          <t>top-1 校准不足</t>
        </is>
      </c>
    </row>
    <row r="26" ht="24" customHeight="1" s="2">
      <c r="A26" s="12" t="inlineStr">
        <is>
          <t>in</t>
        </is>
      </c>
      <c r="B26" s="18" t="n">
        <v>3</v>
      </c>
      <c r="C26" s="18" t="n">
        <v>2</v>
      </c>
      <c r="D26" s="18" t="n">
        <v>0</v>
      </c>
      <c r="E26" s="18" t="n">
        <v>0</v>
      </c>
      <c r="F26" s="13" t="n">
        <v>0</v>
      </c>
      <c r="G26" s="13" t="n">
        <v>0</v>
      </c>
      <c r="H26" s="12" t="inlineStr">
        <is>
          <t>未解决</t>
        </is>
      </c>
    </row>
    <row r="27" ht="24" customHeight="1" s="2">
      <c r="A27" s="8" t="inlineStr">
        <is>
          <t>above</t>
        </is>
      </c>
      <c r="B27" s="17" t="n">
        <v>2</v>
      </c>
      <c r="C27" s="17" t="n">
        <v>2</v>
      </c>
      <c r="D27" s="17" t="n">
        <v>0</v>
      </c>
      <c r="E27" s="17" t="n">
        <v>0</v>
      </c>
      <c r="F27" s="10" t="n">
        <v>0</v>
      </c>
      <c r="G27" s="10" t="n">
        <v>0</v>
      </c>
      <c r="H27" s="8" t="inlineStr">
        <is>
          <t>未解决</t>
        </is>
      </c>
    </row>
    <row r="28" ht="24" customHeight="1" s="2">
      <c r="A28" s="12" t="inlineStr">
        <is>
          <t>under</t>
        </is>
      </c>
      <c r="B28" s="18" t="n">
        <v>2</v>
      </c>
      <c r="C28" s="18" t="n">
        <v>2</v>
      </c>
      <c r="D28" s="18" t="n">
        <v>0</v>
      </c>
      <c r="E28" s="18" t="n">
        <v>0</v>
      </c>
      <c r="F28" s="13" t="n">
        <v>0</v>
      </c>
      <c r="G28" s="13" t="n">
        <v>0</v>
      </c>
      <c r="H28" s="12" t="inlineStr">
        <is>
          <t>未解决</t>
        </is>
      </c>
    </row>
    <row r="29" ht="24" customHeight="1" s="2">
      <c r="A29" s="8" t="inlineStr">
        <is>
          <t>attached to</t>
        </is>
      </c>
      <c r="B29" s="17" t="n">
        <v>1</v>
      </c>
      <c r="C29" s="17" t="n">
        <v>0</v>
      </c>
      <c r="D29" s="17" t="n">
        <v>0</v>
      </c>
      <c r="E29" s="17" t="n">
        <v>0</v>
      </c>
      <c r="F29" s="10" t="n">
        <v>0</v>
      </c>
      <c r="G29" s="10" t="n">
        <v>0</v>
      </c>
      <c r="H29" s="8" t="inlineStr">
        <is>
          <t>端点未匹配</t>
        </is>
      </c>
    </row>
    <row r="30"/>
    <row r="31" ht="22" customHeight="1" s="2">
      <c r="A31" s="72" t="inlineStr">
        <is>
          <t>D. 0.99 实际边与严格 ali-dev room0</t>
        </is>
      </c>
      <c r="B31" s="23" t="n"/>
      <c r="C31" s="23" t="n"/>
      <c r="D31" s="23" t="n"/>
      <c r="E31" s="23" t="n"/>
      <c r="F31" s="23" t="n"/>
      <c r="G31" s="23" t="n"/>
      <c r="H31" s="23" t="n"/>
      <c r="I31" s="23" t="n"/>
      <c r="J31" s="24" t="n"/>
    </row>
    <row r="32" ht="30" customHeight="1" s="2">
      <c r="A32" s="7" t="inlineStr">
        <is>
          <t>输出/范围</t>
        </is>
      </c>
      <c r="B32" s="7" t="inlineStr">
        <is>
          <t>边数</t>
        </is>
      </c>
      <c r="C32" s="7" t="inlineStr">
        <is>
          <t>TP</t>
        </is>
      </c>
      <c r="D32" s="7" t="inlineStr">
        <is>
          <t>Precision</t>
        </is>
      </c>
      <c r="E32" s="7" t="inlineStr">
        <is>
          <t>mapped-GT Recall</t>
        </is>
      </c>
      <c r="F32" s="7" t="inlineStr">
        <is>
          <t>F1</t>
        </is>
      </c>
      <c r="G32" s="7" t="inlineStr">
        <is>
          <t>排名R@1</t>
        </is>
      </c>
      <c r="H32" s="7" t="inlineStr">
        <is>
          <t>排名R@3</t>
        </is>
      </c>
      <c r="I32" s="7" t="inlineStr">
        <is>
          <t>备注</t>
        </is>
      </c>
    </row>
    <row r="33" ht="24" customHeight="1" s="2">
      <c r="A33" s="8" t="inlineStr">
        <is>
          <t>8场景 paper头</t>
        </is>
      </c>
      <c r="B33" s="17" t="n">
        <v>399</v>
      </c>
      <c r="C33" s="17" t="n">
        <v>13</v>
      </c>
      <c r="D33" s="10" t="n">
        <v>0.0326</v>
      </c>
      <c r="E33" s="10" t="n">
        <v>0.1074</v>
      </c>
      <c r="F33" s="10" t="n">
        <v>0.05</v>
      </c>
      <c r="G33" s="9" t="n"/>
      <c r="H33" s="9" t="n"/>
      <c r="I33" s="8" t="inlineStr">
        <is>
          <t>ali-my 对齐底图；仅 room0 严格 ali-dev</t>
        </is>
      </c>
    </row>
    <row r="34" ht="24" customHeight="1" s="2">
      <c r="A34" s="12" t="inlineStr">
        <is>
          <t>8场景 ali-dev兼容头</t>
        </is>
      </c>
      <c r="B34" s="18" t="n">
        <v>150</v>
      </c>
      <c r="C34" s="18" t="n">
        <v>11</v>
      </c>
      <c r="D34" s="13" t="n">
        <v>0.0733</v>
      </c>
      <c r="E34" s="13" t="n">
        <v>0.09089999999999999</v>
      </c>
      <c r="F34" s="13" t="n">
        <v>0.08119999999999999</v>
      </c>
      <c r="G34" s="15" t="n"/>
      <c r="H34" s="15" t="n"/>
      <c r="I34" s="12" t="inlineStr">
        <is>
          <t>on top of/under</t>
        </is>
      </c>
    </row>
    <row r="35" ht="24" customHeight="1" s="2">
      <c r="A35" s="8" t="inlineStr">
        <is>
          <t>严格 ali-dev room0 paper头</t>
        </is>
      </c>
      <c r="B35" s="17" t="n">
        <v>55</v>
      </c>
      <c r="C35" s="17" t="n">
        <v>5</v>
      </c>
      <c r="D35" s="10" t="n">
        <v>0.09089999999999999</v>
      </c>
      <c r="E35" s="10" t="n">
        <v>0.3125</v>
      </c>
      <c r="F35" s="10" t="n">
        <v>0.1408</v>
      </c>
      <c r="G35" s="10" t="n">
        <v>0.5600000000000001</v>
      </c>
      <c r="H35" s="10" t="n">
        <v>0.64</v>
      </c>
      <c r="I35" s="8" t="inlineStr">
        <is>
          <t>GT关系25；端点16</t>
        </is>
      </c>
    </row>
    <row r="36" ht="24" customHeight="1" s="2">
      <c r="A36" s="12" t="inlineStr">
        <is>
          <t>严格 ali-dev room0兼容头</t>
        </is>
      </c>
      <c r="B36" s="18" t="n">
        <v>16</v>
      </c>
      <c r="C36" s="18" t="n">
        <v>3</v>
      </c>
      <c r="D36" s="13" t="n">
        <v>0.1875</v>
      </c>
      <c r="E36" s="13" t="n">
        <v>0.1875</v>
      </c>
      <c r="F36" s="13" t="n">
        <v>0.1875</v>
      </c>
      <c r="G36" s="15" t="n"/>
      <c r="H36" s="15" t="n"/>
      <c r="I36" s="12" t="inlineStr">
        <is>
          <t>严格 PCD 复评</t>
        </is>
      </c>
    </row>
    <row r="37" ht="24" customHeight="1" s="2">
      <c r="A37" s="8" t="inlineStr">
        <is>
          <t>formal 200帧 make_edges流</t>
        </is>
      </c>
      <c r="B37" s="17" t="n">
        <v>49</v>
      </c>
      <c r="C37" s="17" t="n">
        <v>10</v>
      </c>
      <c r="D37" s="10" t="n">
        <v>0.2041</v>
      </c>
      <c r="E37" s="10" t="n">
        <v>0.5881999999999999</v>
      </c>
      <c r="F37" s="10" t="n">
        <v>0.303</v>
      </c>
      <c r="G37" s="9" t="n"/>
      <c r="H37" s="9" t="n"/>
      <c r="I37" s="8" t="inlineStr">
        <is>
          <t>TP/FP/FN=10/39/7；support总计1304</t>
        </is>
      </c>
    </row>
    <row r="38" ht="24" customHeight="1" s="2">
      <c r="A38" s="12" t="inlineStr">
        <is>
          <t>formal流 on 子集</t>
        </is>
      </c>
      <c r="B38" s="18" t="n">
        <v>29</v>
      </c>
      <c r="C38" s="18" t="n">
        <v>10</v>
      </c>
      <c r="D38" s="13" t="n">
        <v>0.3448</v>
      </c>
      <c r="E38" s="13" t="n">
        <v>0.9091</v>
      </c>
      <c r="F38" s="13" t="n">
        <v>0.5</v>
      </c>
      <c r="G38" s="15" t="n"/>
      <c r="H38" s="15" t="n"/>
      <c r="I38" s="12" t="inlineStr">
        <is>
          <t>mapped GT on=11</t>
        </is>
      </c>
    </row>
    <row r="39" ht="24" customHeight="1" s="2">
      <c r="A39" s="8" t="inlineStr">
        <is>
          <t>formal流 support≥50 后验</t>
        </is>
      </c>
      <c r="B39" s="17" t="n">
        <v>11</v>
      </c>
      <c r="C39" s="17" t="n">
        <v>8</v>
      </c>
      <c r="D39" s="10" t="n">
        <v>0.7272999999999999</v>
      </c>
      <c r="E39" s="10" t="n">
        <v>0.4706</v>
      </c>
      <c r="F39" s="10" t="n">
        <v>0.5714</v>
      </c>
      <c r="G39" s="9" t="n"/>
      <c r="H39" s="9" t="n"/>
      <c r="I39" s="8" t="inlineStr">
        <is>
          <t>未预注册，不作主结果</t>
        </is>
      </c>
    </row>
    <row r="40"/>
    <row r="41" ht="22" customHeight="1" s="2">
      <c r="A41" s="72" t="inlineStr">
        <is>
          <t>E. 开发集阈值扫描（room0+office0，paper头）</t>
        </is>
      </c>
      <c r="B41" s="23" t="n"/>
      <c r="C41" s="23" t="n"/>
      <c r="D41" s="23" t="n"/>
      <c r="E41" s="23" t="n"/>
      <c r="F41" s="23" t="n"/>
      <c r="G41" s="23" t="n"/>
      <c r="H41" s="23" t="n"/>
      <c r="I41" s="23" t="n"/>
      <c r="J41" s="24" t="n"/>
    </row>
    <row r="42" ht="30" customHeight="1" s="2">
      <c r="A42" s="7" t="inlineStr">
        <is>
          <t>阈值</t>
        </is>
      </c>
      <c r="B42" s="7" t="inlineStr">
        <is>
          <t>命中</t>
        </is>
      </c>
      <c r="C42" s="7" t="inlineStr">
        <is>
          <t>边数</t>
        </is>
      </c>
      <c r="D42" s="7" t="inlineStr">
        <is>
          <t>Precision</t>
        </is>
      </c>
      <c r="E42" s="7" t="inlineStr">
        <is>
          <t>mapped-GT Recall</t>
        </is>
      </c>
      <c r="F42" s="7" t="inlineStr">
        <is>
          <t>F1</t>
        </is>
      </c>
    </row>
    <row r="43" ht="24" customHeight="1" s="2">
      <c r="A43" s="10" t="n">
        <v>0.5</v>
      </c>
      <c r="B43" s="17" t="n">
        <v>20</v>
      </c>
      <c r="C43" s="17" t="n">
        <v>2019</v>
      </c>
      <c r="D43" s="10" t="n">
        <v>0.009900000000000001</v>
      </c>
      <c r="E43" s="10" t="n">
        <v>0.6452</v>
      </c>
      <c r="F43" s="10" t="n">
        <v>0.0195</v>
      </c>
    </row>
    <row r="44" ht="24" customHeight="1" s="2">
      <c r="A44" s="13" t="n">
        <v>0.7</v>
      </c>
      <c r="B44" s="18" t="n">
        <v>20</v>
      </c>
      <c r="C44" s="18" t="n">
        <v>1876</v>
      </c>
      <c r="D44" s="13" t="n">
        <v>0.0107</v>
      </c>
      <c r="E44" s="13" t="n">
        <v>0.6452</v>
      </c>
      <c r="F44" s="13" t="n">
        <v>0.021</v>
      </c>
    </row>
    <row r="45" ht="24" customHeight="1" s="2">
      <c r="A45" s="10" t="n">
        <v>0.8</v>
      </c>
      <c r="B45" s="17" t="n">
        <v>20</v>
      </c>
      <c r="C45" s="17" t="n">
        <v>1640</v>
      </c>
      <c r="D45" s="10" t="n">
        <v>0.0122</v>
      </c>
      <c r="E45" s="10" t="n">
        <v>0.6452</v>
      </c>
      <c r="F45" s="10" t="n">
        <v>0.0239</v>
      </c>
    </row>
    <row r="46" ht="24" customHeight="1" s="2">
      <c r="A46" s="13" t="n">
        <v>0.9</v>
      </c>
      <c r="B46" s="18" t="n">
        <v>20</v>
      </c>
      <c r="C46" s="18" t="n">
        <v>1303</v>
      </c>
      <c r="D46" s="13" t="n">
        <v>0.0153</v>
      </c>
      <c r="E46" s="13" t="n">
        <v>0.6452</v>
      </c>
      <c r="F46" s="13" t="n">
        <v>0.03</v>
      </c>
    </row>
    <row r="47" ht="24" customHeight="1" s="2">
      <c r="A47" s="10" t="n">
        <v>0.95</v>
      </c>
      <c r="B47" s="17" t="n">
        <v>19</v>
      </c>
      <c r="C47" s="17" t="n">
        <v>851</v>
      </c>
      <c r="D47" s="10" t="n">
        <v>0.0223</v>
      </c>
      <c r="E47" s="10" t="n">
        <v>0.6129</v>
      </c>
      <c r="F47" s="10" t="n">
        <v>0.0431</v>
      </c>
    </row>
    <row r="48" ht="24" customHeight="1" s="2">
      <c r="A48" s="13" t="n">
        <v>0.975</v>
      </c>
      <c r="B48" s="18" t="n">
        <v>14</v>
      </c>
      <c r="C48" s="18" t="n">
        <v>334</v>
      </c>
      <c r="D48" s="13" t="n">
        <v>0.0419</v>
      </c>
      <c r="E48" s="13" t="n">
        <v>0.4516</v>
      </c>
      <c r="F48" s="13" t="n">
        <v>0.0767</v>
      </c>
    </row>
    <row r="49" ht="24" customHeight="1" s="2">
      <c r="A49" s="10" t="n">
        <v>0.99</v>
      </c>
      <c r="B49" s="17" t="n">
        <v>5</v>
      </c>
      <c r="C49" s="17" t="n">
        <v>88</v>
      </c>
      <c r="D49" s="10" t="n">
        <v>0.0568</v>
      </c>
      <c r="E49" s="10" t="n">
        <v>0.1613</v>
      </c>
      <c r="F49" s="10" t="n">
        <v>0.08400000000000001</v>
      </c>
    </row>
    <row r="50" ht="24" customHeight="1" s="2">
      <c r="A50" s="12" t="inlineStr">
        <is>
          <t>0.992–1.000</t>
        </is>
      </c>
      <c r="B50" s="18" t="n">
        <v>0</v>
      </c>
      <c r="C50" s="18" t="n">
        <v>0</v>
      </c>
      <c r="D50" s="15" t="n"/>
      <c r="E50" s="13" t="n">
        <v>0</v>
      </c>
      <c r="F50" s="15" t="n"/>
    </row>
    <row r="51"/>
    <row r="52" ht="34" customHeight="1" s="2">
      <c r="A52" s="78" t="inlineStr">
        <is>
          <t>论文官方 Edge Precision 使用 3 名 AMT 标注者、多数票和开放词汇边；本页 ReplicaSSG precision 使用稀疏封闭 GT，是严格下界，协议不等价。</t>
        </is>
      </c>
      <c r="B52" s="23" t="n"/>
      <c r="C52" s="23" t="n"/>
      <c r="D52" s="23" t="n"/>
      <c r="E52" s="23" t="n"/>
      <c r="F52" s="23" t="n"/>
      <c r="G52" s="23" t="n"/>
      <c r="H52" s="23" t="n"/>
      <c r="I52" s="23" t="n"/>
      <c r="J52" s="24" t="n"/>
    </row>
  </sheetData>
  <mergeCells count="8">
    <mergeCell ref="A1:J1"/>
    <mergeCell ref="A31:J31"/>
    <mergeCell ref="A21:J21"/>
    <mergeCell ref="A4:J4"/>
    <mergeCell ref="A2:J2"/>
    <mergeCell ref="A52:J52"/>
    <mergeCell ref="A10:J10"/>
    <mergeCell ref="A41:J4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32"/>
  <sheetViews>
    <sheetView showGridLines="0" workbookViewId="0">
      <selection activeCell="A1" sqref="A1"/>
    </sheetView>
  </sheetViews>
  <sheetFormatPr baseColWidth="8" defaultRowHeight="15"/>
  <cols>
    <col width="24" customWidth="1" style="2" min="1" max="1"/>
    <col width="13" customWidth="1" style="2" min="2" max="2"/>
    <col width="14" customWidth="1" style="2" min="3" max="3"/>
    <col width="14" customWidth="1" style="2" min="4" max="4"/>
    <col width="14" customWidth="1" style="2" min="5" max="5"/>
    <col width="14" customWidth="1" style="2" min="6" max="6"/>
    <col width="16" customWidth="1" style="2" min="7" max="7"/>
    <col width="16" customWidth="1" style="2" min="8" max="8"/>
    <col width="14" customWidth="1" style="2" min="9" max="9"/>
    <col width="18" customWidth="1" style="2" min="10" max="10"/>
  </cols>
  <sheetData>
    <row r="1" ht="30" customHeight="1" s="2">
      <c r="A1" s="70" t="inlineStr">
        <is>
          <t>ali-my：两场景历史评测与人工审计</t>
        </is>
      </c>
      <c r="B1" s="23" t="n"/>
      <c r="C1" s="23" t="n"/>
      <c r="D1" s="23" t="n"/>
      <c r="E1" s="23" t="n"/>
      <c r="F1" s="23" t="n"/>
      <c r="G1" s="23" t="n"/>
      <c r="H1" s="23" t="n"/>
      <c r="I1" s="23" t="n"/>
      <c r="J1" s="24" t="n"/>
    </row>
    <row r="2" ht="34" customHeight="1" s="2">
      <c r="A2" s="71" t="inlineStr">
        <is>
          <t>room0+office0，200 帧/场景、stride=10；与 8 场景 400 帧主表是不同协议。</t>
        </is>
      </c>
      <c r="B2" s="23" t="n"/>
      <c r="C2" s="23" t="n"/>
      <c r="D2" s="23" t="n"/>
      <c r="E2" s="23" t="n"/>
      <c r="F2" s="23" t="n"/>
      <c r="G2" s="23" t="n"/>
      <c r="H2" s="23" t="n"/>
      <c r="I2" s="23" t="n"/>
      <c r="J2" s="24" t="n"/>
    </row>
    <row r="3"/>
    <row r="4" ht="22" customHeight="1" s="2">
      <c r="A4" s="72" t="inlineStr">
        <is>
          <t>A. 两场景池化语义</t>
        </is>
      </c>
      <c r="B4" s="23" t="n"/>
      <c r="C4" s="23" t="n"/>
      <c r="D4" s="23" t="n"/>
      <c r="E4" s="23" t="n"/>
      <c r="F4" s="23" t="n"/>
      <c r="G4" s="23" t="n"/>
      <c r="H4" s="23" t="n"/>
      <c r="I4" s="23" t="n"/>
      <c r="J4" s="24" t="n"/>
    </row>
    <row r="5" ht="30" customHeight="1" s="2">
      <c r="A5" s="7" t="inlineStr">
        <is>
          <t>n_exclude</t>
        </is>
      </c>
      <c r="B5" s="7" t="inlineStr">
        <is>
          <t>mIoU</t>
        </is>
      </c>
      <c r="C5" s="7" t="inlineStr">
        <is>
          <t>mRecall</t>
        </is>
      </c>
      <c r="D5" s="7" t="inlineStr">
        <is>
          <t>mPrecision</t>
        </is>
      </c>
      <c r="E5" s="7" t="inlineStr">
        <is>
          <t>mF1</t>
        </is>
      </c>
      <c r="F5" s="7" t="inlineStr">
        <is>
          <t>fwIoU</t>
        </is>
      </c>
      <c r="G5" s="7" t="inlineStr">
        <is>
          <t>点准确率</t>
        </is>
      </c>
    </row>
    <row r="6" ht="24" customHeight="1" s="2">
      <c r="A6" s="17" t="n">
        <v>1</v>
      </c>
      <c r="B6" s="10" t="n">
        <v>0.1553043895</v>
      </c>
      <c r="C6" s="10" t="n">
        <v>0.3911243999</v>
      </c>
      <c r="D6" s="10" t="n">
        <v>0.1768322661</v>
      </c>
      <c r="E6" s="10" t="n">
        <v>0.2146034016</v>
      </c>
      <c r="F6" s="10" t="n">
        <v>0.1864769861</v>
      </c>
      <c r="G6" s="10" t="n">
        <v>0.3381539009</v>
      </c>
    </row>
    <row r="7" ht="24" customHeight="1" s="2">
      <c r="A7" s="18" t="n">
        <v>4</v>
      </c>
      <c r="B7" s="13" t="n">
        <v>0.2656193526</v>
      </c>
      <c r="C7" s="13" t="n">
        <v>0.4387240994</v>
      </c>
      <c r="D7" s="13" t="n">
        <v>0.3246473282</v>
      </c>
      <c r="E7" s="13" t="n">
        <v>0.3268329588</v>
      </c>
      <c r="F7" s="13" t="n">
        <v>0.4783214477</v>
      </c>
      <c r="G7" s="13" t="n">
        <v>0.6090078855</v>
      </c>
    </row>
    <row r="8" ht="24" customHeight="1" s="2">
      <c r="A8" s="17" t="n">
        <v>6</v>
      </c>
      <c r="B8" s="10" t="n">
        <v>0.2669550756</v>
      </c>
      <c r="C8" s="10" t="n">
        <v>0.4348183505</v>
      </c>
      <c r="D8" s="10" t="n">
        <v>0.3319093412</v>
      </c>
      <c r="E8" s="10" t="n">
        <v>0.3262985756</v>
      </c>
      <c r="F8" s="10" t="n">
        <v>0.4974304124</v>
      </c>
      <c r="G8" s="10" t="n">
        <v>0.613672072</v>
      </c>
    </row>
    <row r="9"/>
    <row r="10" ht="22" customHeight="1" s="2">
      <c r="A10" s="72" t="inlineStr">
        <is>
          <t>B. 两场景对象</t>
        </is>
      </c>
      <c r="B10" s="23" t="n"/>
      <c r="C10" s="23" t="n"/>
      <c r="D10" s="23" t="n"/>
      <c r="E10" s="23" t="n"/>
      <c r="F10" s="23" t="n"/>
      <c r="G10" s="23" t="n"/>
      <c r="H10" s="23" t="n"/>
      <c r="I10" s="23" t="n"/>
      <c r="J10" s="24" t="n"/>
    </row>
    <row r="11" ht="30" customHeight="1" s="2">
      <c r="A11" s="7" t="inlineStr">
        <is>
          <t>范围</t>
        </is>
      </c>
      <c r="B11" s="7" t="inlineStr">
        <is>
          <t>GT</t>
        </is>
      </c>
      <c r="C11" s="7" t="inlineStr">
        <is>
          <t>预测</t>
        </is>
      </c>
      <c r="D11" s="7" t="inlineStr">
        <is>
          <t>匹配</t>
        </is>
      </c>
      <c r="E11" s="7" t="inlineStr">
        <is>
          <t>覆盖率</t>
        </is>
      </c>
      <c r="F11" s="7" t="inlineStr">
        <is>
          <t>R@1</t>
        </is>
      </c>
      <c r="G11" s="7" t="inlineStr">
        <is>
          <t>R@5</t>
        </is>
      </c>
      <c r="H11" s="7" t="inlineStr">
        <is>
          <t>mR@1</t>
        </is>
      </c>
      <c r="I11" s="7" t="inlineStr">
        <is>
          <t>mR@5</t>
        </is>
      </c>
    </row>
    <row r="12" ht="24" customHeight="1" s="2">
      <c r="A12" s="8" t="inlineStr">
        <is>
          <t>room0</t>
        </is>
      </c>
      <c r="B12" s="17" t="n">
        <v>59</v>
      </c>
      <c r="C12" s="17" t="n">
        <v>72</v>
      </c>
      <c r="D12" s="17" t="n">
        <v>29</v>
      </c>
      <c r="E12" s="10" t="n">
        <v>0.4915</v>
      </c>
      <c r="F12" s="10" t="n">
        <v>0.2203</v>
      </c>
      <c r="G12" s="10" t="n">
        <v>0.322</v>
      </c>
      <c r="H12" s="10" t="n">
        <v>0.2836</v>
      </c>
      <c r="I12" s="10" t="n">
        <v>0.408</v>
      </c>
    </row>
    <row r="13" ht="24" customHeight="1" s="2">
      <c r="A13" s="12" t="inlineStr">
        <is>
          <t>office0</t>
        </is>
      </c>
      <c r="B13" s="18" t="n">
        <v>15</v>
      </c>
      <c r="C13" s="18" t="n">
        <v>29</v>
      </c>
      <c r="D13" s="18" t="n">
        <v>10</v>
      </c>
      <c r="E13" s="13" t="n">
        <v>0.6667</v>
      </c>
      <c r="F13" s="13" t="n">
        <v>0.1333</v>
      </c>
      <c r="G13" s="13" t="n">
        <v>0.5333</v>
      </c>
      <c r="H13" s="13" t="n">
        <v>0.2222</v>
      </c>
      <c r="I13" s="13" t="n">
        <v>0.5</v>
      </c>
    </row>
    <row r="14" ht="24" customHeight="1" s="2">
      <c r="A14" s="8" t="inlineStr">
        <is>
          <t>池化</t>
        </is>
      </c>
      <c r="B14" s="17" t="n">
        <v>74</v>
      </c>
      <c r="C14" s="17" t="n">
        <v>101</v>
      </c>
      <c r="D14" s="17" t="n">
        <v>39</v>
      </c>
      <c r="E14" s="10" t="n">
        <v>0.527</v>
      </c>
      <c r="F14" s="10" t="n">
        <v>0.2027</v>
      </c>
      <c r="G14" s="10" t="n">
        <v>0.3649</v>
      </c>
      <c r="H14" s="10" t="n">
        <v>0.3336</v>
      </c>
      <c r="I14" s="10" t="n">
        <v>0.4857</v>
      </c>
    </row>
    <row r="15"/>
    <row r="16" ht="22" customHeight="1" s="2">
      <c r="A16" s="72" t="inlineStr">
        <is>
          <t>C. 建图与证据完整性</t>
        </is>
      </c>
      <c r="B16" s="23" t="n"/>
      <c r="C16" s="23" t="n"/>
      <c r="D16" s="23" t="n"/>
      <c r="E16" s="23" t="n"/>
      <c r="F16" s="23" t="n"/>
      <c r="G16" s="23" t="n"/>
      <c r="H16" s="23" t="n"/>
      <c r="I16" s="23" t="n"/>
      <c r="J16" s="24" t="n"/>
    </row>
    <row r="17" ht="30" customHeight="1" s="2">
      <c r="A17" s="7" t="inlineStr">
        <is>
          <t>场景</t>
        </is>
      </c>
      <c r="B17" s="7" t="inlineStr">
        <is>
          <t>帧</t>
        </is>
      </c>
      <c r="C17" s="7" t="inlineStr">
        <is>
          <t>raw detection</t>
        </is>
      </c>
      <c r="D17" s="7" t="inlineStr">
        <is>
          <t>kept obs</t>
        </is>
      </c>
      <c r="E17" s="7" t="inlineStr">
        <is>
          <t>rejected obs</t>
        </is>
      </c>
      <c r="F17" s="7" t="inlineStr">
        <is>
          <t>CREATE</t>
        </is>
      </c>
      <c r="G17" s="7" t="inlineStr">
        <is>
          <t>ASSOCIATE</t>
        </is>
      </c>
      <c r="H17" s="7" t="inlineStr">
        <is>
          <t>merges</t>
        </is>
      </c>
      <c r="I17" s="7" t="inlineStr">
        <is>
          <t>final objects</t>
        </is>
      </c>
      <c r="J17" s="7" t="inlineStr">
        <is>
          <t>Evidence Gate</t>
        </is>
      </c>
    </row>
    <row r="18" ht="24" customHeight="1" s="2">
      <c r="A18" s="8" t="inlineStr">
        <is>
          <t>room0</t>
        </is>
      </c>
      <c r="B18" s="17" t="n">
        <v>200</v>
      </c>
      <c r="C18" s="17" t="n">
        <v>6303</v>
      </c>
      <c r="D18" s="17" t="n">
        <v>3779</v>
      </c>
      <c r="E18" s="17" t="n">
        <v>2524</v>
      </c>
      <c r="F18" s="17" t="n">
        <v>96</v>
      </c>
      <c r="G18" s="17" t="n">
        <v>3683</v>
      </c>
      <c r="H18" s="17" t="n">
        <v>24</v>
      </c>
      <c r="I18" s="17" t="n">
        <v>72</v>
      </c>
      <c r="J18" s="8" t="inlineStr">
        <is>
          <t>PASS</t>
        </is>
      </c>
    </row>
    <row r="19" ht="24" customHeight="1" s="2">
      <c r="A19" s="12" t="inlineStr">
        <is>
          <t>office0</t>
        </is>
      </c>
      <c r="B19" s="18" t="n">
        <v>200</v>
      </c>
      <c r="C19" s="18" t="n">
        <v>3052</v>
      </c>
      <c r="D19" s="18" t="n">
        <v>1560</v>
      </c>
      <c r="E19" s="18" t="n">
        <v>1492</v>
      </c>
      <c r="F19" s="18" t="n">
        <v>35</v>
      </c>
      <c r="G19" s="18" t="n">
        <v>1525</v>
      </c>
      <c r="H19" s="18" t="n">
        <v>6</v>
      </c>
      <c r="I19" s="18" t="n">
        <v>29</v>
      </c>
      <c r="J19" s="12" t="inlineStr">
        <is>
          <t>PASS</t>
        </is>
      </c>
    </row>
    <row r="20"/>
    <row r="21" ht="22" customHeight="1" s="2">
      <c r="A21" s="72" t="inlineStr">
        <is>
          <t>D. R1 endpoint 人工审计</t>
        </is>
      </c>
      <c r="B21" s="23" t="n"/>
      <c r="C21" s="23" t="n"/>
      <c r="D21" s="23" t="n"/>
      <c r="E21" s="23" t="n"/>
      <c r="F21" s="23" t="n"/>
      <c r="G21" s="23" t="n"/>
      <c r="H21" s="23" t="n"/>
      <c r="I21" s="23" t="n"/>
      <c r="J21" s="24" t="n"/>
    </row>
    <row r="22" ht="30" customHeight="1" s="2">
      <c r="A22" s="7" t="inlineStr">
        <is>
          <t>范围</t>
        </is>
      </c>
      <c r="B22" s="7" t="inlineStr">
        <is>
          <t>endpoint</t>
        </is>
      </c>
      <c r="C22" s="7" t="inlineStr">
        <is>
          <t>证据充分</t>
        </is>
      </c>
      <c r="D22" s="7" t="inlineStr">
        <is>
          <t>错误</t>
        </is>
      </c>
      <c r="E22" s="7" t="inlineStr">
        <is>
          <t>正确</t>
        </is>
      </c>
      <c r="F22" s="7" t="inlineStr">
        <is>
          <t>不明确</t>
        </is>
      </c>
      <c r="G22" s="7" t="inlineStr">
        <is>
          <t>条件错误率</t>
        </is>
      </c>
      <c r="H22" s="7" t="inlineStr">
        <is>
          <t>证据充分率</t>
        </is>
      </c>
      <c r="I22" s="7" t="inlineStr">
        <is>
          <t>ROC-AUC</t>
        </is>
      </c>
      <c r="J22" s="7" t="inlineStr">
        <is>
          <t>AP</t>
        </is>
      </c>
    </row>
    <row r="23" ht="24" customHeight="1" s="2">
      <c r="A23" s="8" t="inlineStr">
        <is>
          <t>总体</t>
        </is>
      </c>
      <c r="B23" s="17" t="n">
        <v>97</v>
      </c>
      <c r="C23" s="17" t="n">
        <v>95</v>
      </c>
      <c r="D23" s="17" t="n">
        <v>40</v>
      </c>
      <c r="E23" s="17" t="n">
        <v>55</v>
      </c>
      <c r="F23" s="17" t="n">
        <v>2</v>
      </c>
      <c r="G23" s="10" t="n">
        <v>0.421053</v>
      </c>
      <c r="H23" s="10" t="n">
        <v>0.9793809999999999</v>
      </c>
      <c r="I23" s="19" t="n">
        <v>0.420455</v>
      </c>
      <c r="J23" s="19" t="n">
        <v>0.365647</v>
      </c>
    </row>
    <row r="24" ht="24" customHeight="1" s="2">
      <c r="A24" s="12" t="inlineStr">
        <is>
          <t>room0</t>
        </is>
      </c>
      <c r="B24" s="18" t="n">
        <v>69</v>
      </c>
      <c r="C24" s="18" t="n">
        <v>67</v>
      </c>
      <c r="D24" s="18" t="n">
        <v>27</v>
      </c>
      <c r="E24" s="18" t="n">
        <v>40</v>
      </c>
      <c r="F24" s="18" t="n">
        <v>2</v>
      </c>
      <c r="G24" s="13" t="n">
        <v>0.402985</v>
      </c>
      <c r="H24" s="13" t="n">
        <v>0.971014</v>
      </c>
      <c r="I24" s="15" t="n"/>
      <c r="J24" s="15" t="n"/>
    </row>
    <row r="25" ht="24" customHeight="1" s="2">
      <c r="A25" s="8" t="inlineStr">
        <is>
          <t>office0</t>
        </is>
      </c>
      <c r="B25" s="17" t="n">
        <v>28</v>
      </c>
      <c r="C25" s="17" t="n">
        <v>28</v>
      </c>
      <c r="D25" s="17" t="n">
        <v>13</v>
      </c>
      <c r="E25" s="17" t="n">
        <v>15</v>
      </c>
      <c r="F25" s="17" t="n">
        <v>0</v>
      </c>
      <c r="G25" s="10" t="n">
        <v>0.464286</v>
      </c>
      <c r="H25" s="10" t="n">
        <v>1</v>
      </c>
      <c r="I25" s="9" t="n"/>
      <c r="J25" s="9" t="n"/>
    </row>
    <row r="26"/>
    <row r="27" ht="22" customHeight="1" s="2">
      <c r="A27" s="72" t="inlineStr">
        <is>
          <t>E. R2 同一复核者重测</t>
        </is>
      </c>
      <c r="B27" s="23" t="n"/>
      <c r="C27" s="23" t="n"/>
      <c r="D27" s="23" t="n"/>
      <c r="E27" s="23" t="n"/>
      <c r="F27" s="23" t="n"/>
      <c r="G27" s="23" t="n"/>
      <c r="H27" s="23" t="n"/>
      <c r="I27" s="23" t="n"/>
      <c r="J27" s="24" t="n"/>
    </row>
    <row r="28" ht="30" customHeight="1" s="2">
      <c r="A28" s="7" t="inlineStr">
        <is>
          <t>指标</t>
        </is>
      </c>
      <c r="B28" s="7" t="inlineStr">
        <is>
          <t>案例</t>
        </is>
      </c>
      <c r="C28" s="7" t="inlineStr">
        <is>
          <t>一致数</t>
        </is>
      </c>
      <c r="D28" s="7" t="inlineStr">
        <is>
          <t>一致率</t>
        </is>
      </c>
      <c r="E28" s="7" t="inlineStr">
        <is>
          <t>Cohen's κ</t>
        </is>
      </c>
      <c r="F28" s="7" t="inlineStr">
        <is>
          <t>说明</t>
        </is>
      </c>
    </row>
    <row r="29" ht="24" customHeight="1" s="2">
      <c r="A29" s="8" t="inlineStr">
        <is>
          <t>证据充分</t>
        </is>
      </c>
      <c r="B29" s="17" t="n">
        <v>24</v>
      </c>
      <c r="C29" s="17" t="n">
        <v>23</v>
      </c>
      <c r="D29" s="10" t="n">
        <v>0.958333</v>
      </c>
      <c r="E29" s="19" t="n">
        <v>0.6470590000000001</v>
      </c>
      <c r="F29" s="8" t="inlineStr">
        <is>
          <t>test-retest</t>
        </is>
      </c>
    </row>
    <row r="30" ht="24" customHeight="1" s="2">
      <c r="A30" s="12" t="inlineStr">
        <is>
          <t>final state</t>
        </is>
      </c>
      <c r="B30" s="18" t="n">
        <v>24</v>
      </c>
      <c r="C30" s="18" t="n">
        <v>20</v>
      </c>
      <c r="D30" s="13" t="n">
        <v>0.833333</v>
      </c>
      <c r="E30" s="20" t="n">
        <v>0.705521</v>
      </c>
      <c r="F30" s="12" t="inlineStr">
        <is>
          <t>20/24 一致</t>
        </is>
      </c>
    </row>
    <row r="31" ht="24" customHeight="1" s="2">
      <c r="A31" s="8" t="inlineStr">
        <is>
          <t>三字段完全一致</t>
        </is>
      </c>
      <c r="B31" s="17" t="n">
        <v>24</v>
      </c>
      <c r="C31" s="17" t="n">
        <v>19</v>
      </c>
      <c r="D31" s="10" t="n">
        <v>0.791667</v>
      </c>
      <c r="E31" s="19" t="n">
        <v>0.722222</v>
      </c>
      <c r="F31" s="8" t="inlineStr">
        <is>
          <t>state+evidence+error type</t>
        </is>
      </c>
    </row>
    <row r="32" ht="24" customHeight="1" s="2">
      <c r="A32" s="12" t="inlineStr">
        <is>
          <t>两轮均 WRONG 的错误类型</t>
        </is>
      </c>
      <c r="B32" s="18" t="n">
        <v>10</v>
      </c>
      <c r="C32" s="18" t="n">
        <v>9</v>
      </c>
      <c r="D32" s="13" t="n">
        <v>0.9</v>
      </c>
      <c r="E32" s="20" t="n">
        <v>0.861111</v>
      </c>
      <c r="F32" s="12" t="inlineStr">
        <is>
          <t>条件子集</t>
        </is>
      </c>
    </row>
  </sheetData>
  <mergeCells count="7">
    <mergeCell ref="A1:J1"/>
    <mergeCell ref="A2:J2"/>
    <mergeCell ref="A27:J27"/>
    <mergeCell ref="A21:J21"/>
    <mergeCell ref="A4:J4"/>
    <mergeCell ref="A16:J16"/>
    <mergeCell ref="A10:J1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1"/>
  <sheetViews>
    <sheetView showGridLines="0" workbookViewId="0">
      <selection activeCell="A1" sqref="A1"/>
    </sheetView>
  </sheetViews>
  <sheetFormatPr baseColWidth="8" defaultRowHeight="15"/>
  <cols>
    <col width="28" customWidth="1" style="2" min="1" max="1"/>
    <col width="20" customWidth="1" style="2" min="2" max="2"/>
    <col width="15" customWidth="1" style="2" min="3" max="3"/>
    <col width="15" customWidth="1" style="2" min="4" max="4"/>
    <col width="16" customWidth="1" style="2" min="5" max="5"/>
    <col width="42" customWidth="1" style="2" min="6" max="6"/>
    <col width="18" customWidth="1" style="2" min="7" max="7"/>
    <col width="14" customWidth="1" style="2" min="8" max="8"/>
    <col width="28" customWidth="1" style="2" min="9" max="9"/>
    <col width="14" customWidth="1" style="2" min="10" max="10"/>
  </cols>
  <sheetData>
    <row r="1" ht="30" customHeight="1" s="2">
      <c r="A1" s="70" t="inlineStr">
        <is>
          <t>ali-my-VLM：全量诊断与修复后评测</t>
        </is>
      </c>
      <c r="B1" s="23" t="n"/>
      <c r="C1" s="23" t="n"/>
      <c r="D1" s="23" t="n"/>
      <c r="E1" s="23" t="n"/>
      <c r="F1" s="23" t="n"/>
      <c r="G1" s="23" t="n"/>
      <c r="H1" s="23" t="n"/>
      <c r="I1" s="23" t="n"/>
      <c r="J1" s="24" t="n"/>
    </row>
    <row r="2" ht="34" customHeight="1" s="2">
      <c r="A2" s="71" t="inlineStr">
        <is>
          <t>开发烟测与 full_97 分开；修复后同时报告原生 clip_ft 对照和 map_class_name 标签感知轨道。</t>
        </is>
      </c>
      <c r="B2" s="23" t="n"/>
      <c r="C2" s="23" t="n"/>
      <c r="D2" s="23" t="n"/>
      <c r="E2" s="23" t="n"/>
      <c r="F2" s="23" t="n"/>
      <c r="G2" s="23" t="n"/>
      <c r="H2" s="23" t="n"/>
      <c r="I2" s="23" t="n"/>
      <c r="J2" s="24" t="n"/>
    </row>
    <row r="3"/>
    <row r="4" ht="22" customHeight="1" s="2">
      <c r="A4" s="72" t="inlineStr">
        <is>
          <t>A. 开发/烟测与正式全量</t>
        </is>
      </c>
      <c r="B4" s="23" t="n"/>
      <c r="C4" s="23" t="n"/>
      <c r="D4" s="23" t="n"/>
      <c r="E4" s="23" t="n"/>
      <c r="F4" s="23" t="n"/>
      <c r="G4" s="23" t="n"/>
      <c r="H4" s="23" t="n"/>
      <c r="I4" s="23" t="n"/>
      <c r="J4" s="24" t="n"/>
    </row>
    <row r="5" ht="30" customHeight="1" s="2">
      <c r="A5" s="7" t="inlineStr">
        <is>
          <t>运行</t>
        </is>
      </c>
      <c r="B5" s="7" t="inlineStr">
        <is>
          <t>n</t>
        </is>
      </c>
      <c r="C5" s="7" t="inlineStr">
        <is>
          <t>状态准确率</t>
        </is>
      </c>
      <c r="D5" s="7" t="inlineStr">
        <is>
          <t>WRONG Precision</t>
        </is>
      </c>
      <c r="E5" s="7" t="inlineStr">
        <is>
          <t>WRONG Recall</t>
        </is>
      </c>
      <c r="F5" s="7" t="inlineStr">
        <is>
          <t>WRONG F1</t>
        </is>
      </c>
      <c r="G5" s="7" t="inlineStr">
        <is>
          <t>错误类型准确率</t>
        </is>
      </c>
      <c r="H5" s="7" t="inlineStr">
        <is>
          <t>Brier</t>
        </is>
      </c>
      <c r="I5" s="7" t="inlineStr">
        <is>
          <t>定位</t>
        </is>
      </c>
    </row>
    <row r="6" ht="24" customHeight="1" s="2">
      <c r="A6" s="8" t="inlineStr">
        <is>
          <t>smoke_6_terra_v1</t>
        </is>
      </c>
      <c r="B6" s="17" t="n">
        <v>6</v>
      </c>
      <c r="C6" s="10" t="n">
        <v>0.3333</v>
      </c>
      <c r="D6" s="10" t="n">
        <v>1</v>
      </c>
      <c r="E6" s="10" t="n">
        <v>0.2</v>
      </c>
      <c r="F6" s="10" t="n">
        <v>0.3333</v>
      </c>
      <c r="G6" s="10" t="n">
        <v>0</v>
      </c>
      <c r="H6" s="19" t="n">
        <v>0.631433</v>
      </c>
      <c r="I6" s="8" t="inlineStr">
        <is>
          <t>开发烟测</t>
        </is>
      </c>
    </row>
    <row r="7" ht="24" customHeight="1" s="2">
      <c r="A7" s="12" t="inlineStr">
        <is>
          <t>smoke_6_hier_terra_v1</t>
        </is>
      </c>
      <c r="B7" s="18" t="n">
        <v>5</v>
      </c>
      <c r="C7" s="13" t="n">
        <v>0.6</v>
      </c>
      <c r="D7" s="13" t="n">
        <v>1</v>
      </c>
      <c r="E7" s="13" t="n">
        <v>0.5</v>
      </c>
      <c r="F7" s="13" t="n">
        <v>0.6667</v>
      </c>
      <c r="G7" s="13" t="n">
        <v>0.5</v>
      </c>
      <c r="H7" s="20" t="n">
        <v>0.10738</v>
      </c>
      <c r="I7" s="12" t="inlineStr">
        <is>
          <t>开发烟测；实际匹配5例</t>
        </is>
      </c>
    </row>
    <row r="8" ht="24" customHeight="1" s="2">
      <c r="A8" s="8" t="inlineStr">
        <is>
          <t>smoke_6_terra_sol_v1</t>
        </is>
      </c>
      <c r="B8" s="17" t="n">
        <v>6</v>
      </c>
      <c r="C8" s="10" t="n">
        <v>1</v>
      </c>
      <c r="D8" s="10" t="n">
        <v>1</v>
      </c>
      <c r="E8" s="10" t="n">
        <v>1</v>
      </c>
      <c r="F8" s="10" t="n">
        <v>1</v>
      </c>
      <c r="G8" s="10" t="n">
        <v>0.6</v>
      </c>
      <c r="H8" s="19" t="n">
        <v>0.0395</v>
      </c>
      <c r="I8" s="8" t="inlineStr">
        <is>
          <t>小选择集</t>
        </is>
      </c>
    </row>
    <row r="9" ht="24" customHeight="1" s="2">
      <c r="A9" s="12" t="inlineStr">
        <is>
          <t>dev_12_terra_sol_v1</t>
        </is>
      </c>
      <c r="B9" s="18" t="n">
        <v>12</v>
      </c>
      <c r="C9" s="13" t="n">
        <v>0.5833</v>
      </c>
      <c r="D9" s="13" t="n">
        <v>0.8571</v>
      </c>
      <c r="E9" s="13" t="n">
        <v>0.8571</v>
      </c>
      <c r="F9" s="13" t="n">
        <v>0.8571</v>
      </c>
      <c r="G9" s="13" t="n">
        <v>0.6667</v>
      </c>
      <c r="H9" s="20" t="n">
        <v>0.21038</v>
      </c>
      <c r="I9" s="12" t="inlineStr">
        <is>
          <t>开发集</t>
        </is>
      </c>
    </row>
    <row r="10" ht="24" customHeight="1" s="2">
      <c r="A10" s="8" t="inlineStr">
        <is>
          <t>full_97_locked_v1</t>
        </is>
      </c>
      <c r="B10" s="17" t="n">
        <v>97</v>
      </c>
      <c r="C10" s="10" t="n">
        <v>0.670103</v>
      </c>
      <c r="D10" s="10" t="n">
        <v>0.584906</v>
      </c>
      <c r="E10" s="10" t="n">
        <v>0.775</v>
      </c>
      <c r="F10" s="10" t="n">
        <v>0.666667</v>
      </c>
      <c r="G10" s="10" t="n">
        <v>0.483871</v>
      </c>
      <c r="H10" s="19" t="n">
        <v>0.266206</v>
      </c>
      <c r="I10" s="8" t="inlineStr">
        <is>
          <t>正式全量</t>
        </is>
      </c>
    </row>
    <row r="11"/>
    <row r="12" ht="22" customHeight="1" s="2">
      <c r="A12" s="72" t="inlineStr">
        <is>
          <t>B. full_97 状态混淆（行=R1，列=VLM）</t>
        </is>
      </c>
      <c r="B12" s="23" t="n"/>
      <c r="C12" s="23" t="n"/>
      <c r="D12" s="23" t="n"/>
      <c r="E12" s="23" t="n"/>
      <c r="F12" s="23" t="n"/>
      <c r="G12" s="23" t="n"/>
      <c r="H12" s="23" t="n"/>
      <c r="I12" s="23" t="n"/>
      <c r="J12" s="24" t="n"/>
    </row>
    <row r="13" ht="30" customHeight="1" s="2">
      <c r="A13" s="7" t="inlineStr">
        <is>
          <t>R1状态</t>
        </is>
      </c>
      <c r="B13" s="7" t="inlineStr">
        <is>
          <t>VLM CORRECT</t>
        </is>
      </c>
      <c r="C13" s="7" t="inlineStr">
        <is>
          <t>VLM UNCLEAR</t>
        </is>
      </c>
      <c r="D13" s="7" t="inlineStr">
        <is>
          <t>VLM WRONG</t>
        </is>
      </c>
      <c r="E13" s="7" t="inlineStr">
        <is>
          <t>合计</t>
        </is>
      </c>
    </row>
    <row r="14" ht="24" customHeight="1" s="2">
      <c r="A14" s="8" t="inlineStr">
        <is>
          <t>CORRECT</t>
        </is>
      </c>
      <c r="B14" s="17" t="n">
        <v>33</v>
      </c>
      <c r="C14" s="17" t="n">
        <v>0</v>
      </c>
      <c r="D14" s="17" t="n">
        <v>22</v>
      </c>
      <c r="E14" s="17" t="n">
        <v>55</v>
      </c>
    </row>
    <row r="15" ht="24" customHeight="1" s="2">
      <c r="A15" s="12" t="inlineStr">
        <is>
          <t>UNCLEAR</t>
        </is>
      </c>
      <c r="B15" s="18" t="n">
        <v>0</v>
      </c>
      <c r="C15" s="18" t="n">
        <v>1</v>
      </c>
      <c r="D15" s="18" t="n">
        <v>1</v>
      </c>
      <c r="E15" s="18" t="n">
        <v>2</v>
      </c>
    </row>
    <row r="16" ht="24" customHeight="1" s="2">
      <c r="A16" s="8" t="inlineStr">
        <is>
          <t>WRONG</t>
        </is>
      </c>
      <c r="B16" s="17" t="n">
        <v>8</v>
      </c>
      <c r="C16" s="17" t="n">
        <v>1</v>
      </c>
      <c r="D16" s="17" t="n">
        <v>31</v>
      </c>
      <c r="E16" s="17" t="n">
        <v>40</v>
      </c>
    </row>
    <row r="17" ht="24" customHeight="1" s="2">
      <c r="A17" s="12" t="inlineStr">
        <is>
          <t>合计</t>
        </is>
      </c>
      <c r="B17" s="18" t="n">
        <v>41</v>
      </c>
      <c r="C17" s="18" t="n">
        <v>2</v>
      </c>
      <c r="D17" s="18" t="n">
        <v>54</v>
      </c>
      <c r="E17" s="18" t="n">
        <v>97</v>
      </c>
    </row>
    <row r="18"/>
    <row r="19" ht="22" customHeight="1" s="2">
      <c r="A19" s="72" t="inlineStr">
        <is>
          <t>C. full_97 门控状态</t>
        </is>
      </c>
      <c r="B19" s="23" t="n"/>
      <c r="C19" s="23" t="n"/>
      <c r="D19" s="23" t="n"/>
      <c r="E19" s="23" t="n"/>
      <c r="F19" s="23" t="n"/>
      <c r="G19" s="23" t="n"/>
      <c r="H19" s="23" t="n"/>
      <c r="I19" s="23" t="n"/>
      <c r="J19" s="24" t="n"/>
    </row>
    <row r="20" ht="30" customHeight="1" s="2">
      <c r="A20" s="7" t="inlineStr">
        <is>
          <t>状态</t>
        </is>
      </c>
      <c r="B20" s="7" t="inlineStr">
        <is>
          <t>数量</t>
        </is>
      </c>
      <c r="C20" s="7" t="inlineStr">
        <is>
          <t>解释</t>
        </is>
      </c>
    </row>
    <row r="21" ht="24" customHeight="1" s="2">
      <c r="A21" s="8" t="inlineStr">
        <is>
          <t>APPROVED_FOR_DERIVED_MAP</t>
        </is>
      </c>
      <c r="B21" s="17" t="n">
        <v>19</v>
      </c>
      <c r="C21" s="8" t="inlineStr">
        <is>
          <t>17 RELABEL + 2 MERGE_WITH</t>
        </is>
      </c>
    </row>
    <row r="22" ht="24" customHeight="1" s="2">
      <c r="A22" s="12" t="inlineStr">
        <is>
          <t>BELOW_DIAGNOSIS_THRESHOLD</t>
        </is>
      </c>
      <c r="B22" s="18" t="n">
        <v>14</v>
      </c>
      <c r="C22" s="12" t="inlineStr">
        <is>
          <t>诊断置信度不足</t>
        </is>
      </c>
    </row>
    <row r="23" ht="24" customHeight="1" s="2">
      <c r="A23" s="8" t="inlineStr">
        <is>
          <t>BELOW_VERIFICATION_THRESHOLD</t>
        </is>
      </c>
      <c r="B23" s="17" t="n">
        <v>2</v>
      </c>
      <c r="C23" s="8" t="inlineStr">
        <is>
          <t>复核置信度不足</t>
        </is>
      </c>
    </row>
    <row r="24" ht="24" customHeight="1" s="2">
      <c r="A24" s="12" t="inlineStr">
        <is>
          <t>NEEDS_FULL_MEMBER_PASS</t>
        </is>
      </c>
      <c r="B24" s="18" t="n">
        <v>12</v>
      </c>
      <c r="C24" s="12" t="inlineStr">
        <is>
          <t>结构修复不自动执行</t>
        </is>
      </c>
    </row>
    <row r="25" ht="24" customHeight="1" s="2">
      <c r="A25" s="8" t="inlineStr">
        <is>
          <t>VERIFIER_REJECTED</t>
        </is>
      </c>
      <c r="B25" s="17" t="n">
        <v>2</v>
      </c>
      <c r="C25" s="8" t="inlineStr">
        <is>
          <t>复核拒绝</t>
        </is>
      </c>
    </row>
    <row r="26" ht="24" customHeight="1" s="2">
      <c r="A26" s="12" t="inlineStr">
        <is>
          <t>NO_MUTATION</t>
        </is>
      </c>
      <c r="B26" s="18" t="n">
        <v>48</v>
      </c>
      <c r="C26" s="12" t="inlineStr">
        <is>
          <t>无修改</t>
        </is>
      </c>
    </row>
    <row r="27"/>
    <row r="28" ht="22" customHeight="1" s="2">
      <c r="A28" s="72" t="inlineStr">
        <is>
          <t>D. 两场景修复后下游对比</t>
        </is>
      </c>
      <c r="B28" s="23" t="n"/>
      <c r="C28" s="23" t="n"/>
      <c r="D28" s="23" t="n"/>
      <c r="E28" s="23" t="n"/>
      <c r="F28" s="23" t="n"/>
      <c r="G28" s="23" t="n"/>
      <c r="H28" s="23" t="n"/>
      <c r="I28" s="23" t="n"/>
      <c r="J28" s="24" t="n"/>
    </row>
    <row r="29" ht="30" customHeight="1" s="2">
      <c r="A29" s="7" t="inlineStr">
        <is>
          <t>轨道</t>
        </is>
      </c>
      <c r="B29" s="7" t="inlineStr">
        <is>
          <t>指标</t>
        </is>
      </c>
      <c r="C29" s="7" t="inlineStr">
        <is>
          <t>修复前</t>
        </is>
      </c>
      <c r="D29" s="7" t="inlineStr">
        <is>
          <t>修复后</t>
        </is>
      </c>
      <c r="E29" s="7" t="inlineStr">
        <is>
          <t>差值（pp）</t>
        </is>
      </c>
      <c r="F29" s="7" t="inlineStr">
        <is>
          <t>解释</t>
        </is>
      </c>
    </row>
    <row r="30" ht="24" customHeight="1" s="2">
      <c r="A30" s="8" t="inlineStr">
        <is>
          <t>语义 native_clip_ft</t>
        </is>
      </c>
      <c r="B30" s="8" t="inlineStr">
        <is>
          <t>mIoU</t>
        </is>
      </c>
      <c r="C30" s="10" t="n">
        <v>0.266955</v>
      </c>
      <c r="D30" s="10" t="n">
        <v>0.266955</v>
      </c>
      <c r="E30" s="11" t="n">
        <v>0</v>
      </c>
      <c r="F30" s="8" t="inlineStr">
        <is>
          <t>视觉特征对照</t>
        </is>
      </c>
    </row>
    <row r="31" ht="24" customHeight="1" s="2">
      <c r="A31" s="12" t="inlineStr">
        <is>
          <t>语义 native_clip_ft</t>
        </is>
      </c>
      <c r="B31" s="12" t="inlineStr">
        <is>
          <t>mRecall</t>
        </is>
      </c>
      <c r="C31" s="13" t="n">
        <v>0.434818</v>
      </c>
      <c r="D31" s="13" t="n">
        <v>0.434818</v>
      </c>
      <c r="E31" s="14" t="n">
        <v>0</v>
      </c>
      <c r="F31" s="12" t="inlineStr">
        <is>
          <t>不变</t>
        </is>
      </c>
    </row>
    <row r="32" ht="24" customHeight="1" s="2">
      <c r="A32" s="8" t="inlineStr">
        <is>
          <t>语义 native_clip_ft</t>
        </is>
      </c>
      <c r="B32" s="8" t="inlineStr">
        <is>
          <t>mPrecision</t>
        </is>
      </c>
      <c r="C32" s="10" t="n">
        <v>0.331909</v>
      </c>
      <c r="D32" s="10" t="n">
        <v>0.331909</v>
      </c>
      <c r="E32" s="11" t="n">
        <v>0</v>
      </c>
      <c r="F32" s="8" t="inlineStr">
        <is>
          <t>不变</t>
        </is>
      </c>
    </row>
    <row r="33" ht="24" customHeight="1" s="2">
      <c r="A33" s="12" t="inlineStr">
        <is>
          <t>语义 native_clip_ft</t>
        </is>
      </c>
      <c r="B33" s="12" t="inlineStr">
        <is>
          <t>mF1</t>
        </is>
      </c>
      <c r="C33" s="13" t="n">
        <v>0.326299</v>
      </c>
      <c r="D33" s="13" t="n">
        <v>0.326299</v>
      </c>
      <c r="E33" s="14" t="n">
        <v>0</v>
      </c>
      <c r="F33" s="12" t="inlineStr">
        <is>
          <t>不变</t>
        </is>
      </c>
    </row>
    <row r="34" ht="24" customHeight="1" s="2">
      <c r="A34" s="8" t="inlineStr">
        <is>
          <t>语义 native_clip_ft</t>
        </is>
      </c>
      <c r="B34" s="8" t="inlineStr">
        <is>
          <t>fwIoU</t>
        </is>
      </c>
      <c r="C34" s="10" t="n">
        <v>0.49743</v>
      </c>
      <c r="D34" s="10" t="n">
        <v>0.49743</v>
      </c>
      <c r="E34" s="11" t="n">
        <v>0</v>
      </c>
      <c r="F34" s="8" t="inlineStr">
        <is>
          <t>不变</t>
        </is>
      </c>
    </row>
    <row r="35" ht="24" customHeight="1" s="2">
      <c r="A35" s="12" t="inlineStr">
        <is>
          <t>语义 native_clip_ft</t>
        </is>
      </c>
      <c r="B35" s="12" t="inlineStr">
        <is>
          <t>点准确率</t>
        </is>
      </c>
      <c r="C35" s="13" t="n">
        <v>0.613672</v>
      </c>
      <c r="D35" s="13" t="n">
        <v>0.613672</v>
      </c>
      <c r="E35" s="14" t="n">
        <v>0</v>
      </c>
      <c r="F35" s="12" t="inlineStr">
        <is>
          <t>不变</t>
        </is>
      </c>
    </row>
    <row r="36" ht="24" customHeight="1" s="2">
      <c r="A36" s="8" t="inlineStr">
        <is>
          <t>语义 map_class_name</t>
        </is>
      </c>
      <c r="B36" s="8" t="inlineStr">
        <is>
          <t>mIoU</t>
        </is>
      </c>
      <c r="C36" s="10" t="n">
        <v>0.324926</v>
      </c>
      <c r="D36" s="10" t="n">
        <v>0.450415</v>
      </c>
      <c r="E36" s="11" t="n">
        <v>12.55</v>
      </c>
      <c r="F36" s="8" t="inlineStr">
        <is>
          <t>标签感知</t>
        </is>
      </c>
    </row>
    <row r="37" ht="24" customHeight="1" s="2">
      <c r="A37" s="12" t="inlineStr">
        <is>
          <t>语义 map_class_name</t>
        </is>
      </c>
      <c r="B37" s="12" t="inlineStr">
        <is>
          <t>mRecall</t>
        </is>
      </c>
      <c r="C37" s="13" t="n">
        <v>0.515424</v>
      </c>
      <c r="D37" s="13" t="n">
        <v>0.6545879999999999</v>
      </c>
      <c r="E37" s="14" t="n">
        <v>13.92</v>
      </c>
      <c r="F37" s="12" t="inlineStr">
        <is>
          <t>标签感知</t>
        </is>
      </c>
    </row>
    <row r="38" ht="24" customHeight="1" s="2">
      <c r="A38" s="8" t="inlineStr">
        <is>
          <t>语义 map_class_name</t>
        </is>
      </c>
      <c r="B38" s="8" t="inlineStr">
        <is>
          <t>mPrecision</t>
        </is>
      </c>
      <c r="C38" s="10" t="n">
        <v>0.344695</v>
      </c>
      <c r="D38" s="10" t="n">
        <v>0.495286</v>
      </c>
      <c r="E38" s="11" t="n">
        <v>15.06</v>
      </c>
      <c r="F38" s="8" t="inlineStr">
        <is>
          <t>标签感知</t>
        </is>
      </c>
    </row>
    <row r="39" ht="24" customHeight="1" s="2">
      <c r="A39" s="12" t="inlineStr">
        <is>
          <t>语义 map_class_name</t>
        </is>
      </c>
      <c r="B39" s="12" t="inlineStr">
        <is>
          <t>mF1</t>
        </is>
      </c>
      <c r="C39" s="13" t="n">
        <v>0.388993</v>
      </c>
      <c r="D39" s="13" t="n">
        <v>0.5296110000000001</v>
      </c>
      <c r="E39" s="14" t="n">
        <v>14.06</v>
      </c>
      <c r="F39" s="12" t="inlineStr">
        <is>
          <t>标签感知</t>
        </is>
      </c>
    </row>
    <row r="40" ht="24" customHeight="1" s="2">
      <c r="A40" s="8" t="inlineStr">
        <is>
          <t>语义 map_class_name</t>
        </is>
      </c>
      <c r="B40" s="8" t="inlineStr">
        <is>
          <t>fwIoU</t>
        </is>
      </c>
      <c r="C40" s="10" t="n">
        <v>0.434606</v>
      </c>
      <c r="D40" s="10" t="n">
        <v>0.62642</v>
      </c>
      <c r="E40" s="11" t="n">
        <v>19.18</v>
      </c>
      <c r="F40" s="8" t="inlineStr">
        <is>
          <t>标签感知</t>
        </is>
      </c>
    </row>
    <row r="41" ht="24" customHeight="1" s="2">
      <c r="A41" s="12" t="inlineStr">
        <is>
          <t>语义 map_class_name</t>
        </is>
      </c>
      <c r="B41" s="12" t="inlineStr">
        <is>
          <t>点准确率</t>
        </is>
      </c>
      <c r="C41" s="13" t="n">
        <v>0.576056</v>
      </c>
      <c r="D41" s="13" t="n">
        <v>0.737092</v>
      </c>
      <c r="E41" s="14" t="n">
        <v>16.1</v>
      </c>
      <c r="F41" s="12" t="inlineStr">
        <is>
          <t>标签感知</t>
        </is>
      </c>
    </row>
    <row r="42" ht="24" customHeight="1" s="2">
      <c r="A42" s="8" t="inlineStr">
        <is>
          <t>对象 native_clip_ft</t>
        </is>
      </c>
      <c r="B42" s="8" t="inlineStr">
        <is>
          <t>R@1</t>
        </is>
      </c>
      <c r="C42" s="10" t="n">
        <v>0.202703</v>
      </c>
      <c r="D42" s="10" t="n">
        <v>0.202703</v>
      </c>
      <c r="E42" s="11" t="n">
        <v>0</v>
      </c>
      <c r="F42" s="8" t="inlineStr">
        <is>
          <t>不变</t>
        </is>
      </c>
    </row>
    <row r="43" ht="24" customHeight="1" s="2">
      <c r="A43" s="12" t="inlineStr">
        <is>
          <t>对象 native_clip_ft</t>
        </is>
      </c>
      <c r="B43" s="12" t="inlineStr">
        <is>
          <t>R@5</t>
        </is>
      </c>
      <c r="C43" s="13" t="n">
        <v>0.364865</v>
      </c>
      <c r="D43" s="13" t="n">
        <v>0.364865</v>
      </c>
      <c r="E43" s="14" t="n">
        <v>0</v>
      </c>
      <c r="F43" s="12" t="inlineStr">
        <is>
          <t>不变</t>
        </is>
      </c>
    </row>
    <row r="44" ht="24" customHeight="1" s="2">
      <c r="A44" s="8" t="inlineStr">
        <is>
          <t>对象 native_clip_ft</t>
        </is>
      </c>
      <c r="B44" s="8" t="inlineStr">
        <is>
          <t>mR@1</t>
        </is>
      </c>
      <c r="C44" s="10" t="n">
        <v>0.333567</v>
      </c>
      <c r="D44" s="10" t="n">
        <v>0.333567</v>
      </c>
      <c r="E44" s="11" t="n">
        <v>0</v>
      </c>
      <c r="F44" s="8" t="inlineStr">
        <is>
          <t>不变</t>
        </is>
      </c>
    </row>
    <row r="45" ht="24" customHeight="1" s="2">
      <c r="A45" s="12" t="inlineStr">
        <is>
          <t>对象 native_clip_ft</t>
        </is>
      </c>
      <c r="B45" s="12" t="inlineStr">
        <is>
          <t>mR@5</t>
        </is>
      </c>
      <c r="C45" s="13" t="n">
        <v>0.485668</v>
      </c>
      <c r="D45" s="13" t="n">
        <v>0.485668</v>
      </c>
      <c r="E45" s="14" t="n">
        <v>0</v>
      </c>
      <c r="F45" s="12" t="inlineStr">
        <is>
          <t>不变</t>
        </is>
      </c>
    </row>
    <row r="46" ht="24" customHeight="1" s="2">
      <c r="A46" s="8" t="inlineStr">
        <is>
          <t>对象 map_class_name</t>
        </is>
      </c>
      <c r="B46" s="8" t="inlineStr">
        <is>
          <t>R@1</t>
        </is>
      </c>
      <c r="C46" s="10" t="n">
        <v>0.364865</v>
      </c>
      <c r="D46" s="10" t="n">
        <v>0.391892</v>
      </c>
      <c r="E46" s="11" t="n">
        <v>2.7</v>
      </c>
      <c r="F46" s="8" t="inlineStr">
        <is>
          <t>标签感知</t>
        </is>
      </c>
    </row>
    <row r="47" ht="24" customHeight="1" s="2">
      <c r="A47" s="12" t="inlineStr">
        <is>
          <t>对象 map_class_name</t>
        </is>
      </c>
      <c r="B47" s="12" t="inlineStr">
        <is>
          <t>R@5</t>
        </is>
      </c>
      <c r="C47" s="13" t="n">
        <v>0.418919</v>
      </c>
      <c r="D47" s="13" t="n">
        <v>0.445946</v>
      </c>
      <c r="E47" s="14" t="n">
        <v>2.7</v>
      </c>
      <c r="F47" s="12" t="inlineStr">
        <is>
          <t>标签感知</t>
        </is>
      </c>
    </row>
    <row r="48" ht="24" customHeight="1" s="2">
      <c r="A48" s="8" t="inlineStr">
        <is>
          <t>对象 map_class_name</t>
        </is>
      </c>
      <c r="B48" s="8" t="inlineStr">
        <is>
          <t>mR@1</t>
        </is>
      </c>
      <c r="C48" s="10" t="n">
        <v>0.353548</v>
      </c>
      <c r="D48" s="10" t="n">
        <v>0.492204</v>
      </c>
      <c r="E48" s="11" t="n">
        <v>13.87</v>
      </c>
      <c r="F48" s="8" t="inlineStr">
        <is>
          <t>标签感知</t>
        </is>
      </c>
    </row>
    <row r="49" ht="24" customHeight="1" s="2">
      <c r="A49" s="12" t="inlineStr">
        <is>
          <t>对象 map_class_name</t>
        </is>
      </c>
      <c r="B49" s="12" t="inlineStr">
        <is>
          <t>mR@5</t>
        </is>
      </c>
      <c r="C49" s="13" t="n">
        <v>0.483613</v>
      </c>
      <c r="D49" s="13" t="n">
        <v>0.5693279999999999</v>
      </c>
      <c r="E49" s="14" t="n">
        <v>8.57</v>
      </c>
      <c r="F49" s="12" t="inlineStr">
        <is>
          <t>标签感知</t>
        </is>
      </c>
    </row>
    <row r="50"/>
    <row r="51" ht="34" customHeight="1" s="2">
      <c r="A51" s="78" t="inlineStr">
        <is>
          <t>19 个已执行动作中，事后按冻结 R1 核对仅 11 个对应 WRONG，8 个对应 CORRECT；因此标签感知增益不能解释为可安全自动覆盖原图。</t>
        </is>
      </c>
      <c r="B51" s="23" t="n"/>
      <c r="C51" s="23" t="n"/>
      <c r="D51" s="23" t="n"/>
      <c r="E51" s="23" t="n"/>
      <c r="F51" s="23" t="n"/>
      <c r="G51" s="23" t="n"/>
      <c r="H51" s="23" t="n"/>
      <c r="I51" s="23" t="n"/>
      <c r="J51" s="24" t="n"/>
    </row>
  </sheetData>
  <mergeCells count="7">
    <mergeCell ref="A1:J1"/>
    <mergeCell ref="A12:J12"/>
    <mergeCell ref="A4:J4"/>
    <mergeCell ref="A2:J2"/>
    <mergeCell ref="A28:J28"/>
    <mergeCell ref="A19:J19"/>
    <mergeCell ref="A51:J51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40"/>
  <sheetViews>
    <sheetView showGridLines="0" workbookViewId="0">
      <selection activeCell="A1" sqref="A1"/>
    </sheetView>
  </sheetViews>
  <sheetFormatPr baseColWidth="8" defaultRowHeight="15"/>
  <cols>
    <col width="24" customWidth="1" style="2" min="1" max="1"/>
    <col width="25" customWidth="1" style="2" min="2" max="2"/>
    <col width="24" customWidth="1" style="2" min="3" max="3"/>
    <col width="24" customWidth="1" style="2" min="4" max="4"/>
    <col width="27" customWidth="1" style="2" min="5" max="5"/>
    <col width="22" customWidth="1" style="2" min="6" max="6"/>
    <col width="24" customWidth="1" style="2" min="7" max="7"/>
    <col width="20" customWidth="1" style="2" min="8" max="8"/>
    <col width="20" customWidth="1" style="2" min="9" max="9"/>
    <col width="14" customWidth="1" style="2" min="10" max="10"/>
  </cols>
  <sheetData>
    <row r="1" ht="30" customHeight="1" s="2">
      <c r="A1" s="70" t="inlineStr">
        <is>
          <t>Revision Kernel v0 / v1</t>
        </is>
      </c>
      <c r="B1" s="23" t="n"/>
      <c r="C1" s="23" t="n"/>
      <c r="D1" s="23" t="n"/>
      <c r="E1" s="23" t="n"/>
      <c r="F1" s="23" t="n"/>
      <c r="G1" s="23" t="n"/>
      <c r="H1" s="23" t="n"/>
      <c r="I1" s="23" t="n"/>
      <c r="J1" s="24" t="n"/>
    </row>
    <row r="2" ht="34" customHeight="1" s="2">
      <c r="A2" s="71" t="inlineStr">
        <is>
          <t>Controlled corruption、局部回放、全局参考、关系恢复与 collateral safety；未运行能力明确保留为空白/未运行。</t>
        </is>
      </c>
      <c r="B2" s="23" t="n"/>
      <c r="C2" s="23" t="n"/>
      <c r="D2" s="23" t="n"/>
      <c r="E2" s="23" t="n"/>
      <c r="F2" s="23" t="n"/>
      <c r="G2" s="23" t="n"/>
      <c r="H2" s="23" t="n"/>
      <c r="I2" s="23" t="n"/>
      <c r="J2" s="24" t="n"/>
    </row>
    <row r="3"/>
    <row r="4" ht="22" customHeight="1" s="2">
      <c r="A4" s="72" t="inlineStr">
        <is>
          <t>A. V0 六个 oracle 案例</t>
        </is>
      </c>
      <c r="B4" s="23" t="n"/>
      <c r="C4" s="23" t="n"/>
      <c r="D4" s="23" t="n"/>
      <c r="E4" s="23" t="n"/>
      <c r="F4" s="23" t="n"/>
      <c r="G4" s="23" t="n"/>
      <c r="H4" s="23" t="n"/>
      <c r="I4" s="23" t="n"/>
      <c r="J4" s="24" t="n"/>
    </row>
    <row r="5" ht="30" customHeight="1" s="2">
      <c r="A5" s="7" t="inlineStr">
        <is>
          <t>场景</t>
        </is>
      </c>
      <c r="B5" s="7" t="inlineStr">
        <is>
          <t>类型</t>
        </is>
      </c>
      <c r="C5" s="7" t="inlineStr">
        <is>
          <t>受损F1</t>
        </is>
      </c>
      <c r="D5" s="7" t="inlineStr">
        <is>
          <t>local F1</t>
        </is>
      </c>
      <c r="E5" s="7" t="inlineStr">
        <is>
          <t>global F1</t>
        </is>
      </c>
      <c r="F5" s="7" t="inlineStr">
        <is>
          <t>local ms</t>
        </is>
      </c>
      <c r="G5" s="7" t="inlineStr">
        <is>
          <t>global ms</t>
        </is>
      </c>
      <c r="H5" s="7" t="inlineStr">
        <is>
          <t>local/global</t>
        </is>
      </c>
      <c r="I5" s="7" t="inlineStr">
        <is>
          <t>事务</t>
        </is>
      </c>
    </row>
    <row r="6" ht="24" customHeight="1" s="2">
      <c r="A6" s="8" t="inlineStr">
        <is>
          <t>room0</t>
        </is>
      </c>
      <c r="B6" s="8" t="inlineStr">
        <is>
          <t>FALSE_MERGE</t>
        </is>
      </c>
      <c r="C6" s="10" t="n">
        <v>0.66925</v>
      </c>
      <c r="D6" s="10" t="n">
        <v>1</v>
      </c>
      <c r="E6" s="10" t="n">
        <v>1</v>
      </c>
      <c r="F6" s="19" t="n">
        <v>1912.03</v>
      </c>
      <c r="G6" s="19" t="n">
        <v>543078.62</v>
      </c>
      <c r="H6" s="10" t="n">
        <v>0.003521</v>
      </c>
      <c r="I6" s="8" t="inlineStr">
        <is>
          <t>COMMITTED</t>
        </is>
      </c>
    </row>
    <row r="7" ht="24" customHeight="1" s="2">
      <c r="A7" s="12" t="inlineStr">
        <is>
          <t>room0</t>
        </is>
      </c>
      <c r="B7" s="12" t="inlineStr">
        <is>
          <t>FALSE_SPLIT</t>
        </is>
      </c>
      <c r="C7" s="13" t="n">
        <v>0.980648</v>
      </c>
      <c r="D7" s="13" t="n">
        <v>1</v>
      </c>
      <c r="E7" s="13" t="n">
        <v>1</v>
      </c>
      <c r="F7" s="20" t="n">
        <v>1260.45</v>
      </c>
      <c r="G7" s="20" t="n">
        <v>564834.76</v>
      </c>
      <c r="H7" s="13" t="n">
        <v>0.002232</v>
      </c>
      <c r="I7" s="12" t="inlineStr">
        <is>
          <t>COMMITTED</t>
        </is>
      </c>
    </row>
    <row r="8" ht="24" customHeight="1" s="2">
      <c r="A8" s="8" t="inlineStr">
        <is>
          <t>room0</t>
        </is>
      </c>
      <c r="B8" s="8" t="inlineStr">
        <is>
          <t>WRONG_MEMBERSHIP</t>
        </is>
      </c>
      <c r="C8" s="10" t="n">
        <v>0.983699</v>
      </c>
      <c r="D8" s="10" t="n">
        <v>1</v>
      </c>
      <c r="E8" s="10" t="n">
        <v>1</v>
      </c>
      <c r="F8" s="19" t="n">
        <v>6972.92</v>
      </c>
      <c r="G8" s="19" t="n">
        <v>559976.1899999999</v>
      </c>
      <c r="H8" s="10" t="n">
        <v>0.012452</v>
      </c>
      <c r="I8" s="8" t="inlineStr">
        <is>
          <t>COMMITTED</t>
        </is>
      </c>
    </row>
    <row r="9" ht="24" customHeight="1" s="2">
      <c r="A9" s="12" t="inlineStr">
        <is>
          <t>office0</t>
        </is>
      </c>
      <c r="B9" s="12" t="inlineStr">
        <is>
          <t>FALSE_MERGE</t>
        </is>
      </c>
      <c r="C9" s="13" t="n">
        <v>0.667305</v>
      </c>
      <c r="D9" s="13" t="n">
        <v>1</v>
      </c>
      <c r="E9" s="15" t="n"/>
      <c r="F9" s="20" t="n">
        <v>10767.29</v>
      </c>
      <c r="G9" s="15" t="n"/>
      <c r="H9" s="15" t="n"/>
      <c r="I9" s="12" t="inlineStr">
        <is>
          <t>COMMITTED</t>
        </is>
      </c>
    </row>
    <row r="10" ht="24" customHeight="1" s="2">
      <c r="A10" s="8" t="inlineStr">
        <is>
          <t>office0</t>
        </is>
      </c>
      <c r="B10" s="8" t="inlineStr">
        <is>
          <t>FALSE_SPLIT</t>
        </is>
      </c>
      <c r="C10" s="10" t="n">
        <v>0.990164</v>
      </c>
      <c r="D10" s="10" t="n">
        <v>1</v>
      </c>
      <c r="E10" s="9" t="n"/>
      <c r="F10" s="19" t="n">
        <v>2889.38</v>
      </c>
      <c r="G10" s="9" t="n"/>
      <c r="H10" s="9" t="n"/>
      <c r="I10" s="8" t="inlineStr">
        <is>
          <t>COMMITTED</t>
        </is>
      </c>
    </row>
    <row r="11" ht="24" customHeight="1" s="2">
      <c r="A11" s="12" t="inlineStr">
        <is>
          <t>office0</t>
        </is>
      </c>
      <c r="B11" s="12" t="inlineStr">
        <is>
          <t>WRONG_MEMBERSHIP</t>
        </is>
      </c>
      <c r="C11" s="13" t="n">
        <v>0.992048</v>
      </c>
      <c r="D11" s="13" t="n">
        <v>1</v>
      </c>
      <c r="E11" s="15" t="n"/>
      <c r="F11" s="20" t="n">
        <v>22682.73</v>
      </c>
      <c r="G11" s="15" t="n"/>
      <c r="H11" s="15" t="n"/>
      <c r="I11" s="12" t="inlineStr">
        <is>
          <t>COMMITTED</t>
        </is>
      </c>
    </row>
    <row r="12"/>
    <row r="13" ht="22" customHeight="1" s="2">
      <c r="A13" s="72" t="inlineStr">
        <is>
          <t>B. V0 非空关系与 VLM 约束</t>
        </is>
      </c>
      <c r="B13" s="23" t="n"/>
      <c r="C13" s="23" t="n"/>
      <c r="D13" s="23" t="n"/>
      <c r="E13" s="23" t="n"/>
      <c r="F13" s="23" t="n"/>
      <c r="G13" s="23" t="n"/>
      <c r="H13" s="23" t="n"/>
      <c r="I13" s="23" t="n"/>
      <c r="J13" s="24" t="n"/>
    </row>
    <row r="14" ht="30" customHeight="1" s="2">
      <c r="A14" s="7" t="inlineStr">
        <is>
          <t>实验</t>
        </is>
      </c>
      <c r="B14" s="7" t="inlineStr">
        <is>
          <t>指标1</t>
        </is>
      </c>
      <c r="C14" s="7" t="inlineStr">
        <is>
          <t>结果1</t>
        </is>
      </c>
      <c r="D14" s="7" t="inlineStr">
        <is>
          <t>指标2</t>
        </is>
      </c>
      <c r="E14" s="7" t="inlineStr">
        <is>
          <t>结果2</t>
        </is>
      </c>
      <c r="F14" s="7" t="inlineStr">
        <is>
          <t>指标3</t>
        </is>
      </c>
      <c r="G14" s="7" t="inlineStr">
        <is>
          <t>结果3</t>
        </is>
      </c>
      <c r="H14" s="7" t="inlineStr">
        <is>
          <t>指标4</t>
        </is>
      </c>
      <c r="I14" s="7" t="inlineStr">
        <is>
          <t>结果4</t>
        </is>
      </c>
    </row>
    <row r="15" ht="24" customHeight="1" s="2">
      <c r="A15" s="8" t="inlineStr">
        <is>
          <t>formal relation stream</t>
        </is>
      </c>
      <c r="B15" s="8" t="inlineStr">
        <is>
          <t>帧/非空帧</t>
        </is>
      </c>
      <c r="C15" s="8" t="inlineStr">
        <is>
          <t>200 / 200</t>
        </is>
      </c>
      <c r="D15" s="8" t="inlineStr">
        <is>
          <t>观测</t>
        </is>
      </c>
      <c r="E15" s="9" t="n">
        <v>2425</v>
      </c>
      <c r="F15" s="8" t="inlineStr">
        <is>
          <t>最终边/support</t>
        </is>
      </c>
      <c r="G15" s="8" t="inlineStr">
        <is>
          <t>49 / 1304</t>
        </is>
      </c>
      <c r="H15" s="8" t="inlineStr">
        <is>
          <t>ali-dev/ali-my exact</t>
        </is>
      </c>
      <c r="I15" s="8" t="inlineStr">
        <is>
          <t>PASS</t>
        </is>
      </c>
    </row>
    <row r="16" ht="24" customHeight="1" s="2">
      <c r="A16" s="12" t="inlineStr">
        <is>
          <t>GT主结果</t>
        </is>
      </c>
      <c r="B16" s="12" t="inlineStr">
        <is>
          <t>P / R / F1</t>
        </is>
      </c>
      <c r="C16" s="12" t="inlineStr">
        <is>
          <t>20.41% / 58.82% / 30.30%</t>
        </is>
      </c>
      <c r="D16" s="12" t="inlineStr">
        <is>
          <t>TP/FP/FN</t>
        </is>
      </c>
      <c r="E16" s="12" t="inlineStr">
        <is>
          <t>10 / 39 / 7</t>
        </is>
      </c>
      <c r="F16" s="12" t="inlineStr">
        <is>
          <t>on子集F1</t>
        </is>
      </c>
      <c r="G16" s="12" t="inlineStr">
        <is>
          <t>50.00%</t>
        </is>
      </c>
      <c r="H16" s="12" t="inlineStr">
        <is>
          <t>单场景</t>
        </is>
      </c>
      <c r="I16" s="12" t="inlineStr">
        <is>
          <t>room0</t>
        </is>
      </c>
    </row>
    <row r="17" ht="24" customHeight="1" s="2">
      <c r="A17" s="8" t="inlineStr">
        <is>
          <t>VLM constraint</t>
        </is>
      </c>
      <c r="B17" s="8" t="inlineStr">
        <is>
          <t>raw exact</t>
        </is>
      </c>
      <c r="C17" s="8" t="inlineStr">
        <is>
          <t>1/3</t>
        </is>
      </c>
      <c r="D17" s="8" t="inlineStr">
        <is>
          <t>compiled exact</t>
        </is>
      </c>
      <c r="E17" s="8" t="inlineStr">
        <is>
          <t>2/3</t>
        </is>
      </c>
      <c r="F17" s="8" t="inlineStr">
        <is>
          <t>safe DEFER</t>
        </is>
      </c>
      <c r="G17" s="8" t="inlineStr">
        <is>
          <t>1/3</t>
        </is>
      </c>
      <c r="H17" s="8" t="inlineStr">
        <is>
          <t>错误自动提交</t>
        </is>
      </c>
      <c r="I17" s="8" t="inlineStr">
        <is>
          <t>0</t>
        </is>
      </c>
    </row>
    <row r="18"/>
    <row r="19" ht="22" customHeight="1" s="2">
      <c r="A19" s="72" t="inlineStr">
        <is>
          <t>C. V1 冻结 Primary 结果</t>
        </is>
      </c>
      <c r="B19" s="23" t="n"/>
      <c r="C19" s="23" t="n"/>
      <c r="D19" s="23" t="n"/>
      <c r="E19" s="23" t="n"/>
      <c r="F19" s="23" t="n"/>
      <c r="G19" s="23" t="n"/>
      <c r="H19" s="23" t="n"/>
      <c r="I19" s="23" t="n"/>
      <c r="J19" s="24" t="n"/>
    </row>
    <row r="20" ht="30" customHeight="1" s="2">
      <c r="A20" s="7" t="inlineStr">
        <is>
          <t>场景</t>
        </is>
      </c>
      <c r="B20" s="7" t="inlineStr">
        <is>
          <t>冻结案例</t>
        </is>
      </c>
      <c r="C20" s="7" t="inlineStr">
        <is>
          <t>产生损伤</t>
        </is>
      </c>
      <c r="D20" s="7" t="inlineStr">
        <is>
          <t>精确修复</t>
        </is>
      </c>
      <c r="E20" s="7" t="inlineStr">
        <is>
          <t>自然自愈</t>
        </is>
      </c>
      <c r="F20" s="7" t="inlineStr">
        <is>
          <t>collateral-safe</t>
        </is>
      </c>
      <c r="G20" s="7" t="inlineStr">
        <is>
          <t>有信息关系案例</t>
        </is>
      </c>
      <c r="H20" s="7" t="inlineStr">
        <is>
          <t>受损member F1均值</t>
        </is>
      </c>
      <c r="I20" s="7" t="inlineStr">
        <is>
          <t>修复member F1</t>
        </is>
      </c>
    </row>
    <row r="21" ht="24" customHeight="1" s="2">
      <c r="A21" s="8" t="inlineStr">
        <is>
          <t>room0</t>
        </is>
      </c>
      <c r="B21" s="17" t="n">
        <v>30</v>
      </c>
      <c r="C21" s="17" t="n">
        <v>24</v>
      </c>
      <c r="D21" s="17" t="n">
        <v>24</v>
      </c>
      <c r="E21" s="17" t="n">
        <v>6</v>
      </c>
      <c r="F21" s="17" t="n">
        <v>30</v>
      </c>
      <c r="G21" s="17" t="n">
        <v>30</v>
      </c>
      <c r="H21" s="10" t="n">
        <v>0.924899</v>
      </c>
      <c r="I21" s="10" t="n">
        <v>1</v>
      </c>
    </row>
    <row r="22" ht="24" customHeight="1" s="2">
      <c r="A22" s="12" t="inlineStr">
        <is>
          <t>office0</t>
        </is>
      </c>
      <c r="B22" s="18" t="n">
        <v>30</v>
      </c>
      <c r="C22" s="18" t="n">
        <v>25</v>
      </c>
      <c r="D22" s="18" t="n">
        <v>25</v>
      </c>
      <c r="E22" s="18" t="n">
        <v>5</v>
      </c>
      <c r="F22" s="18" t="n">
        <v>30</v>
      </c>
      <c r="G22" s="18" t="n">
        <v>0</v>
      </c>
      <c r="H22" s="13" t="n">
        <v>0.9562619999999999</v>
      </c>
      <c r="I22" s="13" t="n">
        <v>1</v>
      </c>
    </row>
    <row r="23" ht="24" customHeight="1" s="2">
      <c r="A23" s="8" t="inlineStr">
        <is>
          <t>合计</t>
        </is>
      </c>
      <c r="B23" s="17" t="n">
        <v>60</v>
      </c>
      <c r="C23" s="17" t="n">
        <v>49</v>
      </c>
      <c r="D23" s="17" t="n">
        <v>49</v>
      </c>
      <c r="E23" s="17" t="n">
        <v>11</v>
      </c>
      <c r="F23" s="17" t="n">
        <v>60</v>
      </c>
      <c r="G23" s="17" t="n">
        <v>30</v>
      </c>
      <c r="H23" s="9" t="n"/>
      <c r="I23" s="10" t="n">
        <v>1</v>
      </c>
    </row>
    <row r="24"/>
    <row r="25" ht="22" customHeight="1" s="2">
      <c r="A25" s="72" t="inlineStr">
        <is>
          <t>D. V1 按错误类型</t>
        </is>
      </c>
      <c r="B25" s="23" t="n"/>
      <c r="C25" s="23" t="n"/>
      <c r="D25" s="23" t="n"/>
      <c r="E25" s="23" t="n"/>
      <c r="F25" s="23" t="n"/>
      <c r="G25" s="23" t="n"/>
      <c r="H25" s="23" t="n"/>
      <c r="I25" s="23" t="n"/>
      <c r="J25" s="24" t="n"/>
    </row>
    <row r="26" ht="30" customHeight="1" s="2">
      <c r="A26" s="7" t="inlineStr">
        <is>
          <t>类型</t>
        </is>
      </c>
      <c r="B26" s="7" t="inlineStr">
        <is>
          <t>冻结</t>
        </is>
      </c>
      <c r="C26" s="7" t="inlineStr">
        <is>
          <t>产生损伤</t>
        </is>
      </c>
      <c r="D26" s="7" t="inlineStr">
        <is>
          <t>精确修复</t>
        </is>
      </c>
      <c r="E26" s="7" t="inlineStr">
        <is>
          <t>自愈</t>
        </is>
      </c>
    </row>
    <row r="27" ht="24" customHeight="1" s="2">
      <c r="A27" s="8" t="inlineStr">
        <is>
          <t>FALSE_MERGE</t>
        </is>
      </c>
      <c r="B27" s="17" t="n">
        <v>20</v>
      </c>
      <c r="C27" s="17" t="n">
        <v>20</v>
      </c>
      <c r="D27" s="17" t="n">
        <v>20</v>
      </c>
      <c r="E27" s="17" t="n">
        <v>0</v>
      </c>
    </row>
    <row r="28" ht="24" customHeight="1" s="2">
      <c r="A28" s="12" t="inlineStr">
        <is>
          <t>WRONG_MEMBERSHIP</t>
        </is>
      </c>
      <c r="B28" s="18" t="n">
        <v>20</v>
      </c>
      <c r="C28" s="18" t="n">
        <v>20</v>
      </c>
      <c r="D28" s="18" t="n">
        <v>20</v>
      </c>
      <c r="E28" s="18" t="n">
        <v>0</v>
      </c>
    </row>
    <row r="29" ht="24" customHeight="1" s="2">
      <c r="A29" s="8" t="inlineStr">
        <is>
          <t>FALSE_SPLIT</t>
        </is>
      </c>
      <c r="B29" s="17" t="n">
        <v>20</v>
      </c>
      <c r="C29" s="17" t="n">
        <v>9</v>
      </c>
      <c r="D29" s="17" t="n">
        <v>9</v>
      </c>
      <c r="E29" s="17" t="n">
        <v>11</v>
      </c>
    </row>
    <row r="30"/>
    <row r="31" ht="22" customHeight="1" s="2">
      <c r="A31" s="72" t="inlineStr">
        <is>
          <t>E. V1 locality、runtime 与回归</t>
        </is>
      </c>
      <c r="B31" s="23" t="n"/>
      <c r="C31" s="23" t="n"/>
      <c r="D31" s="23" t="n"/>
      <c r="E31" s="23" t="n"/>
      <c r="F31" s="23" t="n"/>
      <c r="G31" s="23" t="n"/>
      <c r="H31" s="23" t="n"/>
      <c r="I31" s="23" t="n"/>
      <c r="J31" s="24" t="n"/>
    </row>
    <row r="32" ht="30" customHeight="1" s="2">
      <c r="A32" s="7" t="inlineStr">
        <is>
          <t>范围</t>
        </is>
      </c>
      <c r="B32" s="7" t="inlineStr">
        <is>
          <t>指标1</t>
        </is>
      </c>
      <c r="C32" s="7" t="inlineStr">
        <is>
          <t>结果1</t>
        </is>
      </c>
      <c r="D32" s="7" t="inlineStr">
        <is>
          <t>指标2</t>
        </is>
      </c>
      <c r="E32" s="7" t="inlineStr">
        <is>
          <t>结果2</t>
        </is>
      </c>
      <c r="F32" s="7" t="inlineStr">
        <is>
          <t>指标3</t>
        </is>
      </c>
      <c r="G32" s="7" t="inlineStr">
        <is>
          <t>结果3</t>
        </is>
      </c>
    </row>
    <row r="33" ht="24" customHeight="1" s="2">
      <c r="A33" s="8" t="inlineStr">
        <is>
          <t>room0</t>
        </is>
      </c>
      <c r="B33" s="8" t="inlineStr">
        <is>
          <t>effective obs fraction p50/p95/max</t>
        </is>
      </c>
      <c r="C33" s="8" t="inlineStr">
        <is>
          <t>3.96% / 8.46% / 10.19%</t>
        </is>
      </c>
      <c r="D33" s="8" t="inlineStr">
        <is>
          <t>suffix p50/p95/max</t>
        </is>
      </c>
      <c r="E33" s="8" t="inlineStr">
        <is>
          <t>80.89 / 141.54 / 160.05 s</t>
        </is>
      </c>
      <c r="F33" s="8" t="inlineStr">
        <is>
          <t>global reference</t>
        </is>
      </c>
      <c r="G33" s="8" t="inlineStr">
        <is>
          <t>3/3 exact</t>
        </is>
      </c>
    </row>
    <row r="34" ht="24" customHeight="1" s="2">
      <c r="A34" s="12" t="inlineStr">
        <is>
          <t>office0</t>
        </is>
      </c>
      <c r="B34" s="12" t="inlineStr">
        <is>
          <t>effective obs fraction p50/p95/max</t>
        </is>
      </c>
      <c r="C34" s="12" t="inlineStr">
        <is>
          <t>8.69% / 16.03% / 16.15%</t>
        </is>
      </c>
      <c r="D34" s="12" t="inlineStr">
        <is>
          <t>suffix p50/p95/max</t>
        </is>
      </c>
      <c r="E34" s="12" t="inlineStr">
        <is>
          <t>46.59 / 66.63 / 73.69 s</t>
        </is>
      </c>
      <c r="F34" s="12" t="inlineStr">
        <is>
          <t>global reference</t>
        </is>
      </c>
      <c r="G34" s="12" t="inlineStr">
        <is>
          <t>3/3 exact</t>
        </is>
      </c>
    </row>
    <row r="35" ht="24" customHeight="1" s="2">
      <c r="A35" s="8" t="inlineStr">
        <is>
          <t>clean parity room0</t>
        </is>
      </c>
      <c r="B35" s="8" t="inlineStr">
        <is>
          <t>observations/objects/edges</t>
        </is>
      </c>
      <c r="C35" s="8" t="inlineStr">
        <is>
          <t>3779 / 72 / 49</t>
        </is>
      </c>
      <c r="D35" s="8" t="inlineStr">
        <is>
          <t>状态</t>
        </is>
      </c>
      <c r="E35" s="8" t="inlineStr">
        <is>
          <t>全部 exact</t>
        </is>
      </c>
      <c r="F35" s="8" t="inlineStr">
        <is>
          <t>runtime</t>
        </is>
      </c>
      <c r="G35" s="8" t="inlineStr">
        <is>
          <t>217.83 s</t>
        </is>
      </c>
    </row>
    <row r="36" ht="24" customHeight="1" s="2">
      <c r="A36" s="12" t="inlineStr">
        <is>
          <t>clean parity office0</t>
        </is>
      </c>
      <c r="B36" s="12" t="inlineStr">
        <is>
          <t>observations/objects/edges</t>
        </is>
      </c>
      <c r="C36" s="12" t="inlineStr">
        <is>
          <t>1560 / 29 / empty</t>
        </is>
      </c>
      <c r="D36" s="12" t="inlineStr">
        <is>
          <t>状态</t>
        </is>
      </c>
      <c r="E36" s="12" t="inlineStr">
        <is>
          <t>全部 exact；关系无信息</t>
        </is>
      </c>
      <c r="F36" s="12" t="inlineStr">
        <is>
          <t>runtime</t>
        </is>
      </c>
      <c r="G36" s="12" t="inlineStr">
        <is>
          <t>168.60 s</t>
        </is>
      </c>
    </row>
    <row r="37" ht="24" customHeight="1" s="2">
      <c r="A37" s="8" t="inlineStr">
        <is>
          <t>live fidelity room0</t>
        </is>
      </c>
      <c r="B37" s="8" t="inlineStr">
        <is>
          <t>正式案例</t>
        </is>
      </c>
      <c r="C37" s="8" t="inlineStr">
        <is>
          <t>6</t>
        </is>
      </c>
      <c r="D37" s="8" t="inlineStr">
        <is>
          <t>五类 gate</t>
        </is>
      </c>
      <c r="E37" s="8" t="inlineStr">
        <is>
          <t>6/6 exact</t>
        </is>
      </c>
      <c r="F37" s="8" t="inlineStr">
        <is>
          <t>member F1</t>
        </is>
      </c>
      <c r="G37" s="8" t="inlineStr">
        <is>
          <t>6/6 = 1.0</t>
        </is>
      </c>
    </row>
    <row r="38" ht="24" customHeight="1" s="2">
      <c r="A38" s="12" t="inlineStr">
        <is>
          <t>测试</t>
        </is>
      </c>
      <c r="B38" s="12" t="inlineStr">
        <is>
          <t>全套</t>
        </is>
      </c>
      <c r="C38" s="12" t="inlineStr">
        <is>
          <t>128 passed, 1 skipped</t>
        </is>
      </c>
      <c r="D38" s="12" t="inlineStr">
        <is>
          <t>Revision专项</t>
        </is>
      </c>
      <c r="E38" s="12" t="inlineStr">
        <is>
          <t>65 passed, 1 skipped</t>
        </is>
      </c>
      <c r="F38" s="12" t="inlineStr">
        <is>
          <t>oracle leakage</t>
        </is>
      </c>
      <c r="G38" s="12" t="inlineStr">
        <is>
          <t>0 violation</t>
        </is>
      </c>
    </row>
    <row r="39"/>
    <row r="40" ht="34" customHeight="1" s="2">
      <c r="A40" s="78" t="inlineStr">
        <is>
          <t>V1 未运行：blind anchor localization、clean-negative harm、六场景 holdout、online rebase、VLM constraint generation。V1 当前工作树有未提交实现改动，复现应绑定实验目录和报告。</t>
        </is>
      </c>
      <c r="B40" s="23" t="n"/>
      <c r="C40" s="23" t="n"/>
      <c r="D40" s="23" t="n"/>
      <c r="E40" s="23" t="n"/>
      <c r="F40" s="23" t="n"/>
      <c r="G40" s="23" t="n"/>
      <c r="H40" s="23" t="n"/>
      <c r="I40" s="23" t="n"/>
      <c r="J40" s="24" t="n"/>
    </row>
  </sheetData>
  <mergeCells count="8">
    <mergeCell ref="A1:J1"/>
    <mergeCell ref="A31:J31"/>
    <mergeCell ref="A40:J40"/>
    <mergeCell ref="A4:J4"/>
    <mergeCell ref="A13:J13"/>
    <mergeCell ref="A2:J2"/>
    <mergeCell ref="A25:J25"/>
    <mergeCell ref="A19:J19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60"/>
  <sheetViews>
    <sheetView showGridLines="0" workbookViewId="0">
      <selection activeCell="A1" sqref="A1"/>
    </sheetView>
  </sheetViews>
  <sheetFormatPr baseColWidth="8" defaultRowHeight="15"/>
  <cols>
    <col width="18" customWidth="1" style="2" min="1" max="1"/>
    <col width="36" customWidth="1" style="2" min="2" max="2"/>
    <col width="18" customWidth="1" style="2" min="3" max="3"/>
    <col width="18" customWidth="1" style="2" min="4" max="4"/>
    <col width="16" customWidth="1" style="2" min="5" max="5"/>
    <col width="18" customWidth="1" style="2" min="6" max="6"/>
    <col width="18" customWidth="1" style="2" min="7" max="7"/>
    <col width="16" customWidth="1" style="2" min="8" max="8"/>
    <col width="16" customWidth="1" style="2" min="9" max="9"/>
  </cols>
  <sheetData>
    <row r="1" ht="30" customHeight="1" s="2">
      <c r="A1" s="70" t="inlineStr">
        <is>
          <t>ConceptGraphs 原论文官方指标</t>
        </is>
      </c>
      <c r="B1" s="23" t="n"/>
      <c r="C1" s="23" t="n"/>
      <c r="D1" s="23" t="n"/>
      <c r="E1" s="23" t="n"/>
      <c r="F1" s="23" t="n"/>
      <c r="G1" s="23" t="n"/>
      <c r="H1" s="23" t="n"/>
      <c r="I1" s="24" t="n"/>
    </row>
    <row r="2" ht="34" customHeight="1" s="2">
      <c r="A2" s="71" t="inlineStr">
        <is>
          <t>直接核对 arXiv:2309.16650v1 的 Table I–III；官方数值与本地新指标分表保存。</t>
        </is>
      </c>
      <c r="B2" s="23" t="n"/>
      <c r="C2" s="23" t="n"/>
      <c r="D2" s="23" t="n"/>
      <c r="E2" s="23" t="n"/>
      <c r="F2" s="23" t="n"/>
      <c r="G2" s="23" t="n"/>
      <c r="H2" s="23" t="n"/>
      <c r="I2" s="24" t="n"/>
    </row>
    <row r="3"/>
    <row r="4" ht="22" customHeight="1" s="2">
      <c r="A4" s="72" t="inlineStr">
        <is>
          <t>Table I. Accuracy of constructed scene graphs（AMT 人工评估）</t>
        </is>
      </c>
      <c r="B4" s="23" t="n"/>
      <c r="C4" s="23" t="n"/>
      <c r="D4" s="23" t="n"/>
      <c r="E4" s="23" t="n"/>
      <c r="F4" s="23" t="n"/>
      <c r="G4" s="23" t="n"/>
      <c r="H4" s="23" t="n"/>
      <c r="I4" s="24" t="n"/>
    </row>
    <row r="5" ht="30" customHeight="1" s="2">
      <c r="A5" s="7" t="inlineStr">
        <is>
          <t>方法</t>
        </is>
      </c>
      <c r="B5" s="7" t="inlineStr">
        <is>
          <t>场景</t>
        </is>
      </c>
      <c r="C5" s="7" t="inlineStr">
        <is>
          <t>Node Precision</t>
        </is>
      </c>
      <c r="D5" s="7" t="inlineStr">
        <is>
          <t>Valid Objects</t>
        </is>
      </c>
      <c r="E5" s="7" t="inlineStr">
        <is>
          <t>Duplicates</t>
        </is>
      </c>
      <c r="F5" s="7" t="inlineStr">
        <is>
          <t>Edge Precision</t>
        </is>
      </c>
      <c r="G5" s="7" t="inlineStr">
        <is>
          <t>来源</t>
        </is>
      </c>
    </row>
    <row r="6" ht="24" customHeight="1" s="2">
      <c r="A6" s="8" t="inlineStr">
        <is>
          <t>CG</t>
        </is>
      </c>
      <c r="B6" s="8" t="inlineStr">
        <is>
          <t>room0</t>
        </is>
      </c>
      <c r="C6" s="10" t="n">
        <v>0.78</v>
      </c>
      <c r="D6" s="17" t="n">
        <v>54</v>
      </c>
      <c r="E6" s="17" t="n">
        <v>3</v>
      </c>
      <c r="F6" s="10" t="n">
        <v>0.91</v>
      </c>
      <c r="G6" s="8" t="inlineStr">
        <is>
          <t>论文</t>
        </is>
      </c>
    </row>
    <row r="7" ht="24" customHeight="1" s="2">
      <c r="A7" s="12" t="inlineStr">
        <is>
          <t>CG</t>
        </is>
      </c>
      <c r="B7" s="12" t="inlineStr">
        <is>
          <t>room1</t>
        </is>
      </c>
      <c r="C7" s="13" t="n">
        <v>0.77</v>
      </c>
      <c r="D7" s="18" t="n">
        <v>43</v>
      </c>
      <c r="E7" s="18" t="n">
        <v>4</v>
      </c>
      <c r="F7" s="13" t="n">
        <v>0.93</v>
      </c>
      <c r="G7" s="12" t="inlineStr">
        <is>
          <t>论文</t>
        </is>
      </c>
    </row>
    <row r="8" ht="24" customHeight="1" s="2">
      <c r="A8" s="8" t="inlineStr">
        <is>
          <t>CG</t>
        </is>
      </c>
      <c r="B8" s="8" t="inlineStr">
        <is>
          <t>room2</t>
        </is>
      </c>
      <c r="C8" s="10" t="n">
        <v>0.66</v>
      </c>
      <c r="D8" s="17" t="n">
        <v>47</v>
      </c>
      <c r="E8" s="17" t="n">
        <v>4</v>
      </c>
      <c r="F8" s="10" t="n">
        <v>1</v>
      </c>
      <c r="G8" s="8" t="inlineStr">
        <is>
          <t>论文</t>
        </is>
      </c>
    </row>
    <row r="9" ht="24" customHeight="1" s="2">
      <c r="A9" s="12" t="inlineStr">
        <is>
          <t>CG</t>
        </is>
      </c>
      <c r="B9" s="12" t="inlineStr">
        <is>
          <t>office0</t>
        </is>
      </c>
      <c r="C9" s="13" t="n">
        <v>0.65</v>
      </c>
      <c r="D9" s="18" t="n">
        <v>44</v>
      </c>
      <c r="E9" s="18" t="n">
        <v>2</v>
      </c>
      <c r="F9" s="13" t="n">
        <v>0.88</v>
      </c>
      <c r="G9" s="12" t="inlineStr">
        <is>
          <t>论文</t>
        </is>
      </c>
    </row>
    <row r="10" ht="24" customHeight="1" s="2">
      <c r="A10" s="8" t="inlineStr">
        <is>
          <t>CG</t>
        </is>
      </c>
      <c r="B10" s="8" t="inlineStr">
        <is>
          <t>office1</t>
        </is>
      </c>
      <c r="C10" s="10" t="n">
        <v>0.65</v>
      </c>
      <c r="D10" s="17" t="n">
        <v>23</v>
      </c>
      <c r="E10" s="17" t="n">
        <v>0</v>
      </c>
      <c r="F10" s="10" t="n">
        <v>0.9</v>
      </c>
      <c r="G10" s="8" t="inlineStr">
        <is>
          <t>论文</t>
        </is>
      </c>
    </row>
    <row r="11" ht="24" customHeight="1" s="2">
      <c r="A11" s="12" t="inlineStr">
        <is>
          <t>CG</t>
        </is>
      </c>
      <c r="B11" s="12" t="inlineStr">
        <is>
          <t>office2</t>
        </is>
      </c>
      <c r="C11" s="13" t="n">
        <v>0.75</v>
      </c>
      <c r="D11" s="18" t="n">
        <v>44</v>
      </c>
      <c r="E11" s="18" t="n">
        <v>3</v>
      </c>
      <c r="F11" s="13" t="n">
        <v>0.82</v>
      </c>
      <c r="G11" s="12" t="inlineStr">
        <is>
          <t>论文</t>
        </is>
      </c>
    </row>
    <row r="12" ht="24" customHeight="1" s="2">
      <c r="A12" s="8" t="inlineStr">
        <is>
          <t>CG</t>
        </is>
      </c>
      <c r="B12" s="8" t="inlineStr">
        <is>
          <t>office3</t>
        </is>
      </c>
      <c r="C12" s="10" t="n">
        <v>0.68</v>
      </c>
      <c r="D12" s="17" t="n">
        <v>60</v>
      </c>
      <c r="E12" s="17" t="n">
        <v>5</v>
      </c>
      <c r="F12" s="10" t="n">
        <v>0.79</v>
      </c>
      <c r="G12" s="8" t="inlineStr">
        <is>
          <t>论文</t>
        </is>
      </c>
    </row>
    <row r="13" ht="24" customHeight="1" s="2">
      <c r="A13" s="12" t="inlineStr">
        <is>
          <t>CG</t>
        </is>
      </c>
      <c r="B13" s="12" t="inlineStr">
        <is>
          <t>Average</t>
        </is>
      </c>
      <c r="C13" s="13" t="n">
        <v>0.71</v>
      </c>
      <c r="D13" s="15" t="n"/>
      <c r="E13" s="15" t="n"/>
      <c r="F13" s="13" t="n">
        <v>0.88</v>
      </c>
      <c r="G13" s="12" t="inlineStr">
        <is>
          <t>论文平均</t>
        </is>
      </c>
    </row>
    <row r="14" ht="24" customHeight="1" s="2">
      <c r="A14" s="8" t="inlineStr">
        <is>
          <t>CG-D</t>
        </is>
      </c>
      <c r="B14" s="8" t="inlineStr">
        <is>
          <t>room0</t>
        </is>
      </c>
      <c r="C14" s="10" t="n">
        <v>0.5600000000000001</v>
      </c>
      <c r="D14" s="17" t="n">
        <v>60</v>
      </c>
      <c r="E14" s="17" t="n">
        <v>4</v>
      </c>
      <c r="F14" s="10" t="n">
        <v>0.87</v>
      </c>
      <c r="G14" s="8" t="inlineStr">
        <is>
          <t>论文</t>
        </is>
      </c>
    </row>
    <row r="15" ht="24" customHeight="1" s="2">
      <c r="A15" s="12" t="inlineStr">
        <is>
          <t>CG-D</t>
        </is>
      </c>
      <c r="B15" s="12" t="inlineStr">
        <is>
          <t>room1</t>
        </is>
      </c>
      <c r="C15" s="13" t="n">
        <v>0.7</v>
      </c>
      <c r="D15" s="18" t="n">
        <v>40</v>
      </c>
      <c r="E15" s="18" t="n">
        <v>3</v>
      </c>
      <c r="F15" s="13" t="n">
        <v>0.93</v>
      </c>
      <c r="G15" s="12" t="inlineStr">
        <is>
          <t>论文</t>
        </is>
      </c>
    </row>
    <row r="16" ht="24" customHeight="1" s="2">
      <c r="A16" s="8" t="inlineStr">
        <is>
          <t>CG-D</t>
        </is>
      </c>
      <c r="B16" s="8" t="inlineStr">
        <is>
          <t>room2</t>
        </is>
      </c>
      <c r="C16" s="10" t="n">
        <v>0.54</v>
      </c>
      <c r="D16" s="17" t="n">
        <v>49</v>
      </c>
      <c r="E16" s="17" t="n">
        <v>2</v>
      </c>
      <c r="F16" s="10" t="n">
        <v>0.93</v>
      </c>
      <c r="G16" s="8" t="inlineStr">
        <is>
          <t>论文</t>
        </is>
      </c>
    </row>
    <row r="17" ht="24" customHeight="1" s="2">
      <c r="A17" s="12" t="inlineStr">
        <is>
          <t>CG-D</t>
        </is>
      </c>
      <c r="B17" s="12" t="inlineStr">
        <is>
          <t>office0</t>
        </is>
      </c>
      <c r="C17" s="13" t="n">
        <v>0.59</v>
      </c>
      <c r="D17" s="18" t="n">
        <v>35</v>
      </c>
      <c r="E17" s="18" t="n">
        <v>0</v>
      </c>
      <c r="F17" s="13" t="n">
        <v>1</v>
      </c>
      <c r="G17" s="12" t="inlineStr">
        <is>
          <t>论文</t>
        </is>
      </c>
    </row>
    <row r="18" ht="24" customHeight="1" s="2">
      <c r="A18" s="8" t="inlineStr">
        <is>
          <t>CG-D</t>
        </is>
      </c>
      <c r="B18" s="8" t="inlineStr">
        <is>
          <t>office1</t>
        </is>
      </c>
      <c r="C18" s="10" t="n">
        <v>0.49</v>
      </c>
      <c r="D18" s="17" t="n">
        <v>24</v>
      </c>
      <c r="E18" s="17" t="n">
        <v>2</v>
      </c>
      <c r="F18" s="10" t="n">
        <v>0.9</v>
      </c>
      <c r="G18" s="8" t="inlineStr">
        <is>
          <t>论文</t>
        </is>
      </c>
    </row>
    <row r="19" ht="24" customHeight="1" s="2">
      <c r="A19" s="12" t="inlineStr">
        <is>
          <t>CG-D</t>
        </is>
      </c>
      <c r="B19" s="12" t="inlineStr">
        <is>
          <t>office2</t>
        </is>
      </c>
      <c r="C19" s="13" t="n">
        <v>0.67</v>
      </c>
      <c r="D19" s="18" t="n">
        <v>47</v>
      </c>
      <c r="E19" s="18" t="n">
        <v>3</v>
      </c>
      <c r="F19" s="13" t="n">
        <v>0.88</v>
      </c>
      <c r="G19" s="12" t="inlineStr">
        <is>
          <t>论文</t>
        </is>
      </c>
    </row>
    <row r="20" ht="24" customHeight="1" s="2">
      <c r="A20" s="8" t="inlineStr">
        <is>
          <t>CG-D</t>
        </is>
      </c>
      <c r="B20" s="8" t="inlineStr">
        <is>
          <t>office3</t>
        </is>
      </c>
      <c r="C20" s="10" t="n">
        <v>0.71</v>
      </c>
      <c r="D20" s="17" t="n">
        <v>59</v>
      </c>
      <c r="E20" s="17" t="n">
        <v>1</v>
      </c>
      <c r="F20" s="10" t="n">
        <v>0.83</v>
      </c>
      <c r="G20" s="8" t="inlineStr">
        <is>
          <t>论文</t>
        </is>
      </c>
    </row>
    <row r="21" ht="24" customHeight="1" s="2">
      <c r="A21" s="12" t="inlineStr">
        <is>
          <t>CG-D</t>
        </is>
      </c>
      <c r="B21" s="12" t="inlineStr">
        <is>
          <t>Average</t>
        </is>
      </c>
      <c r="C21" s="13" t="n">
        <v>0.61</v>
      </c>
      <c r="D21" s="15" t="n"/>
      <c r="E21" s="15" t="n"/>
      <c r="F21" s="13" t="n">
        <v>0.91</v>
      </c>
      <c r="G21" s="12" t="inlineStr">
        <is>
          <t>论文平均</t>
        </is>
      </c>
    </row>
    <row r="22"/>
    <row r="23" ht="22" customHeight="1" s="2">
      <c r="A23" s="72" t="inlineStr">
        <is>
          <t>Table II. Open-vocabulary semantic segmentation on Replica</t>
        </is>
      </c>
      <c r="B23" s="23" t="n"/>
      <c r="C23" s="23" t="n"/>
      <c r="D23" s="23" t="n"/>
      <c r="E23" s="23" t="n"/>
      <c r="F23" s="23" t="n"/>
      <c r="G23" s="23" t="n"/>
      <c r="H23" s="23" t="n"/>
      <c r="I23" s="24" t="n"/>
    </row>
    <row r="24" ht="30" customHeight="1" s="2">
      <c r="A24" s="7" t="inlineStr">
        <is>
          <t>类别</t>
        </is>
      </c>
      <c r="B24" s="7" t="inlineStr">
        <is>
          <t>方法</t>
        </is>
      </c>
      <c r="C24" s="7" t="inlineStr">
        <is>
          <t>mAcc</t>
        </is>
      </c>
      <c r="D24" s="7" t="inlineStr">
        <is>
          <t>F-mIoU</t>
        </is>
      </c>
    </row>
    <row r="25" ht="24" customHeight="1" s="2">
      <c r="A25" s="8" t="inlineStr">
        <is>
          <t>Privileged</t>
        </is>
      </c>
      <c r="B25" s="8" t="inlineStr">
        <is>
          <t>CLIPSeg (rd64-uni)</t>
        </is>
      </c>
      <c r="C25" s="10" t="n">
        <v>0.2821</v>
      </c>
      <c r="D25" s="10" t="n">
        <v>0.3984</v>
      </c>
    </row>
    <row r="26" ht="24" customHeight="1" s="2">
      <c r="A26" s="12" t="inlineStr">
        <is>
          <t>Privileged</t>
        </is>
      </c>
      <c r="B26" s="12" t="inlineStr">
        <is>
          <t>LSeg</t>
        </is>
      </c>
      <c r="C26" s="13" t="n">
        <v>0.3339</v>
      </c>
      <c r="D26" s="13" t="n">
        <v>0.5154</v>
      </c>
    </row>
    <row r="27" ht="24" customHeight="1" s="2">
      <c r="A27" s="8" t="inlineStr">
        <is>
          <t>Privileged</t>
        </is>
      </c>
      <c r="B27" s="8" t="inlineStr">
        <is>
          <t>OpenSeg</t>
        </is>
      </c>
      <c r="C27" s="10" t="n">
        <v>0.4119</v>
      </c>
      <c r="D27" s="10" t="n">
        <v>0.5374</v>
      </c>
    </row>
    <row r="28" ht="24" customHeight="1" s="2">
      <c r="A28" s="12" t="inlineStr">
        <is>
          <t>Zero-shot</t>
        </is>
      </c>
      <c r="B28" s="12" t="inlineStr">
        <is>
          <t>MaskCLIP</t>
        </is>
      </c>
      <c r="C28" s="13" t="n">
        <v>0.0453</v>
      </c>
      <c r="D28" s="13" t="n">
        <v>0.0094</v>
      </c>
    </row>
    <row r="29" ht="24" customHeight="1" s="2">
      <c r="A29" s="8" t="inlineStr">
        <is>
          <t>Zero-shot</t>
        </is>
      </c>
      <c r="B29" s="8" t="inlineStr">
        <is>
          <t>Mask2Former + Global CLIP feat</t>
        </is>
      </c>
      <c r="C29" s="10" t="n">
        <v>0.1042</v>
      </c>
      <c r="D29" s="10" t="n">
        <v>0.1311</v>
      </c>
    </row>
    <row r="30" ht="24" customHeight="1" s="2">
      <c r="A30" s="12" t="inlineStr">
        <is>
          <t>Zero-shot</t>
        </is>
      </c>
      <c r="B30" s="12" t="inlineStr">
        <is>
          <t>ConceptFusion</t>
        </is>
      </c>
      <c r="C30" s="13" t="n">
        <v>0.2416</v>
      </c>
      <c r="D30" s="13" t="n">
        <v>0.3131</v>
      </c>
    </row>
    <row r="31" ht="24" customHeight="1" s="2">
      <c r="A31" s="8" t="inlineStr">
        <is>
          <t>Zero-shot</t>
        </is>
      </c>
      <c r="B31" s="8" t="inlineStr">
        <is>
          <t>ConceptFusion + SAM</t>
        </is>
      </c>
      <c r="C31" s="10" t="n">
        <v>0.3153</v>
      </c>
      <c r="D31" s="10" t="n">
        <v>0.387</v>
      </c>
    </row>
    <row r="32" ht="24" customHeight="1" s="2">
      <c r="A32" s="12" t="inlineStr">
        <is>
          <t>Zero-shot</t>
        </is>
      </c>
      <c r="B32" s="12" t="inlineStr">
        <is>
          <t>ConceptGraphs (Ours)</t>
        </is>
      </c>
      <c r="C32" s="13" t="n">
        <v>0.4063</v>
      </c>
      <c r="D32" s="13" t="n">
        <v>0.3595</v>
      </c>
    </row>
    <row r="33" ht="24" customHeight="1" s="2">
      <c r="A33" s="8" t="inlineStr">
        <is>
          <t>Zero-shot</t>
        </is>
      </c>
      <c r="B33" s="8" t="inlineStr">
        <is>
          <t>ConceptGraphs-Detector (Ours)</t>
        </is>
      </c>
      <c r="C33" s="10" t="n">
        <v>0.3872</v>
      </c>
      <c r="D33" s="10" t="n">
        <v>0.3582</v>
      </c>
    </row>
    <row r="34"/>
    <row r="35" ht="22" customHeight="1" s="2">
      <c r="A35" s="72" t="inlineStr">
        <is>
          <t>Table III. Object retrieval from text queries</t>
        </is>
      </c>
      <c r="B35" s="23" t="n"/>
      <c r="C35" s="23" t="n"/>
      <c r="D35" s="23" t="n"/>
      <c r="E35" s="23" t="n"/>
      <c r="F35" s="23" t="n"/>
      <c r="G35" s="23" t="n"/>
      <c r="H35" s="23" t="n"/>
      <c r="I35" s="24" t="n"/>
    </row>
    <row r="36" ht="30" customHeight="1" s="2">
      <c r="A36" s="7" t="inlineStr">
        <is>
          <t>数据集</t>
        </is>
      </c>
      <c r="B36" s="7" t="inlineStr">
        <is>
          <t>Query Type</t>
        </is>
      </c>
      <c r="C36" s="7" t="inlineStr">
        <is>
          <t>模型</t>
        </is>
      </c>
      <c r="D36" s="7" t="inlineStr">
        <is>
          <t>R@1</t>
        </is>
      </c>
      <c r="E36" s="7" t="inlineStr">
        <is>
          <t>R@2</t>
        </is>
      </c>
      <c r="F36" s="7" t="inlineStr">
        <is>
          <t>R@3</t>
        </is>
      </c>
      <c r="G36" s="7" t="inlineStr">
        <is>
          <t># Queries</t>
        </is>
      </c>
    </row>
    <row r="37" ht="24" customHeight="1" s="2">
      <c r="A37" s="8" t="inlineStr">
        <is>
          <t>Replica</t>
        </is>
      </c>
      <c r="B37" s="8" t="inlineStr">
        <is>
          <t>Descriptive</t>
        </is>
      </c>
      <c r="C37" s="8" t="inlineStr">
        <is>
          <t>CLIP</t>
        </is>
      </c>
      <c r="D37" s="10" t="n">
        <v>0.59</v>
      </c>
      <c r="E37" s="10" t="n">
        <v>0.82</v>
      </c>
      <c r="F37" s="10" t="n">
        <v>0.86</v>
      </c>
      <c r="G37" s="17" t="n">
        <v>20</v>
      </c>
    </row>
    <row r="38" ht="24" customHeight="1" s="2">
      <c r="A38" s="12" t="inlineStr">
        <is>
          <t>Replica</t>
        </is>
      </c>
      <c r="B38" s="12" t="inlineStr">
        <is>
          <t>Descriptive</t>
        </is>
      </c>
      <c r="C38" s="12" t="inlineStr">
        <is>
          <t>LLM</t>
        </is>
      </c>
      <c r="D38" s="13" t="n">
        <v>0.61</v>
      </c>
      <c r="E38" s="13" t="n">
        <v>0.64</v>
      </c>
      <c r="F38" s="13" t="n">
        <v>0.64</v>
      </c>
      <c r="G38" s="18" t="n">
        <v>20</v>
      </c>
    </row>
    <row r="39" ht="24" customHeight="1" s="2">
      <c r="A39" s="8" t="inlineStr">
        <is>
          <t>Replica</t>
        </is>
      </c>
      <c r="B39" s="8" t="inlineStr">
        <is>
          <t>Affordance</t>
        </is>
      </c>
      <c r="C39" s="8" t="inlineStr">
        <is>
          <t>CLIP</t>
        </is>
      </c>
      <c r="D39" s="10" t="n">
        <v>0.43</v>
      </c>
      <c r="E39" s="10" t="n">
        <v>0.57</v>
      </c>
      <c r="F39" s="10" t="n">
        <v>0.63</v>
      </c>
      <c r="G39" s="17" t="n">
        <v>5</v>
      </c>
    </row>
    <row r="40" ht="24" customHeight="1" s="2">
      <c r="A40" s="12" t="inlineStr">
        <is>
          <t>Replica</t>
        </is>
      </c>
      <c r="B40" s="12" t="inlineStr">
        <is>
          <t>Affordance</t>
        </is>
      </c>
      <c r="C40" s="12" t="inlineStr">
        <is>
          <t>LLM</t>
        </is>
      </c>
      <c r="D40" s="13" t="n">
        <v>0.57</v>
      </c>
      <c r="E40" s="13" t="n">
        <v>0.63</v>
      </c>
      <c r="F40" s="13" t="n">
        <v>0.66</v>
      </c>
      <c r="G40" s="18" t="n">
        <v>5</v>
      </c>
    </row>
    <row r="41" ht="24" customHeight="1" s="2">
      <c r="A41" s="8" t="inlineStr">
        <is>
          <t>Replica</t>
        </is>
      </c>
      <c r="B41" s="8" t="inlineStr">
        <is>
          <t>Negation</t>
        </is>
      </c>
      <c r="C41" s="8" t="inlineStr">
        <is>
          <t>CLIP</t>
        </is>
      </c>
      <c r="D41" s="10" t="n">
        <v>0.26</v>
      </c>
      <c r="E41" s="10" t="n">
        <v>0.6</v>
      </c>
      <c r="F41" s="10" t="n">
        <v>0.71</v>
      </c>
      <c r="G41" s="17" t="n">
        <v>5</v>
      </c>
    </row>
    <row r="42" ht="24" customHeight="1" s="2">
      <c r="A42" s="12" t="inlineStr">
        <is>
          <t>Replica</t>
        </is>
      </c>
      <c r="B42" s="12" t="inlineStr">
        <is>
          <t>Negation</t>
        </is>
      </c>
      <c r="C42" s="12" t="inlineStr">
        <is>
          <t>LLM</t>
        </is>
      </c>
      <c r="D42" s="13" t="n">
        <v>0.8</v>
      </c>
      <c r="E42" s="13" t="n">
        <v>0.89</v>
      </c>
      <c r="F42" s="13" t="n">
        <v>0.97</v>
      </c>
      <c r="G42" s="18" t="n">
        <v>5</v>
      </c>
    </row>
    <row r="43" ht="24" customHeight="1" s="2">
      <c r="A43" s="8" t="inlineStr">
        <is>
          <t>Lab</t>
        </is>
      </c>
      <c r="B43" s="8" t="inlineStr">
        <is>
          <t>Descriptive</t>
        </is>
      </c>
      <c r="C43" s="8" t="inlineStr">
        <is>
          <t>CLIP</t>
        </is>
      </c>
      <c r="D43" s="10" t="n">
        <v>1</v>
      </c>
      <c r="E43" s="9" t="n"/>
      <c r="F43" s="9" t="n"/>
      <c r="G43" s="17" t="n">
        <v>10</v>
      </c>
    </row>
    <row r="44" ht="24" customHeight="1" s="2">
      <c r="A44" s="12" t="inlineStr">
        <is>
          <t>Lab</t>
        </is>
      </c>
      <c r="B44" s="12" t="inlineStr">
        <is>
          <t>Descriptive</t>
        </is>
      </c>
      <c r="C44" s="12" t="inlineStr">
        <is>
          <t>LLM</t>
        </is>
      </c>
      <c r="D44" s="13" t="n">
        <v>1</v>
      </c>
      <c r="E44" s="15" t="n"/>
      <c r="F44" s="15" t="n"/>
      <c r="G44" s="18" t="n">
        <v>10</v>
      </c>
    </row>
    <row r="45" ht="24" customHeight="1" s="2">
      <c r="A45" s="8" t="inlineStr">
        <is>
          <t>Lab</t>
        </is>
      </c>
      <c r="B45" s="8" t="inlineStr">
        <is>
          <t>Affordance</t>
        </is>
      </c>
      <c r="C45" s="8" t="inlineStr">
        <is>
          <t>CLIP</t>
        </is>
      </c>
      <c r="D45" s="10" t="n">
        <v>0.4</v>
      </c>
      <c r="E45" s="10" t="n">
        <v>0.6</v>
      </c>
      <c r="F45" s="10" t="n">
        <v>0.6</v>
      </c>
      <c r="G45" s="17" t="n">
        <v>10</v>
      </c>
    </row>
    <row r="46" ht="24" customHeight="1" s="2">
      <c r="A46" s="12" t="inlineStr">
        <is>
          <t>Lab</t>
        </is>
      </c>
      <c r="B46" s="12" t="inlineStr">
        <is>
          <t>Affordance</t>
        </is>
      </c>
      <c r="C46" s="12" t="inlineStr">
        <is>
          <t>LLM</t>
        </is>
      </c>
      <c r="D46" s="13" t="n">
        <v>1</v>
      </c>
      <c r="E46" s="15" t="n"/>
      <c r="F46" s="15" t="n"/>
      <c r="G46" s="18" t="n">
        <v>10</v>
      </c>
    </row>
    <row r="47" ht="24" customHeight="1" s="2">
      <c r="A47" s="8" t="inlineStr">
        <is>
          <t>Lab</t>
        </is>
      </c>
      <c r="B47" s="8" t="inlineStr">
        <is>
          <t>Negation</t>
        </is>
      </c>
      <c r="C47" s="8" t="inlineStr">
        <is>
          <t>CLIP</t>
        </is>
      </c>
      <c r="D47" s="10" t="n">
        <v>0</v>
      </c>
      <c r="E47" s="9" t="n"/>
      <c r="F47" s="9" t="n"/>
      <c r="G47" s="17" t="n">
        <v>10</v>
      </c>
    </row>
    <row r="48" ht="24" customHeight="1" s="2">
      <c r="A48" s="12" t="inlineStr">
        <is>
          <t>Lab</t>
        </is>
      </c>
      <c r="B48" s="12" t="inlineStr">
        <is>
          <t>Negation</t>
        </is>
      </c>
      <c r="C48" s="12" t="inlineStr">
        <is>
          <t>LLM</t>
        </is>
      </c>
      <c r="D48" s="13" t="n">
        <v>1</v>
      </c>
      <c r="E48" s="15" t="n"/>
      <c r="F48" s="15" t="n"/>
      <c r="G48" s="18" t="n">
        <v>10</v>
      </c>
    </row>
    <row r="49"/>
    <row r="50" ht="34" customHeight="1" s="2">
      <c r="A50" s="78" t="inlineStr">
        <is>
          <t>论文 Table III 的 R@1/R@2/R@3 是文本查询对象检索；本地 ReplicaSSG R@1/R@5 是不同任务与 GT，不能直接比较。</t>
        </is>
      </c>
      <c r="B50" s="23" t="n"/>
      <c r="C50" s="23" t="n"/>
      <c r="D50" s="23" t="n"/>
      <c r="E50" s="23" t="n"/>
      <c r="F50" s="23" t="n"/>
      <c r="G50" s="23" t="n"/>
      <c r="H50" s="23" t="n"/>
      <c r="I50" s="24" t="n"/>
    </row>
    <row r="51"/>
    <row r="52" ht="24" customHeight="1" s="2">
      <c r="A52" s="152" t="inlineStr">
        <is>
          <t>OVI-MAP 官方语义指标（同名/近似名协议对照）</t>
        </is>
      </c>
      <c r="B52" s="158" t="n"/>
      <c r="C52" s="158" t="n"/>
      <c r="D52" s="158" t="n"/>
      <c r="E52" s="158" t="n"/>
      <c r="F52" s="158" t="n"/>
      <c r="G52" s="158" t="n"/>
      <c r="H52" s="158" t="n"/>
      <c r="I52" s="158" t="n"/>
      <c r="J52" s="159" t="n"/>
    </row>
    <row r="53" ht="42" customHeight="1" s="2">
      <c r="A53" s="122" t="inlineStr">
        <is>
          <t>mAcc 名称相同，但标签集、帧采样、地图表示和投影协议不同；OVI-MAP 的 semantic mIoU 也不是 ConceptGraphs Table II 的 F-mIoU。数值并列保存，不作直接优劣结论。</t>
        </is>
      </c>
      <c r="B53" s="158" t="n"/>
      <c r="C53" s="158" t="n"/>
      <c r="D53" s="158" t="n"/>
      <c r="E53" s="158" t="n"/>
      <c r="F53" s="158" t="n"/>
      <c r="G53" s="158" t="n"/>
      <c r="H53" s="158" t="n"/>
      <c r="I53" s="158" t="n"/>
      <c r="J53" s="159" t="n"/>
    </row>
    <row r="54" ht="32" customHeight="1" s="2">
      <c r="A54" s="92" t="inlineStr">
        <is>
          <t>方法</t>
        </is>
      </c>
      <c r="B54" s="158" t="n"/>
      <c r="C54" s="158" t="n"/>
      <c r="D54" s="158" t="n"/>
      <c r="E54" s="158" t="n"/>
      <c r="F54" s="158" t="n"/>
      <c r="G54" s="158" t="n"/>
      <c r="H54" s="158" t="n"/>
      <c r="I54" s="158" t="n"/>
      <c r="J54" s="159" t="n"/>
    </row>
    <row r="55" ht="32" customHeight="1" s="2">
      <c r="A55" s="147" t="inlineStr">
        <is>
          <t>ConceptGraphs (official)</t>
        </is>
      </c>
      <c r="B55" s="147" t="inlineStr">
        <is>
          <t>Replica</t>
        </is>
      </c>
      <c r="C55" s="147" t="inlineStr">
        <is>
          <t>Zero-shot</t>
        </is>
      </c>
      <c r="D55" s="153" t="n">
        <v>0.4063</v>
      </c>
      <c r="E55" s="154" t="n"/>
      <c r="F55" s="153" t="n">
        <v>0.3595</v>
      </c>
      <c r="G55" s="154" t="n"/>
      <c r="H55" s="154" t="n"/>
      <c r="I55" s="154" t="n"/>
      <c r="J55" s="147" t="inlineStr">
        <is>
          <t>否</t>
        </is>
      </c>
    </row>
    <row r="56">
      <c r="A56" s="141" t="inlineStr">
        <is>
          <t>OVI-MAP</t>
        </is>
      </c>
      <c r="B56" s="141" t="inlineStr">
        <is>
          <t>Replica</t>
        </is>
      </c>
      <c r="C56" s="141" t="inlineStr">
        <is>
          <t>完整处理</t>
        </is>
      </c>
      <c r="D56" s="155" t="n">
        <v>0.322</v>
      </c>
      <c r="E56" s="155" t="n">
        <v>0.265</v>
      </c>
      <c r="F56" s="156" t="n"/>
      <c r="G56" s="155" t="n">
        <v>0.345</v>
      </c>
      <c r="H56" s="155" t="n">
        <v>0.212</v>
      </c>
      <c r="I56" s="155" t="n">
        <v>0.08500000000000001</v>
      </c>
      <c r="J56" s="141" t="inlineStr">
        <is>
          <t>否</t>
        </is>
      </c>
    </row>
    <row r="57">
      <c r="A57" s="128" t="inlineStr">
        <is>
          <t>OVI-MAP</t>
        </is>
      </c>
      <c r="B57" s="128" t="inlineStr">
        <is>
          <t>Replica</t>
        </is>
      </c>
      <c r="C57" s="128" t="inlineStr">
        <is>
          <t>30 FPS</t>
        </is>
      </c>
      <c r="D57" s="99" t="n">
        <v>0.325</v>
      </c>
      <c r="E57" s="99" t="n">
        <v>0.27</v>
      </c>
      <c r="F57" s="129" t="n"/>
      <c r="G57" s="99" t="n">
        <v>0.318</v>
      </c>
      <c r="H57" s="99" t="n">
        <v>0.177</v>
      </c>
      <c r="I57" s="99" t="n">
        <v>0.08</v>
      </c>
      <c r="J57" s="128" t="inlineStr">
        <is>
          <t>否</t>
        </is>
      </c>
    </row>
    <row r="58">
      <c r="A58" s="130" t="inlineStr">
        <is>
          <t>OVI-MAP</t>
        </is>
      </c>
      <c r="B58" s="130" t="inlineStr">
        <is>
          <t>ScanNet</t>
        </is>
      </c>
      <c r="C58" s="130" t="inlineStr">
        <is>
          <t>完整处理</t>
        </is>
      </c>
      <c r="D58" s="98" t="n">
        <v>0.276</v>
      </c>
      <c r="E58" s="98" t="n">
        <v>0.175</v>
      </c>
      <c r="F58" s="136" t="n"/>
      <c r="G58" s="98" t="n">
        <v>0.234</v>
      </c>
      <c r="H58" s="98" t="n">
        <v>0.157</v>
      </c>
      <c r="I58" s="98" t="n">
        <v>0.07199999999999999</v>
      </c>
      <c r="J58" s="130" t="inlineStr">
        <is>
          <t>否</t>
        </is>
      </c>
    </row>
    <row r="59">
      <c r="A59" s="128" t="inlineStr">
        <is>
          <t>OVI-MAP</t>
        </is>
      </c>
      <c r="B59" s="128" t="inlineStr">
        <is>
          <t>ScanNet</t>
        </is>
      </c>
      <c r="C59" s="128" t="inlineStr">
        <is>
          <t>30 FPS</t>
        </is>
      </c>
      <c r="D59" s="99" t="n">
        <v>0.254</v>
      </c>
      <c r="E59" s="99" t="n">
        <v>0.163</v>
      </c>
      <c r="F59" s="129" t="n"/>
      <c r="G59" s="99" t="n">
        <v>0.211</v>
      </c>
      <c r="H59" s="99" t="n">
        <v>0.144</v>
      </c>
      <c r="I59" s="99" t="n">
        <v>0.07000000000000001</v>
      </c>
      <c r="J59" s="128" t="inlineStr">
        <is>
          <t>否</t>
        </is>
      </c>
    </row>
    <row r="60">
      <c r="A60" s="130" t="inlineStr">
        <is>
          <t>来源</t>
        </is>
      </c>
      <c r="B60" s="130" t="inlineStr"/>
      <c r="C60" s="130" t="inlineStr"/>
      <c r="D60" s="130" t="n"/>
      <c r="E60" s="130" t="n"/>
      <c r="F60" s="130" t="n"/>
      <c r="G60" s="130" t="n"/>
      <c r="H60" s="130" t="n"/>
      <c r="I60" s="130" t="n"/>
      <c r="J60" s="157" t="inlineStr">
        <is>
          <t>论文 Table 3</t>
        </is>
      </c>
    </row>
  </sheetData>
  <mergeCells count="9">
    <mergeCell ref="A2:I2"/>
    <mergeCell ref="A1:I1"/>
    <mergeCell ref="A23:I23"/>
    <mergeCell ref="A53:J53"/>
    <mergeCell ref="A54:J54"/>
    <mergeCell ref="A50:I50"/>
    <mergeCell ref="A4:I4"/>
    <mergeCell ref="A52:J52"/>
    <mergeCell ref="A35:I35"/>
  </mergeCells>
  <hyperlinks>
    <hyperlink xmlns:r="http://schemas.openxmlformats.org/officeDocument/2006/relationships" ref="J60" r:id="rId1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37"/>
  <sheetViews>
    <sheetView showGridLines="0" workbookViewId="0">
      <selection activeCell="A1" sqref="A1"/>
    </sheetView>
  </sheetViews>
  <sheetFormatPr baseColWidth="8" defaultRowHeight="15"/>
  <cols>
    <col width="40" customWidth="1" style="2" min="1" max="1"/>
    <col width="20" customWidth="1" style="2" min="2" max="2"/>
    <col width="14" customWidth="1" style="2" min="3" max="3"/>
    <col width="18" customWidth="1" style="2" min="4" max="4"/>
    <col width="42" customWidth="1" style="2" min="5" max="5"/>
    <col width="28" customWidth="1" style="2" min="6" max="6"/>
  </cols>
  <sheetData>
    <row r="1" ht="30" customHeight="1" s="2">
      <c r="A1" s="25" t="inlineStr">
        <is>
          <t>其他已经完成的诊断与下游结果</t>
        </is>
      </c>
    </row>
    <row r="2" ht="34" customHeight="1" s="2">
      <c r="A2" s="26" t="inlineStr">
        <is>
          <t>这些结果已经实际运行并落盘，但不属于 Replica 8 场景语义/对象主 benchmark；ObjectNav 也不是官方 Habitat GT。</t>
        </is>
      </c>
    </row>
    <row r="3"/>
    <row r="4">
      <c r="A4" s="79" t="inlineStr">
        <is>
          <t>A. main room0 Stage 5/6 对象标签诊断</t>
        </is>
      </c>
      <c r="B4" s="23" t="n"/>
      <c r="C4" s="23" t="n"/>
      <c r="D4" s="23" t="n"/>
      <c r="E4" s="23" t="n"/>
      <c r="F4" s="24" t="n"/>
    </row>
    <row r="5">
      <c r="A5" s="7" t="inlineStr">
        <is>
          <t>指标</t>
        </is>
      </c>
      <c r="B5" s="7" t="inlineStr">
        <is>
          <t>数值</t>
        </is>
      </c>
      <c r="C5" s="7" t="inlineStr">
        <is>
          <t>单位</t>
        </is>
      </c>
      <c r="D5" s="7" t="inlineStr">
        <is>
          <t>范围</t>
        </is>
      </c>
      <c r="E5" s="7" t="inlineStr">
        <is>
          <t>口径</t>
        </is>
      </c>
      <c r="F5" s="7" t="inlineStr">
        <is>
          <t>定位</t>
        </is>
      </c>
    </row>
    <row r="6">
      <c r="A6" s="28" t="inlineStr">
        <is>
          <t>对象总数</t>
        </is>
      </c>
      <c r="B6" s="32" t="n">
        <v>75</v>
      </c>
      <c r="C6" s="28" t="inlineStr">
        <is>
          <t>个</t>
        </is>
      </c>
      <c r="D6" s="28" t="inlineStr">
        <is>
          <t>room0</t>
        </is>
      </c>
      <c r="E6" s="28" t="inlineStr">
        <is>
          <t>stage56_object_gt_audit_summary.json</t>
        </is>
      </c>
      <c r="F6" s="28" t="inlineStr">
        <is>
          <t>诊断</t>
        </is>
      </c>
    </row>
    <row r="7">
      <c r="A7" s="30" t="inlineStr">
        <is>
          <t>前景 majority 对象</t>
        </is>
      </c>
      <c r="B7" s="34" t="n">
        <v>44</v>
      </c>
      <c r="C7" s="30" t="inlineStr">
        <is>
          <t>个</t>
        </is>
      </c>
      <c r="D7" s="30" t="inlineStr">
        <is>
          <t>room0</t>
        </is>
      </c>
      <c r="E7" s="30" t="inlineStr">
        <is>
          <t>GT最近邻多数</t>
        </is>
      </c>
      <c r="F7" s="30" t="inlineStr">
        <is>
          <t>诊断</t>
        </is>
      </c>
    </row>
    <row r="8">
      <c r="A8" s="28" t="inlineStr">
        <is>
          <t>高纯度前景对象</t>
        </is>
      </c>
      <c r="B8" s="32" t="n">
        <v>44</v>
      </c>
      <c r="C8" s="28" t="inlineStr">
        <is>
          <t>个</t>
        </is>
      </c>
      <c r="D8" s="28" t="inlineStr">
        <is>
          <t>room0</t>
        </is>
      </c>
      <c r="E8" s="28" t="inlineStr">
        <is>
          <t>purity≥0.5 且近邻覆盖≥0.8</t>
        </is>
      </c>
      <c r="F8" s="28" t="inlineStr">
        <is>
          <t>诊断</t>
        </is>
      </c>
    </row>
    <row r="9">
      <c r="A9" s="30" t="inlineStr">
        <is>
          <t>有效高纯度前景对象</t>
        </is>
      </c>
      <c r="B9" s="34" t="n">
        <v>36</v>
      </c>
      <c r="C9" s="30" t="inlineStr">
        <is>
          <t>个</t>
        </is>
      </c>
      <c r="D9" s="30" t="inlineStr">
        <is>
          <t>room0</t>
        </is>
      </c>
      <c r="E9" s="30" t="inlineStr">
        <is>
          <t>排除 invalid</t>
        </is>
      </c>
      <c r="F9" s="30" t="inlineStr">
        <is>
          <t>诊断</t>
        </is>
      </c>
    </row>
    <row r="10">
      <c r="A10" s="28" t="inlineStr">
        <is>
          <t>Stage6 CLIP类别一致率（全部高纯度）</t>
        </is>
      </c>
      <c r="B10" s="29" t="n">
        <v>0.2954545455</v>
      </c>
      <c r="C10" s="28" t="inlineStr">
        <is>
          <t>%</t>
        </is>
      </c>
      <c r="D10" s="28" t="inlineStr">
        <is>
          <t>room0</t>
        </is>
      </c>
      <c r="E10" s="28" t="inlineStr">
        <is>
          <t>CLIP proxy</t>
        </is>
      </c>
      <c r="F10" s="28" t="inlineStr">
        <is>
          <t>非人工caption准确率</t>
        </is>
      </c>
    </row>
    <row r="11">
      <c r="A11" s="30" t="inlineStr">
        <is>
          <t>Stage6 CLIP类别一致率（有效对象）</t>
        </is>
      </c>
      <c r="B11" s="31" t="n">
        <v>0.3611111111</v>
      </c>
      <c r="C11" s="30" t="inlineStr">
        <is>
          <t>%</t>
        </is>
      </c>
      <c r="D11" s="30" t="inlineStr">
        <is>
          <t>room0</t>
        </is>
      </c>
      <c r="E11" s="30" t="inlineStr">
        <is>
          <t>CLIP proxy</t>
        </is>
      </c>
      <c r="F11" s="30" t="inlineStr">
        <is>
          <t>非人工caption准确率</t>
        </is>
      </c>
    </row>
    <row r="12">
      <c r="A12" s="28" t="inlineStr">
        <is>
          <t>Stage5 CLIP-majority一致率</t>
        </is>
      </c>
      <c r="B12" s="29" t="n">
        <v>0.275</v>
      </c>
      <c r="C12" s="28" t="inlineStr">
        <is>
          <t>%</t>
        </is>
      </c>
      <c r="D12" s="28" t="inlineStr">
        <is>
          <t>room0</t>
        </is>
      </c>
      <c r="E12" s="28" t="inlineStr">
        <is>
          <t>高纯度非空</t>
        </is>
      </c>
      <c r="F12" s="28" t="inlineStr">
        <is>
          <t>诊断</t>
        </is>
      </c>
    </row>
    <row r="13">
      <c r="A13" s="30" t="inlineStr">
        <is>
          <t>Stage5 caption加权一致率</t>
        </is>
      </c>
      <c r="B13" s="31" t="n">
        <v>0.2237569061</v>
      </c>
      <c r="C13" s="30" t="inlineStr">
        <is>
          <t>%</t>
        </is>
      </c>
      <c r="D13" s="30" t="inlineStr">
        <is>
          <t>room0</t>
        </is>
      </c>
      <c r="E13" s="30" t="inlineStr">
        <is>
          <t>高纯度非空</t>
        </is>
      </c>
      <c r="F13" s="30" t="inlineStr">
        <is>
          <t>诊断</t>
        </is>
      </c>
    </row>
    <row r="14">
      <c r="A14" s="28" t="inlineStr">
        <is>
          <t>invalid高纯度前景</t>
        </is>
      </c>
      <c r="B14" s="32" t="n">
        <v>8</v>
      </c>
      <c r="C14" s="28" t="inlineStr">
        <is>
          <t>个</t>
        </is>
      </c>
      <c r="D14" s="28" t="inlineStr">
        <is>
          <t>room0</t>
        </is>
      </c>
      <c r="E14" s="28" t="inlineStr">
        <is>
          <t>Stage6 invalid</t>
        </is>
      </c>
      <c r="F14" s="28" t="inlineStr">
        <is>
          <t>诊断</t>
        </is>
      </c>
    </row>
    <row r="15">
      <c r="A15" s="30" t="inlineStr">
        <is>
          <t>GT purity中位数</t>
        </is>
      </c>
      <c r="B15" s="31" t="n">
        <v>0.9252675448</v>
      </c>
      <c r="C15" s="30" t="inlineStr">
        <is>
          <t>%</t>
        </is>
      </c>
      <c r="D15" s="30" t="inlineStr">
        <is>
          <t>room0</t>
        </is>
      </c>
      <c r="E15" s="30" t="inlineStr">
        <is>
          <t>全部对象审计</t>
        </is>
      </c>
      <c r="F15" s="30" t="inlineStr">
        <is>
          <t>诊断</t>
        </is>
      </c>
    </row>
    <row r="16">
      <c r="A16" s="28" t="inlineStr">
        <is>
          <t>5cm内最近邻比例中位数</t>
        </is>
      </c>
      <c r="B16" s="29" t="n">
        <v>1</v>
      </c>
      <c r="C16" s="28" t="inlineStr">
        <is>
          <t>%</t>
        </is>
      </c>
      <c r="D16" s="28" t="inlineStr">
        <is>
          <t>room0</t>
        </is>
      </c>
      <c r="E16" s="28" t="inlineStr">
        <is>
          <t>几何覆盖</t>
        </is>
      </c>
      <c r="F16" s="28" t="inlineStr">
        <is>
          <t>诊断</t>
        </is>
      </c>
    </row>
    <row r="17">
      <c r="A17" s="30" t="inlineStr">
        <is>
          <t>caption consistency中位数</t>
        </is>
      </c>
      <c r="B17" s="31" t="n">
        <v>0.6186240017</v>
      </c>
      <c r="C17" s="30" t="inlineStr">
        <is>
          <t>%</t>
        </is>
      </c>
      <c r="D17" s="30" t="inlineStr">
        <is>
          <t>room0</t>
        </is>
      </c>
      <c r="E17" s="30" t="inlineStr">
        <is>
          <t>非空caption</t>
        </is>
      </c>
      <c r="F17" s="30" t="inlineStr">
        <is>
          <t>诊断</t>
        </is>
      </c>
    </row>
    <row r="18"/>
    <row r="19">
      <c r="A19" s="79" t="inlineStr">
        <is>
          <t>B. Stage 6 / Stage 7 执行完整性</t>
        </is>
      </c>
      <c r="B19" s="23" t="n"/>
      <c r="C19" s="23" t="n"/>
      <c r="D19" s="23" t="n"/>
      <c r="E19" s="23" t="n"/>
      <c r="F19" s="24" t="n"/>
    </row>
    <row r="20">
      <c r="A20" s="7" t="inlineStr">
        <is>
          <t>阶段</t>
        </is>
      </c>
      <c r="B20" s="7" t="inlineStr">
        <is>
          <t>模型</t>
        </is>
      </c>
      <c r="C20" s="7" t="inlineStr">
        <is>
          <t>成功/处理数</t>
        </is>
      </c>
      <c r="D20" s="7" t="inlineStr">
        <is>
          <t>失败</t>
        </is>
      </c>
      <c r="E20" s="7" t="inlineStr">
        <is>
          <t>总tokens</t>
        </is>
      </c>
      <c r="F20" s="7" t="inlineStr">
        <is>
          <t>耗时（s）</t>
        </is>
      </c>
    </row>
    <row r="21">
      <c r="A21" s="28" t="inlineStr">
        <is>
          <t>Stage6 refinement</t>
        </is>
      </c>
      <c r="B21" s="28" t="inlineStr">
        <is>
          <t>gpt-5.4</t>
        </is>
      </c>
      <c r="C21" s="32" t="n">
        <v>75</v>
      </c>
      <c r="D21" s="32" t="n">
        <v>0</v>
      </c>
      <c r="E21" s="32" t="n">
        <v>430056</v>
      </c>
      <c r="F21" s="33" t="n">
        <v>199.34</v>
      </c>
    </row>
    <row r="22">
      <c r="A22" s="30" t="inlineStr">
        <is>
          <t>Stage7 scene graph API</t>
        </is>
      </c>
      <c r="B22" s="30" t="inlineStr">
        <is>
          <t>gpt-5.4</t>
        </is>
      </c>
      <c r="C22" s="34" t="n">
        <v>43</v>
      </c>
      <c r="D22" s="34" t="n">
        <v>0</v>
      </c>
      <c r="E22" s="34" t="n">
        <v>209670</v>
      </c>
      <c r="F22" s="35" t="n">
        <v>269.672</v>
      </c>
    </row>
    <row r="23"/>
    <row r="24">
      <c r="A24" s="79" t="inlineStr">
        <is>
          <t>C. 单次 Habitat ObjectNav acceptance</t>
        </is>
      </c>
      <c r="B24" s="23" t="n"/>
      <c r="C24" s="23" t="n"/>
      <c r="D24" s="23" t="n"/>
      <c r="E24" s="23" t="n"/>
      <c r="F24" s="24" t="n"/>
    </row>
    <row r="25">
      <c r="A25" s="7" t="inlineStr">
        <is>
          <t>指标</t>
        </is>
      </c>
      <c r="B25" s="7" t="inlineStr">
        <is>
          <t>数值</t>
        </is>
      </c>
      <c r="C25" s="7" t="inlineStr">
        <is>
          <t>单位</t>
        </is>
      </c>
      <c r="D25" s="7" t="inlineStr">
        <is>
          <t>状态</t>
        </is>
      </c>
      <c r="E25" s="7" t="inlineStr">
        <is>
          <t>说明</t>
        </is>
      </c>
      <c r="F25" s="7" t="inlineStr">
        <is>
          <t>边界</t>
        </is>
      </c>
    </row>
    <row r="26">
      <c r="A26" s="28" t="inlineStr">
        <is>
          <t>success</t>
        </is>
      </c>
      <c r="B26" s="37" t="b">
        <v>1</v>
      </c>
      <c r="C26" s="28" t="inlineStr">
        <is>
          <t>布尔</t>
        </is>
      </c>
      <c r="D26" s="28" t="inlineStr">
        <is>
          <t>成功</t>
        </is>
      </c>
      <c r="E26" s="28" t="inlineStr">
        <is>
          <t>内部 predicted_object_visibility_v1</t>
        </is>
      </c>
      <c r="F26" s="28" t="inlineStr">
        <is>
          <t>非官方Habitat GT</t>
        </is>
      </c>
    </row>
    <row r="27">
      <c r="A27" s="30" t="inlineStr">
        <is>
          <t>SPL</t>
        </is>
      </c>
      <c r="B27" s="35" t="n">
        <v>1</v>
      </c>
      <c r="C27" s="30" t="inlineStr">
        <is>
          <t>比例</t>
        </is>
      </c>
      <c r="D27" s="30" t="inlineStr">
        <is>
          <t>成功</t>
        </is>
      </c>
      <c r="E27" s="30" t="inlineStr">
        <is>
          <t>单次run</t>
        </is>
      </c>
      <c r="F27" s="30" t="inlineStr">
        <is>
          <t>非官方Habitat GT</t>
        </is>
      </c>
    </row>
    <row r="28">
      <c r="A28" s="28" t="inlineStr">
        <is>
          <t>steps</t>
        </is>
      </c>
      <c r="B28" s="32" t="n">
        <v>56</v>
      </c>
      <c r="C28" s="28" t="inlineStr">
        <is>
          <t>步</t>
        </is>
      </c>
      <c r="D28" s="28" t="inlineStr">
        <is>
          <t>完成</t>
        </is>
      </c>
      <c r="E28" s="28" t="inlineStr">
        <is>
          <t>含17个final turn steps</t>
        </is>
      </c>
      <c r="F28" s="28" t="inlineStr"/>
    </row>
    <row r="29">
      <c r="A29" s="30" t="inlineStr">
        <is>
          <t>collisions</t>
        </is>
      </c>
      <c r="B29" s="34" t="n">
        <v>0</v>
      </c>
      <c r="C29" s="30" t="inlineStr">
        <is>
          <t>次</t>
        </is>
      </c>
      <c r="D29" s="30" t="inlineStr">
        <is>
          <t>完成</t>
        </is>
      </c>
      <c r="E29" s="30" t="inlineStr"/>
      <c r="F29" s="30" t="inlineStr"/>
    </row>
    <row r="30">
      <c r="A30" s="28" t="inlineStr">
        <is>
          <t>actual path length</t>
        </is>
      </c>
      <c r="B30" s="33" t="n">
        <v>4.7651646633</v>
      </c>
      <c r="C30" s="28" t="inlineStr">
        <is>
          <t>m</t>
        </is>
      </c>
      <c r="D30" s="28" t="inlineStr">
        <is>
          <t>完成</t>
        </is>
      </c>
      <c r="E30" s="28" t="inlineStr"/>
      <c r="F30" s="28" t="inlineStr"/>
    </row>
    <row r="31">
      <c r="A31" s="30" t="inlineStr">
        <is>
          <t>shortest path length</t>
        </is>
      </c>
      <c r="B31" s="35" t="n">
        <v>4.8850383759</v>
      </c>
      <c r="C31" s="30" t="inlineStr">
        <is>
          <t>m</t>
        </is>
      </c>
      <c r="D31" s="30" t="inlineStr">
        <is>
          <t>完成</t>
        </is>
      </c>
      <c r="E31" s="30" t="inlineStr"/>
      <c r="F31" s="30" t="inlineStr"/>
    </row>
    <row r="32">
      <c r="A32" s="28" t="inlineStr">
        <is>
          <t>final geodesic distance</t>
        </is>
      </c>
      <c r="B32" s="33" t="n">
        <v>0.0954954103</v>
      </c>
      <c r="C32" s="28" t="inlineStr">
        <is>
          <t>m</t>
        </is>
      </c>
      <c r="D32" s="28" t="inlineStr">
        <is>
          <t>完成</t>
        </is>
      </c>
      <c r="E32" s="28" t="inlineStr">
        <is>
          <t>success阈值0.35m</t>
        </is>
      </c>
      <c r="F32" s="28" t="inlineStr"/>
    </row>
    <row r="33">
      <c r="A33" s="30" t="inlineStr">
        <is>
          <t>CLIP similarity</t>
        </is>
      </c>
      <c r="B33" s="35" t="n">
        <v>0.2196352035</v>
      </c>
      <c r="C33" s="30" t="inlineStr">
        <is>
          <t>score</t>
        </is>
      </c>
      <c r="D33" s="30" t="inlineStr">
        <is>
          <t>完成</t>
        </is>
      </c>
      <c r="E33" s="30" t="inlineStr">
        <is>
          <t>selected_class=sofa chair</t>
        </is>
      </c>
      <c r="F33" s="30" t="inlineStr"/>
    </row>
    <row r="34">
      <c r="A34" s="28" t="inlineStr">
        <is>
          <t>target visible points</t>
        </is>
      </c>
      <c r="B34" s="32" t="n">
        <v>46</v>
      </c>
      <c r="C34" s="28" t="inlineStr">
        <is>
          <t>/128</t>
        </is>
      </c>
      <c r="D34" s="28" t="inlineStr">
        <is>
          <t>完成</t>
        </is>
      </c>
      <c r="E34" s="28" t="inlineStr">
        <is>
          <t>停止时目标可见</t>
        </is>
      </c>
      <c r="F34" s="28" t="inlineStr"/>
    </row>
    <row r="35">
      <c r="A35" s="30" t="inlineStr">
        <is>
          <t>official_habitat_objectnav_gt</t>
        </is>
      </c>
      <c r="B35" s="38" t="b">
        <v>0</v>
      </c>
      <c r="C35" s="30" t="inlineStr">
        <is>
          <t>布尔</t>
        </is>
      </c>
      <c r="D35" s="30" t="inlineStr">
        <is>
          <t>限制</t>
        </is>
      </c>
      <c r="E35" s="30" t="inlineStr">
        <is>
          <t>不能作为官方benchmark</t>
        </is>
      </c>
      <c r="F35" s="30" t="inlineStr">
        <is>
          <t>必须保留</t>
        </is>
      </c>
    </row>
    <row r="36"/>
    <row r="37" ht="34" customHeight="1" s="2">
      <c r="A37" s="80" t="inlineStr">
        <is>
          <t>ObjectNav 的 success/SPL 只表示该 acceptance run 完成；由于 official_habitat_objectnav_gt=false，不能与官方 Habitat ObjectNav 排名直接比较。</t>
        </is>
      </c>
      <c r="B37" s="23" t="n"/>
      <c r="C37" s="23" t="n"/>
      <c r="D37" s="23" t="n"/>
      <c r="E37" s="23" t="n"/>
      <c r="F37" s="24" t="n"/>
    </row>
  </sheetData>
  <mergeCells count="6">
    <mergeCell ref="A24:F24"/>
    <mergeCell ref="A2:F2"/>
    <mergeCell ref="A19:F19"/>
    <mergeCell ref="A1:F1"/>
    <mergeCell ref="A37:F37"/>
    <mergeCell ref="A4:F4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41"/>
  <sheetViews>
    <sheetView showGridLines="0" workbookViewId="0">
      <selection activeCell="A1" sqref="A1"/>
    </sheetView>
  </sheetViews>
  <sheetFormatPr baseColWidth="8" defaultRowHeight="15"/>
  <cols>
    <col width="32" customWidth="1" style="2" min="1" max="1"/>
    <col width="82" customWidth="1" style="2" min="2" max="2"/>
    <col width="48" customWidth="1" style="2" min="3" max="3"/>
    <col width="45" customWidth="1" style="2" min="4" max="4"/>
    <col width="18" customWidth="1" style="2" min="5" max="5"/>
    <col width="18" customWidth="1" style="2" min="6" max="6"/>
  </cols>
  <sheetData>
    <row r="1" ht="30" customHeight="1" s="2">
      <c r="A1" s="70" t="inlineStr">
        <is>
          <t>版本、证据路径与比较边界</t>
        </is>
      </c>
      <c r="B1" s="23" t="n"/>
      <c r="C1" s="23" t="n"/>
      <c r="D1" s="23" t="n"/>
      <c r="E1" s="23" t="n"/>
      <c r="F1" s="24" t="n"/>
    </row>
    <row r="2" ht="34" customHeight="1" s="2">
      <c r="A2" s="71" t="inlineStr">
        <is>
          <t>用于追溯每张表的服务器产物、分支版本和论文来源。</t>
        </is>
      </c>
      <c r="B2" s="23" t="n"/>
      <c r="C2" s="23" t="n"/>
      <c r="D2" s="23" t="n"/>
      <c r="E2" s="23" t="n"/>
      <c r="F2" s="24" t="n"/>
    </row>
    <row r="3"/>
    <row r="4" ht="22" customHeight="1" s="2">
      <c r="A4" s="72" t="inlineStr">
        <is>
          <t>A. 版本</t>
        </is>
      </c>
      <c r="B4" s="23" t="n"/>
      <c r="C4" s="23" t="n"/>
      <c r="D4" s="23" t="n"/>
      <c r="E4" s="23" t="n"/>
      <c r="F4" s="24" t="n"/>
    </row>
    <row r="5" ht="30" customHeight="1" s="2">
      <c r="A5" s="7" t="inlineStr">
        <is>
          <t>版本</t>
        </is>
      </c>
      <c r="B5" s="7" t="inlineStr">
        <is>
          <t>提交</t>
        </is>
      </c>
      <c r="C5" s="7" t="inlineStr">
        <is>
          <t>归属</t>
        </is>
      </c>
      <c r="D5" s="7" t="inlineStr">
        <is>
          <t>说明</t>
        </is>
      </c>
    </row>
    <row r="6" ht="24" customHeight="1" s="2">
      <c r="A6" s="8" t="inlineStr">
        <is>
          <t>main</t>
        </is>
      </c>
      <c r="B6" s="8" t="inlineStr">
        <is>
          <t>93277a02bd89171f8121e84203121cf7af9ebb5d</t>
        </is>
      </c>
      <c r="C6" s="8" t="inlineStr">
        <is>
          <t>严格 main 复现</t>
        </is>
      </c>
      <c r="D6" s="8" t="inlineStr">
        <is>
          <t>8场景语义/对象</t>
        </is>
      </c>
    </row>
    <row r="7" ht="24" customHeight="1" s="2">
      <c r="A7" s="12" t="inlineStr">
        <is>
          <t>ali-dev</t>
        </is>
      </c>
      <c r="B7" s="12" t="inlineStr">
        <is>
          <t>72f5962822b5e8678a446f367a06df1a977d2a4d</t>
        </is>
      </c>
      <c r="C7" s="12" t="inlineStr">
        <is>
          <t>严格结果仅 room0</t>
        </is>
      </c>
      <c r="D7" s="12" t="inlineStr">
        <is>
          <t>关系系统其余场景使用 ali-my 底图</t>
        </is>
      </c>
    </row>
    <row r="8" ht="24" customHeight="1" s="2">
      <c r="A8" s="8" t="inlineStr">
        <is>
          <t>ali-my</t>
        </is>
      </c>
      <c r="B8" s="8" t="inlineStr">
        <is>
          <t>bff233ff004939d2ecf4ac5546f87cb7b7b16e60</t>
        </is>
      </c>
      <c r="C8" s="8" t="inlineStr">
        <is>
          <t>exp/audit-validity-gate-v1</t>
        </is>
      </c>
      <c r="D8" s="8" t="inlineStr">
        <is>
          <t>8场景和两场景审计</t>
        </is>
      </c>
    </row>
    <row r="9" ht="24" customHeight="1" s="2">
      <c r="A9" s="12" t="inlineStr">
        <is>
          <t>ali-my-VLM</t>
        </is>
      </c>
      <c r="B9" s="12" t="inlineStr">
        <is>
          <t>4e4a3b7 / 02bf0e9 / 当前4c6e376</t>
        </is>
      </c>
      <c r="C9" s="12" t="inlineStr">
        <is>
          <t>全量97与派生图</t>
        </is>
      </c>
      <c r="D9" s="12" t="inlineStr">
        <is>
          <t>repair-aware 目录后缀 e150cbf</t>
        </is>
      </c>
    </row>
    <row r="10" ht="24" customHeight="1" s="2">
      <c r="A10" s="8" t="inlineStr">
        <is>
          <t>Revision v0/v1</t>
        </is>
      </c>
      <c r="B10" s="8" t="inlineStr">
        <is>
          <t>900f117 基线</t>
        </is>
      </c>
      <c r="C10" s="8" t="inlineStr">
        <is>
          <t>V1工作树当前有未提交实现改动</t>
        </is>
      </c>
      <c r="D10" s="8" t="inlineStr">
        <is>
          <t>结果绑定实验目录</t>
        </is>
      </c>
    </row>
    <row r="11"/>
    <row r="12" ht="22" customHeight="1" s="2">
      <c r="A12" s="72" t="inlineStr">
        <is>
          <t>B. 服务器证据入口</t>
        </is>
      </c>
      <c r="B12" s="23" t="n"/>
      <c r="C12" s="23" t="n"/>
      <c r="D12" s="23" t="n"/>
      <c r="E12" s="23" t="n"/>
      <c r="F12" s="24" t="n"/>
    </row>
    <row r="13" ht="30" customHeight="1" s="2">
      <c r="A13" s="7" t="inlineStr">
        <is>
          <t>实验</t>
        </is>
      </c>
      <c r="B13" s="7" t="inlineStr">
        <is>
          <t>服务器路径</t>
        </is>
      </c>
      <c r="C13" s="7" t="inlineStr">
        <is>
          <t>内容</t>
        </is>
      </c>
    </row>
    <row r="14" ht="24" customHeight="1" s="2">
      <c r="A14" s="8" t="inlineStr">
        <is>
          <t>8场景主评测</t>
        </is>
      </c>
      <c r="B14" s="8" t="inlineStr">
        <is>
          <t>/home/chenkejun/beauty/conceptgraphs/results/ali-my/paper_main_aligned_20260821</t>
        </is>
      </c>
      <c r="C14" s="8" t="inlineStr">
        <is>
          <t>语义、对象和对比汇总</t>
        </is>
      </c>
    </row>
    <row r="15" ht="24" customHeight="1" s="2">
      <c r="A15" s="12" t="inlineStr">
        <is>
          <t>ali-dev关系</t>
        </is>
      </c>
      <c r="B15" s="12" t="inlineStr">
        <is>
          <t>/home/chenkejun/beauty/conceptgraphs/experiments/ali-dev-relations/synced_8scene_gpt56sol_v1</t>
        </is>
      </c>
      <c r="C15" s="12" t="inlineStr">
        <is>
          <t>8场景关系主实验</t>
        </is>
      </c>
    </row>
    <row r="16" ht="24" customHeight="1" s="2">
      <c r="A16" s="8" t="inlineStr">
        <is>
          <t>严格ali-dev room0</t>
        </is>
      </c>
      <c r="B16" s="8" t="inlineStr">
        <is>
          <t>/home/chenkejun/beauty/conceptgraphs/results/ali-dev/replica_stride5/Replica/room0/relations_gpt56sol_synced_v1</t>
        </is>
      </c>
      <c r="C16" s="8" t="inlineStr">
        <is>
          <t>节点重映射与严格PCD复评</t>
        </is>
      </c>
    </row>
    <row r="17" ht="24" customHeight="1" s="2">
      <c r="A17" s="12" t="inlineStr">
        <is>
          <t>ali-my R1/R2</t>
        </is>
      </c>
      <c r="B17" s="12" t="inlineStr">
        <is>
          <t>/home/chenkejun/beauty/conceptgraphs/validation_gate_endpoint_v2_1/metrics</t>
        </is>
      </c>
      <c r="C17" s="12" t="inlineStr">
        <is>
          <t>incident_endpoint_metrics + r2_repeatability</t>
        </is>
      </c>
    </row>
    <row r="18" ht="24" customHeight="1" s="2">
      <c r="A18" s="8" t="inlineStr">
        <is>
          <t>VLM full97</t>
        </is>
      </c>
      <c r="B18" s="8" t="inlineStr">
        <is>
          <t>/home/chenkejun/beauty/conceptgraphs/experiments/ali-my-VLM/full_97_locked_v1</t>
        </is>
      </c>
      <c r="C18" s="8" t="inlineStr">
        <is>
          <t>evaluation_r1_frozen.json</t>
        </is>
      </c>
    </row>
    <row r="19" ht="24" customHeight="1" s="2">
      <c r="A19" s="12" t="inlineStr">
        <is>
          <t>VLM修复后</t>
        </is>
      </c>
      <c r="B19" s="12" t="inlineStr">
        <is>
          <t>/home/chenkejun/beauty/conceptgraphs/results/ali-my-VLM/repair_aware_2scene_20260821_e150cbf</t>
        </is>
      </c>
      <c r="C19" s="12" t="inlineStr">
        <is>
          <t>repair-aware summary</t>
        </is>
      </c>
    </row>
    <row r="20" ht="24" customHeight="1" s="2">
      <c r="A20" s="8" t="inlineStr">
        <is>
          <t>Revision v0</t>
        </is>
      </c>
      <c r="B20" s="8" t="inlineStr">
        <is>
          <t>/home/chenkejun/beauty/conceptgraphs/experiments/revision_v0_20260822</t>
        </is>
      </c>
      <c r="C20" s="8" t="inlineStr">
        <is>
          <t>room0 v0</t>
        </is>
      </c>
    </row>
    <row r="21" ht="24" customHeight="1" s="2">
      <c r="A21" s="12" t="inlineStr">
        <is>
          <t>Revision relation</t>
        </is>
      </c>
      <c r="B21" s="12" t="inlineStr">
        <is>
          <t>/home/chenkejun/beauty/conceptgraphs/experiments/revision_edges_make_true_room0_20260823</t>
        </is>
      </c>
      <c r="C21" s="12" t="inlineStr">
        <is>
          <t>非空关系流</t>
        </is>
      </c>
    </row>
    <row r="22" ht="24" customHeight="1" s="2">
      <c r="A22" s="8" t="inlineStr">
        <is>
          <t>Revision v1</t>
        </is>
      </c>
      <c r="B22" s="8" t="inlineStr">
        <is>
          <t>/home/chenkejun/beauty/conceptgraphs/experiments/revision_v1_20260823</t>
        </is>
      </c>
      <c r="C22" s="8" t="inlineStr">
        <is>
          <t>Primary/global/live fidelity</t>
        </is>
      </c>
    </row>
    <row r="23"/>
    <row r="24" ht="22" customHeight="1" s="2">
      <c r="A24" s="72" t="inlineStr">
        <is>
          <t>C. 本地报告与论文</t>
        </is>
      </c>
      <c r="B24" s="23" t="n"/>
      <c r="C24" s="23" t="n"/>
      <c r="D24" s="23" t="n"/>
      <c r="E24" s="23" t="n"/>
      <c r="F24" s="24" t="n"/>
    </row>
    <row r="25" ht="30" customHeight="1" s="2">
      <c r="A25" s="7" t="inlineStr">
        <is>
          <t>名称</t>
        </is>
      </c>
      <c r="B25" s="7" t="inlineStr">
        <is>
          <t>路径/链接</t>
        </is>
      </c>
    </row>
    <row r="26" ht="24" customHeight="1" s="2">
      <c r="A26" s="8" t="inlineStr">
        <is>
          <t>main/论文对比</t>
        </is>
      </c>
      <c r="B26" s="21" t="inlineStr">
        <is>
          <t>D:\Users\刘雯静\Downloads\Conceptgraphs\docs\ALI_DEV_MAIN_REPRODUCTION_VS_PAPER_20260822.md</t>
        </is>
      </c>
    </row>
    <row r="27" ht="24" customHeight="1" s="2">
      <c r="A27" s="12" t="inlineStr">
        <is>
          <t>ali-my 8场景</t>
        </is>
      </c>
      <c r="B27" s="22" t="inlineStr">
        <is>
          <t>D:\Users\刘雯静\Downloads\Conceptgraphs\docs\ALI_MY_PAPER_MAIN_ALIGNED_8SCENE_EVALUATION_20260821.md</t>
        </is>
      </c>
    </row>
    <row r="28" ht="24" customHeight="1" s="2">
      <c r="A28" s="8" t="inlineStr">
        <is>
          <t>ali-dev关系</t>
        </is>
      </c>
      <c r="B28" s="21" t="inlineStr">
        <is>
          <t>D:\Users\刘雯静\Downloads\Conceptgraphs\docs\ALI_DEV_RELATION_EDGES_EVALUATION_20260822.md</t>
        </is>
      </c>
    </row>
    <row r="29" ht="24" customHeight="1" s="2">
      <c r="A29" s="12" t="inlineStr">
        <is>
          <t>ali-my/VLM</t>
        </is>
      </c>
      <c r="B29" s="22" t="inlineStr">
        <is>
          <t>D:\Users\刘雯静\Downloads\Conceptgraphs\docs\ALI_MY_METRICS_EVALUATION_20260821.md</t>
        </is>
      </c>
    </row>
    <row r="30" ht="24" customHeight="1" s="2">
      <c r="A30" s="8" t="inlineStr">
        <is>
          <t>Revision v0</t>
        </is>
      </c>
      <c r="B30" s="21" t="inlineStr">
        <is>
          <t>D:\Users\刘雯静\Downloads\Conceptgraphs\docs\ALI_MY_REVISION_KERNEL_VALIDATION_SUMMARY_20260822.md</t>
        </is>
      </c>
    </row>
    <row r="31" ht="24" customHeight="1" s="2">
      <c r="A31" s="12" t="inlineStr">
        <is>
          <t>Revision v1</t>
        </is>
      </c>
      <c r="B31" s="22" t="inlineStr">
        <is>
          <t>D:\Users\刘雯静\Downloads\Conceptgraphs\docs\ALI_MY_REVISION_KERNEL_V1_IMPLEMENTATION_EVALUATION_20260823.md</t>
        </is>
      </c>
    </row>
    <row r="32" ht="24" customHeight="1" s="2">
      <c r="A32" s="8" t="inlineStr">
        <is>
          <t>ConceptGraphs论文</t>
        </is>
      </c>
      <c r="B32" s="21" t="inlineStr">
        <is>
          <t>https://arxiv.org/abs/2309.16650</t>
        </is>
      </c>
    </row>
    <row r="33"/>
    <row r="34" ht="22" customHeight="1" s="2">
      <c r="A34" s="72" t="inlineStr">
        <is>
          <t>D. 关键比较边界</t>
        </is>
      </c>
      <c r="B34" s="23" t="n"/>
      <c r="C34" s="23" t="n"/>
      <c r="D34" s="23" t="n"/>
      <c r="E34" s="23" t="n"/>
      <c r="F34" s="24" t="n"/>
    </row>
    <row r="35" ht="30" customHeight="1" s="2">
      <c r="A35" s="7" t="inlineStr">
        <is>
          <t>比较</t>
        </is>
      </c>
      <c r="B35" s="7" t="inlineStr">
        <is>
          <t>结论</t>
        </is>
      </c>
      <c r="C35" s="7" t="inlineStr">
        <is>
          <t>原因</t>
        </is>
      </c>
    </row>
    <row r="36" ht="24" customHeight="1" s="2">
      <c r="A36" s="8" t="inlineStr">
        <is>
          <t>论文 mAcc ↔ 本地 mRecall</t>
        </is>
      </c>
      <c r="B36" s="8" t="inlineStr">
        <is>
          <t>可直接对齐</t>
        </is>
      </c>
      <c r="C36" s="8" t="inlineStr">
        <is>
          <t>相同宏平均定义；Replica 8场景</t>
        </is>
      </c>
    </row>
    <row r="37" ht="24" customHeight="1" s="2">
      <c r="A37" s="12" t="inlineStr">
        <is>
          <t>论文 F-mIoU ↔ 本地 fwIoU</t>
        </is>
      </c>
      <c r="B37" s="12" t="inlineStr">
        <is>
          <t>可直接对齐</t>
        </is>
      </c>
      <c r="C37" s="12" t="inlineStr">
        <is>
          <t>相同频率加权 IoU 定义</t>
        </is>
      </c>
    </row>
    <row r="38" ht="24" customHeight="1" s="2">
      <c r="A38" s="8" t="inlineStr">
        <is>
          <t>论文 AMT Edge Precision ↔ ReplicaSSG闭世界P/R/F1</t>
        </is>
      </c>
      <c r="B38" s="8" t="inlineStr">
        <is>
          <t>不可直接比较</t>
        </is>
      </c>
      <c r="C38" s="8" t="inlineStr">
        <is>
          <t>人工开放词汇 vs 稀疏封闭GT</t>
        </is>
      </c>
    </row>
    <row r="39" ht="24" customHeight="1" s="2">
      <c r="A39" s="12" t="inlineStr">
        <is>
          <t>论文 Table III R@1/2/3 ↔ ReplicaSSG对象R@1/5</t>
        </is>
      </c>
      <c r="B39" s="12" t="inlineStr">
        <is>
          <t>不可直接比较</t>
        </is>
      </c>
      <c r="C39" s="12" t="inlineStr">
        <is>
          <t>文本查询检索 vs GT对象分类</t>
        </is>
      </c>
    </row>
    <row r="40" ht="24" customHeight="1" s="2">
      <c r="A40" s="8" t="inlineStr">
        <is>
          <t>严格 ali-dev ↔ ali-my派生8场景</t>
        </is>
      </c>
      <c r="B40" s="8" t="inlineStr">
        <is>
          <t>不能改名</t>
        </is>
      </c>
      <c r="C40" s="8" t="inlineStr">
        <is>
          <t>严格ali-dev目前仅room0</t>
        </is>
      </c>
    </row>
    <row r="41" ht="24" customHeight="1" s="2">
      <c r="A41" s="12" t="inlineStr">
        <is>
          <t>VLM map_class_name增益 ↔ 视觉特征增益</t>
        </is>
      </c>
      <c r="B41" s="12" t="inlineStr">
        <is>
          <t>不可等同</t>
        </is>
      </c>
      <c r="C41" s="12" t="inlineStr">
        <is>
          <t>native clip_ft指标未变；且存在8/19误修</t>
        </is>
      </c>
    </row>
  </sheetData>
  <mergeCells count="6">
    <mergeCell ref="A24:F24"/>
    <mergeCell ref="A2:F2"/>
    <mergeCell ref="A1:F1"/>
    <mergeCell ref="A34:F34"/>
    <mergeCell ref="A12:F12"/>
    <mergeCell ref="A4:F4"/>
  </mergeCells>
  <hyperlinks>
    <hyperlink xmlns:r="http://schemas.openxmlformats.org/officeDocument/2006/relationships" ref="B26" r:id="rId1"/>
    <hyperlink xmlns:r="http://schemas.openxmlformats.org/officeDocument/2006/relationships" ref="B27" r:id="rId2"/>
    <hyperlink xmlns:r="http://schemas.openxmlformats.org/officeDocument/2006/relationships" ref="B28" r:id="rId3"/>
    <hyperlink xmlns:r="http://schemas.openxmlformats.org/officeDocument/2006/relationships" ref="B29" r:id="rId4"/>
    <hyperlink xmlns:r="http://schemas.openxmlformats.org/officeDocument/2006/relationships" ref="B30" r:id="rId5"/>
    <hyperlink xmlns:r="http://schemas.openxmlformats.org/officeDocument/2006/relationships" ref="B31" r:id="rId6"/>
    <hyperlink xmlns:r="http://schemas.openxmlformats.org/officeDocument/2006/relationships" ref="B32" r:id="rId7"/>
  </hyperlink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tabColor rgb="00C00000"/>
    <outlinePr summaryBelow="1" summaryRight="1"/>
    <pageSetUpPr/>
  </sheetPr>
  <dimension ref="A1:H77"/>
  <sheetViews>
    <sheetView showGridLines="0" workbookViewId="0">
      <selection activeCell="A1" sqref="A1"/>
    </sheetView>
  </sheetViews>
  <sheetFormatPr baseColWidth="8" defaultRowHeight="15"/>
  <cols>
    <col width="14" customWidth="1" style="2" min="1" max="1"/>
    <col width="16" customWidth="1" style="2" min="2" max="2"/>
    <col width="15" customWidth="1" style="2" min="3" max="3"/>
    <col width="15" customWidth="1" style="2" min="4" max="4"/>
    <col width="15" customWidth="1" style="2" min="5" max="5"/>
    <col width="15" customWidth="1" style="2" min="6" max="6"/>
    <col width="15" customWidth="1" style="2" min="7" max="7"/>
    <col width="34" customWidth="1" style="2" min="8" max="8"/>
  </cols>
  <sheetData>
    <row r="1" ht="30" customHeight="1" s="2">
      <c r="A1" s="81" t="inlineStr">
        <is>
          <t>【旧版方法审计】三类错误 Oracle（保留追溯，不再作正式结论）</t>
        </is>
      </c>
    </row>
    <row r="2" ht="62" customHeight="1" s="2">
      <c r="A2" s="82" t="inlineStr">
        <is>
          <t>警告：本页旧 O1 的未匹配观测使用最终 B0 lineage，且只 gate purity 不 gate recall；旧 O3=1 为定义性上限，关系口径还混用了模型/候选集。本页精确 ρ 已作废；正式结论见“可修性对比总览/明细”。</t>
        </is>
      </c>
    </row>
    <row r="3">
      <c r="A3" s="68" t="n"/>
      <c r="B3" s="68" t="n"/>
      <c r="C3" s="68" t="n"/>
      <c r="D3" s="68" t="n"/>
      <c r="E3" s="68" t="n"/>
      <c r="F3" s="68" t="n"/>
      <c r="G3" s="68" t="n"/>
      <c r="H3" s="68" t="n"/>
    </row>
    <row r="4" ht="22" customHeight="1" s="2">
      <c r="A4" s="46" t="inlineStr">
        <is>
          <t>A. 最终结论与决策</t>
        </is>
      </c>
    </row>
    <row r="5" ht="42" customHeight="1" s="2">
      <c r="A5" s="51" t="inlineStr">
        <is>
          <t>最终判断</t>
        </is>
      </c>
      <c r="B5" s="83" t="inlineStr">
        <is>
          <t>【旧结论，不再引用精确值】定性上“最终关联+语义不足以修复主要差距”仍成立；但旧 ρ 与语义定量不可作正式证据。</t>
        </is>
      </c>
      <c r="C5" s="23" t="n"/>
      <c r="D5" s="23" t="n"/>
      <c r="E5" s="23" t="n"/>
      <c r="F5" s="23" t="n"/>
      <c r="G5" s="23" t="n"/>
      <c r="H5" s="24" t="n"/>
    </row>
    <row r="6" ht="34" customHeight="1" s="2">
      <c r="A6" s="56" t="inlineStr">
        <is>
          <t>核心证据</t>
        </is>
      </c>
      <c r="B6" s="83" t="inlineStr">
        <is>
          <t>【作废】旧宏平均 ρ、旧 Q 和旧 O3 数值只保留用于审计追溯。</t>
        </is>
      </c>
      <c r="C6" s="23" t="n"/>
      <c r="D6" s="23" t="n"/>
      <c r="E6" s="23" t="n"/>
      <c r="F6" s="23" t="n"/>
      <c r="G6" s="23" t="n"/>
      <c r="H6" s="24" t="n"/>
    </row>
    <row r="7" ht="34" customHeight="1" s="2">
      <c r="A7" s="51" t="inlineStr">
        <is>
          <t>工程优先级</t>
        </is>
      </c>
      <c r="B7" s="50" t="inlineStr">
        <is>
          <t>优先拆分漏检、mask 边界/覆盖、混合 mask；关系 top-1 校准单独处理；对象级重组与语义修正保留为次级模块。</t>
        </is>
      </c>
      <c r="C7" s="23" t="n"/>
      <c r="D7" s="23" t="n"/>
      <c r="E7" s="23" t="n"/>
      <c r="F7" s="23" t="n"/>
      <c r="G7" s="23" t="n"/>
      <c r="H7" s="24" t="n"/>
    </row>
    <row r="8" ht="34" customHeight="1" s="2">
      <c r="A8" s="56" t="inlineStr">
        <is>
          <t>结论强度</t>
        </is>
      </c>
      <c r="B8" s="55" t="inlineStr">
        <is>
          <t>这是 n=2 场景、固定当前检测/mask 的正式证据，足以否定“大幅提升”假设，但不是全数据集总体效应的最终估计。</t>
        </is>
      </c>
      <c r="C8" s="23" t="n"/>
      <c r="D8" s="23" t="n"/>
      <c r="E8" s="23" t="n"/>
      <c r="F8" s="23" t="n"/>
      <c r="G8" s="23" t="n"/>
      <c r="H8" s="24" t="n"/>
    </row>
    <row r="9">
      <c r="A9" s="68" t="n"/>
      <c r="B9" s="68" t="n"/>
      <c r="C9" s="68" t="n"/>
      <c r="D9" s="68" t="n"/>
      <c r="E9" s="68" t="n"/>
      <c r="F9" s="68" t="n"/>
      <c r="G9" s="68" t="n"/>
      <c r="H9" s="68" t="n"/>
    </row>
    <row r="10" ht="22" customHeight="1" s="2">
      <c r="A10" s="46" t="inlineStr">
        <is>
          <t>B. 主指标 Q 与差距覆盖率</t>
        </is>
      </c>
    </row>
    <row r="11" ht="28" customHeight="1" s="2">
      <c r="A11" s="61" t="inlineStr">
        <is>
          <t>场景</t>
        </is>
      </c>
      <c r="B11" s="61" t="inlineStr">
        <is>
          <t>B0 当前</t>
        </is>
      </c>
      <c r="C11" s="61" t="inlineStr">
        <is>
          <t>O1 重组</t>
        </is>
      </c>
      <c r="D11" s="61" t="inlineStr">
        <is>
          <t>O2 +真值语义</t>
        </is>
      </c>
      <c r="E11" s="61" t="inlineStr">
        <is>
          <t>O3 完美上限</t>
        </is>
      </c>
      <c r="F11" s="61" t="inlineStr">
        <is>
          <t>ρ</t>
        </is>
      </c>
      <c r="G11" s="61" t="inlineStr">
        <is>
          <t>判据</t>
        </is>
      </c>
      <c r="H11" s="61" t="inlineStr">
        <is>
          <t>解释</t>
        </is>
      </c>
    </row>
    <row r="12">
      <c r="A12" s="55" t="inlineStr">
        <is>
          <t>room0</t>
        </is>
      </c>
      <c r="B12" s="84" t="n">
        <v>0.2245416373811907</v>
      </c>
      <c r="C12" s="84" t="n">
        <v>0.1435832959643199</v>
      </c>
      <c r="D12" s="84" t="n">
        <v>0.2485832959643199</v>
      </c>
      <c r="E12" s="84" t="n">
        <v>0.95</v>
      </c>
      <c r="F12" s="84">
        <f>(D12-B12)/(E12-B12)</f>
        <v/>
      </c>
      <c r="G12" s="55">
        <f>IF(F12&gt;=0.6,"支持三类错误主路线",IF(F12&gt;=0.4,"需并行修复检测/mask","检测/mask主导"))</f>
        <v/>
      </c>
      <c r="H12" s="55" t="inlineStr">
        <is>
          <t>O1 退化，O2 仅略高于 B0</t>
        </is>
      </c>
    </row>
    <row r="13">
      <c r="A13" s="50" t="inlineStr">
        <is>
          <t>office0</t>
        </is>
      </c>
      <c r="B13" s="85" t="n">
        <v>0.1933221339375317</v>
      </c>
      <c r="C13" s="85" t="n">
        <v>0.07311236210830385</v>
      </c>
      <c r="D13" s="85" t="n">
        <v>0.1876956954416372</v>
      </c>
      <c r="E13" s="85" t="n">
        <v>0.90625</v>
      </c>
      <c r="F13" s="85">
        <f>(D13-B13)/(E13-B13)</f>
        <v/>
      </c>
      <c r="G13" s="50">
        <f>IF(F13&gt;=0.6,"支持三类错误主路线",IF(F13&gt;=0.4,"需并行修复检测/mask","检测/mask主导"))</f>
        <v/>
      </c>
      <c r="H13" s="50" t="inlineStr">
        <is>
          <t>O2 仍低于 B0</t>
        </is>
      </c>
    </row>
    <row r="14">
      <c r="A14" s="62" t="inlineStr">
        <is>
          <t>宏平均</t>
        </is>
      </c>
      <c r="B14" s="86">
        <f>F18</f>
        <v/>
      </c>
      <c r="C14" s="86">
        <f>F19</f>
        <v/>
      </c>
      <c r="D14" s="86">
        <f>F20</f>
        <v/>
      </c>
      <c r="E14" s="86">
        <f>F21</f>
        <v/>
      </c>
      <c r="F14" s="86">
        <f>(D14-B14)/(E14-B14)</f>
        <v/>
      </c>
      <c r="G14" s="62">
        <f>IF(F14&gt;=0.6,"支持三类错误主路线",IF(F14&gt;=0.4,"需并行修复检测/mask","检测/mask主导"))</f>
        <v/>
      </c>
      <c r="H14" s="62" t="inlineStr">
        <is>
          <t>总体仅覆盖 1.28% 的可改善空间</t>
        </is>
      </c>
    </row>
    <row r="15">
      <c r="A15" s="68" t="n"/>
      <c r="B15" s="68" t="n"/>
      <c r="C15" s="68" t="n"/>
      <c r="D15" s="68" t="n"/>
      <c r="E15" s="68" t="n"/>
      <c r="F15" s="68" t="n"/>
      <c r="G15" s="68" t="n"/>
      <c r="H15" s="68" t="n"/>
    </row>
    <row r="16" ht="22" customHeight="1" s="2">
      <c r="A16" s="46" t="inlineStr">
        <is>
          <t>C. 宏平均分项：几何、语义与关系</t>
        </is>
      </c>
    </row>
    <row r="17" ht="28" customHeight="1" s="2">
      <c r="A17" s="61" t="inlineStr">
        <is>
          <t>条件</t>
        </is>
      </c>
      <c r="B17" s="61" t="inlineStr">
        <is>
          <t>Instance AP</t>
        </is>
      </c>
      <c r="C17" s="61" t="inlineStr">
        <is>
          <t>节点 F1</t>
        </is>
      </c>
      <c r="D17" s="61" t="inlineStr">
        <is>
          <t>语义准确率</t>
        </is>
      </c>
      <c r="E17" s="61" t="inlineStr">
        <is>
          <t>关系 R@1</t>
        </is>
      </c>
      <c r="F17" s="61" t="inlineStr">
        <is>
          <t>Q</t>
        </is>
      </c>
      <c r="G17" s="61" t="inlineStr">
        <is>
          <t>几何均值</t>
        </is>
      </c>
      <c r="H17" s="61" t="inlineStr">
        <is>
          <t>说明</t>
        </is>
      </c>
    </row>
    <row r="18">
      <c r="A18" s="55" t="inlineStr">
        <is>
          <t>B0</t>
        </is>
      </c>
      <c r="B18" s="84" t="n">
        <v>0.008724963734083066</v>
      </c>
      <c r="C18" s="84" t="n">
        <v>0.06057400747479021</v>
      </c>
      <c r="D18" s="84" t="n">
        <v>0.07142857142857142</v>
      </c>
      <c r="E18" s="84" t="n">
        <v>0.695</v>
      </c>
      <c r="F18" s="84">
        <f>AVERAGE(B18:E18)</f>
        <v/>
      </c>
      <c r="G18" s="84">
        <f>AVERAGE(B18:C18)</f>
        <v/>
      </c>
      <c r="H18" s="55" t="inlineStr">
        <is>
          <t>当前系统</t>
        </is>
      </c>
    </row>
    <row r="19">
      <c r="A19" s="50" t="inlineStr">
        <is>
          <t>O1</t>
        </is>
      </c>
      <c r="B19" s="85" t="n">
        <v>0.02529185040043291</v>
      </c>
      <c r="C19" s="85" t="n">
        <v>0.1343494657448146</v>
      </c>
      <c r="D19" s="85" t="n">
        <v>0.1</v>
      </c>
      <c r="E19" s="85" t="n">
        <v>0.17375</v>
      </c>
      <c r="F19" s="85">
        <f>AVERAGE(B19:E19)</f>
        <v/>
      </c>
      <c r="G19" s="85">
        <f>AVERAGE(B19:C19)</f>
        <v/>
      </c>
      <c r="H19" s="50" t="inlineStr">
        <is>
          <t>重组后关系显著下降</t>
        </is>
      </c>
    </row>
    <row r="20">
      <c r="A20" s="55" t="inlineStr">
        <is>
          <t>O2</t>
        </is>
      </c>
      <c r="B20" s="84" t="n">
        <v>0.02529185040043291</v>
      </c>
      <c r="C20" s="84" t="n">
        <v>0.1343494657448146</v>
      </c>
      <c r="D20" s="84" t="n">
        <v>0.4166666666666666</v>
      </c>
      <c r="E20" s="84" t="n">
        <v>0.29625</v>
      </c>
      <c r="F20" s="84">
        <f>AVERAGE(B20:E20)</f>
        <v/>
      </c>
      <c r="G20" s="84">
        <f>AVERAGE(B20:C20)</f>
        <v/>
      </c>
      <c r="H20" s="55" t="inlineStr">
        <is>
          <t>真值语义不能补回几何与关系损失</t>
        </is>
      </c>
    </row>
    <row r="21">
      <c r="A21" s="50" t="inlineStr">
        <is>
          <t>O3</t>
        </is>
      </c>
      <c r="B21" s="85" t="n">
        <v>1</v>
      </c>
      <c r="C21" s="85" t="n">
        <v>1</v>
      </c>
      <c r="D21" s="85" t="n">
        <v>1</v>
      </c>
      <c r="E21" s="85" t="n">
        <v>0.7125</v>
      </c>
      <c r="F21" s="85">
        <f>AVERAGE(B21:E21)</f>
        <v/>
      </c>
      <c r="G21" s="85">
        <f>AVERAGE(B21:C21)</f>
        <v/>
      </c>
      <c r="H21" s="50" t="inlineStr">
        <is>
          <t>GT mask 上限仍受关系 R@1 限制</t>
        </is>
      </c>
    </row>
    <row r="22">
      <c r="A22" s="56" t="inlineStr">
        <is>
          <t>几何差距覆盖率</t>
        </is>
      </c>
      <c r="B22" s="84">
        <f>(G20-G18)/(G21-G18)</f>
        <v/>
      </c>
      <c r="C22" s="84" t="inlineStr">
        <is>
          <t>O2 相对 B0 只覆盖约 4.68% 的 AP/F1 剩余差距，进一步支持检测/mask 是主要局限。</t>
        </is>
      </c>
      <c r="D22" s="23" t="n"/>
      <c r="E22" s="23" t="n"/>
      <c r="F22" s="23" t="n"/>
      <c r="G22" s="23" t="n"/>
      <c r="H22" s="24" t="n"/>
    </row>
    <row r="23">
      <c r="A23" s="68" t="n"/>
      <c r="B23" s="68" t="n"/>
      <c r="C23" s="68" t="n"/>
      <c r="D23" s="68" t="n"/>
      <c r="E23" s="68" t="n"/>
      <c r="F23" s="68" t="n"/>
      <c r="G23" s="68" t="n"/>
      <c r="H23" s="68" t="n"/>
    </row>
    <row r="24" ht="22" customHeight="1" s="2">
      <c r="A24" s="46" t="inlineStr">
        <is>
          <t>D. 两场景分项原始结果</t>
        </is>
      </c>
    </row>
    <row r="25" ht="28" customHeight="1" s="2">
      <c r="A25" s="61" t="inlineStr">
        <is>
          <t>场景</t>
        </is>
      </c>
      <c r="B25" s="61" t="inlineStr">
        <is>
          <t>条件</t>
        </is>
      </c>
      <c r="C25" s="61" t="inlineStr">
        <is>
          <t>Instance AP</t>
        </is>
      </c>
      <c r="D25" s="61" t="inlineStr">
        <is>
          <t>节点 F1</t>
        </is>
      </c>
      <c r="E25" s="61" t="inlineStr">
        <is>
          <t>语义准确率</t>
        </is>
      </c>
      <c r="F25" s="61" t="inlineStr">
        <is>
          <t>关系 R@1</t>
        </is>
      </c>
      <c r="G25" s="61" t="inlineStr">
        <is>
          <t>Q</t>
        </is>
      </c>
      <c r="H25" s="61" t="inlineStr">
        <is>
          <t>备注</t>
        </is>
      </c>
    </row>
    <row r="26">
      <c r="A26" s="55" t="inlineStr">
        <is>
          <t>room0</t>
        </is>
      </c>
      <c r="B26" s="55" t="inlineStr">
        <is>
          <t>B0</t>
        </is>
      </c>
      <c r="C26" s="84" t="n">
        <v>0.01714989746516583</v>
      </c>
      <c r="D26" s="84" t="n">
        <v>0.09815950920245399</v>
      </c>
      <c r="E26" s="84" t="n">
        <v>0.1428571428571428</v>
      </c>
      <c r="F26" s="84" t="n">
        <v>0.64</v>
      </c>
      <c r="G26" s="84">
        <f>AVERAGE(C26:F26)</f>
        <v/>
      </c>
      <c r="H26" s="55" t="str"/>
    </row>
    <row r="27">
      <c r="A27" s="50" t="inlineStr">
        <is>
          <t>room0</t>
        </is>
      </c>
      <c r="B27" s="50" t="inlineStr">
        <is>
          <t>O1</t>
        </is>
      </c>
      <c r="C27" s="85" t="n">
        <v>0.03865750818160389</v>
      </c>
      <c r="D27" s="85" t="n">
        <v>0.1756756756756757</v>
      </c>
      <c r="E27" s="85" t="n">
        <v>0.2</v>
      </c>
      <c r="F27" s="85" t="n">
        <v>0.16</v>
      </c>
      <c r="G27" s="85">
        <f>AVERAGE(C27:F27)</f>
        <v/>
      </c>
      <c r="H27" s="50" t="str"/>
    </row>
    <row r="28">
      <c r="A28" s="55" t="inlineStr">
        <is>
          <t>room0</t>
        </is>
      </c>
      <c r="B28" s="55" t="inlineStr">
        <is>
          <t>O2</t>
        </is>
      </c>
      <c r="C28" s="84" t="n">
        <v>0.03865750818160389</v>
      </c>
      <c r="D28" s="84" t="n">
        <v>0.1756756756756757</v>
      </c>
      <c r="E28" s="84" t="n">
        <v>0.5</v>
      </c>
      <c r="F28" s="84" t="n">
        <v>0.28</v>
      </c>
      <c r="G28" s="84">
        <f>AVERAGE(C28:F28)</f>
        <v/>
      </c>
      <c r="H28" s="55" t="str"/>
    </row>
    <row r="29">
      <c r="A29" s="50" t="inlineStr">
        <is>
          <t>room0</t>
        </is>
      </c>
      <c r="B29" s="50" t="inlineStr">
        <is>
          <t>O3</t>
        </is>
      </c>
      <c r="C29" s="85" t="n">
        <v>1</v>
      </c>
      <c r="D29" s="85" t="n">
        <v>1</v>
      </c>
      <c r="E29" s="85" t="n">
        <v>1</v>
      </c>
      <c r="F29" s="85" t="n">
        <v>0.8</v>
      </c>
      <c r="G29" s="85">
        <f>AVERAGE(C29:F29)</f>
        <v/>
      </c>
      <c r="H29" s="50" t="str"/>
    </row>
    <row r="30">
      <c r="A30" s="55" t="inlineStr">
        <is>
          <t>office0</t>
        </is>
      </c>
      <c r="B30" s="55" t="inlineStr">
        <is>
          <t>B0</t>
        </is>
      </c>
      <c r="C30" s="84" t="n">
        <v>0.0003000300030003001</v>
      </c>
      <c r="D30" s="84" t="n">
        <v>0.02298850574712644</v>
      </c>
      <c r="E30" s="84" t="n">
        <v>0</v>
      </c>
      <c r="F30" s="84" t="n">
        <v>0.75</v>
      </c>
      <c r="G30" s="84">
        <f>AVERAGE(C30:F30)</f>
        <v/>
      </c>
      <c r="H30" s="55" t="inlineStr">
        <is>
          <t>语义分母为 0；按 0 进入 Q</t>
        </is>
      </c>
    </row>
    <row r="31">
      <c r="A31" s="50" t="inlineStr">
        <is>
          <t>office0</t>
        </is>
      </c>
      <c r="B31" s="50" t="inlineStr">
        <is>
          <t>O1</t>
        </is>
      </c>
      <c r="C31" s="85" t="n">
        <v>0.01192619261926193</v>
      </c>
      <c r="D31" s="85" t="n">
        <v>0.09302325581395349</v>
      </c>
      <c r="E31" s="85" t="n">
        <v>0</v>
      </c>
      <c r="F31" s="85" t="n">
        <v>0.1875</v>
      </c>
      <c r="G31" s="85">
        <f>AVERAGE(C31:F31)</f>
        <v/>
      </c>
      <c r="H31" s="50" t="str"/>
    </row>
    <row r="32">
      <c r="A32" s="55" t="inlineStr">
        <is>
          <t>office0</t>
        </is>
      </c>
      <c r="B32" s="55" t="inlineStr">
        <is>
          <t>O2</t>
        </is>
      </c>
      <c r="C32" s="84" t="n">
        <v>0.01192619261926193</v>
      </c>
      <c r="D32" s="84" t="n">
        <v>0.09302325581395349</v>
      </c>
      <c r="E32" s="84" t="n">
        <v>0.3333333333333333</v>
      </c>
      <c r="F32" s="84" t="n">
        <v>0.3125</v>
      </c>
      <c r="G32" s="84">
        <f>AVERAGE(C32:F32)</f>
        <v/>
      </c>
      <c r="H32" s="55" t="str"/>
    </row>
    <row r="33">
      <c r="A33" s="50" t="inlineStr">
        <is>
          <t>office0</t>
        </is>
      </c>
      <c r="B33" s="50" t="inlineStr">
        <is>
          <t>O3</t>
        </is>
      </c>
      <c r="C33" s="85" t="n">
        <v>1</v>
      </c>
      <c r="D33" s="85" t="n">
        <v>1</v>
      </c>
      <c r="E33" s="85" t="n">
        <v>1</v>
      </c>
      <c r="F33" s="85" t="n">
        <v>0.625</v>
      </c>
      <c r="G33" s="85">
        <f>AVERAGE(C33:F33)</f>
        <v/>
      </c>
      <c r="H33" s="50" t="str"/>
    </row>
    <row r="34">
      <c r="A34" s="68" t="n"/>
      <c r="B34" s="68" t="n"/>
      <c r="C34" s="68" t="n"/>
      <c r="D34" s="68" t="n"/>
      <c r="E34" s="68" t="n"/>
      <c r="F34" s="68" t="n"/>
      <c r="G34" s="68" t="n"/>
      <c r="H34" s="68" t="n"/>
    </row>
    <row r="35" ht="22" customHeight="1" s="2">
      <c r="A35" s="46" t="inlineStr">
        <is>
          <t>E. 体素大小敏感性（O1/O2）</t>
        </is>
      </c>
    </row>
    <row r="36" ht="28" customHeight="1" s="2">
      <c r="A36" s="61" t="inlineStr">
        <is>
          <t>场景</t>
        </is>
      </c>
      <c r="B36" s="61" t="inlineStr">
        <is>
          <t>体素(cm)</t>
        </is>
      </c>
      <c r="C36" s="61" t="inlineStr">
        <is>
          <t>O1 AP</t>
        </is>
      </c>
      <c r="D36" s="61" t="inlineStr">
        <is>
          <t>O1 F1</t>
        </is>
      </c>
      <c r="E36" s="61" t="inlineStr">
        <is>
          <t>O1 语义</t>
        </is>
      </c>
      <c r="F36" s="61" t="inlineStr">
        <is>
          <t>O2 语义</t>
        </is>
      </c>
      <c r="G36" s="61" t="inlineStr">
        <is>
          <t>语义增益</t>
        </is>
      </c>
      <c r="H36" s="61" t="inlineStr">
        <is>
          <t>解释</t>
        </is>
      </c>
    </row>
    <row r="37">
      <c r="A37" s="50" t="inlineStr">
        <is>
          <t>room0</t>
        </is>
      </c>
      <c r="B37" s="50" t="n">
        <v>1</v>
      </c>
      <c r="C37" s="85" t="n">
        <v>0.007917</v>
      </c>
      <c r="D37" s="85" t="n">
        <v>0.094595</v>
      </c>
      <c r="E37" s="85" t="n">
        <v>0.166667</v>
      </c>
      <c r="F37" s="85" t="n">
        <v>0.666667</v>
      </c>
      <c r="G37" s="85">
        <f>IF(COUNT(E37:F37)&lt;2,"",F37-E37)</f>
        <v/>
      </c>
      <c r="H37" s="50" t="inlineStr">
        <is>
          <t>更细体素语义更好，但几何更差</t>
        </is>
      </c>
    </row>
    <row r="38">
      <c r="A38" s="55" t="inlineStr">
        <is>
          <t>room0</t>
        </is>
      </c>
      <c r="B38" s="55" t="n">
        <v>2</v>
      </c>
      <c r="C38" s="84" t="n">
        <v>0.038658</v>
      </c>
      <c r="D38" s="84" t="n">
        <v>0.175676</v>
      </c>
      <c r="E38" s="84" t="n">
        <v>0.2</v>
      </c>
      <c r="F38" s="84" t="n">
        <v>0.5</v>
      </c>
      <c r="G38" s="84">
        <f>IF(COUNT(E38:F38)&lt;2,"",F38-E38)</f>
        <v/>
      </c>
      <c r="H38" s="55" t="inlineStr">
        <is>
          <t>主设置</t>
        </is>
      </c>
    </row>
    <row r="39">
      <c r="A39" s="50" t="inlineStr">
        <is>
          <t>room0</t>
        </is>
      </c>
      <c r="B39" s="50" t="n">
        <v>5</v>
      </c>
      <c r="C39" s="85" t="n">
        <v>0.050507</v>
      </c>
      <c r="D39" s="85" t="n">
        <v>0.22973</v>
      </c>
      <c r="E39" s="85" t="n">
        <v>0.230769</v>
      </c>
      <c r="F39" s="85" t="n">
        <v>0.461538</v>
      </c>
      <c r="G39" s="85">
        <f>IF(COUNT(E39:F39)&lt;2,"",F39-E39)</f>
        <v/>
      </c>
      <c r="H39" s="50" t="inlineStr">
        <is>
          <t>几何提升，语义增益下降</t>
        </is>
      </c>
    </row>
    <row r="40">
      <c r="A40" s="55" t="inlineStr">
        <is>
          <t>office0</t>
        </is>
      </c>
      <c r="B40" s="55" t="n">
        <v>1</v>
      </c>
      <c r="C40" s="84" t="n">
        <v>0</v>
      </c>
      <c r="D40" s="84" t="n">
        <v>0</v>
      </c>
      <c r="E40" s="84" t="n"/>
      <c r="F40" s="84" t="n"/>
      <c r="G40" s="84">
        <f>IF(COUNT(E40:F40)&lt;2,"",F40-E40)</f>
        <v/>
      </c>
      <c r="H40" s="55" t="inlineStr">
        <is>
          <t>无有效语义分母</t>
        </is>
      </c>
    </row>
    <row r="41">
      <c r="A41" s="50" t="inlineStr">
        <is>
          <t>office0</t>
        </is>
      </c>
      <c r="B41" s="50" t="n">
        <v>2</v>
      </c>
      <c r="C41" s="85" t="n">
        <v>0.011926</v>
      </c>
      <c r="D41" s="85" t="n">
        <v>0.09302299999999999</v>
      </c>
      <c r="E41" s="85" t="n">
        <v>0</v>
      </c>
      <c r="F41" s="85" t="n">
        <v>0.333333</v>
      </c>
      <c r="G41" s="85">
        <f>IF(COUNT(E41:F41)&lt;2,"",F41-E41)</f>
        <v/>
      </c>
      <c r="H41" s="50" t="inlineStr">
        <is>
          <t>主设置</t>
        </is>
      </c>
    </row>
    <row r="42">
      <c r="A42" s="55" t="inlineStr">
        <is>
          <t>office0</t>
        </is>
      </c>
      <c r="B42" s="55" t="n">
        <v>5</v>
      </c>
      <c r="C42" s="84" t="n">
        <v>0.013576</v>
      </c>
      <c r="D42" s="84" t="n">
        <v>0.09302299999999999</v>
      </c>
      <c r="E42" s="84" t="n">
        <v>0.25</v>
      </c>
      <c r="F42" s="84" t="n">
        <v>0.5</v>
      </c>
      <c r="G42" s="84">
        <f>IF(COUNT(E42:F42)&lt;2,"",F42-E42)</f>
        <v/>
      </c>
      <c r="H42" s="55" t="inlineStr">
        <is>
          <t>改善有限</t>
        </is>
      </c>
    </row>
    <row r="43">
      <c r="A43" s="68" t="n"/>
      <c r="B43" s="68" t="n"/>
      <c r="C43" s="68" t="n"/>
      <c r="D43" s="68" t="n"/>
      <c r="E43" s="68" t="n"/>
      <c r="F43" s="68" t="n"/>
      <c r="G43" s="68" t="n"/>
      <c r="H43" s="68" t="n"/>
    </row>
    <row r="44" ht="22" customHeight="1" s="2">
      <c r="A44" s="46" t="inlineStr">
        <is>
          <t>F. 纯度阈值敏感性（O1/O2）</t>
        </is>
      </c>
    </row>
    <row r="45" ht="28" customHeight="1" s="2">
      <c r="A45" s="61" t="inlineStr">
        <is>
          <t>场景</t>
        </is>
      </c>
      <c r="B45" s="61" t="inlineStr">
        <is>
          <t>纯度阈值</t>
        </is>
      </c>
      <c r="C45" s="61" t="inlineStr">
        <is>
          <t>O1 AP</t>
        </is>
      </c>
      <c r="D45" s="61" t="inlineStr">
        <is>
          <t>O1 F1</t>
        </is>
      </c>
      <c r="E45" s="61" t="inlineStr">
        <is>
          <t>O1 语义</t>
        </is>
      </c>
      <c r="F45" s="61" t="inlineStr">
        <is>
          <t>O2 语义</t>
        </is>
      </c>
      <c r="G45" s="61" t="inlineStr">
        <is>
          <t>语义增益</t>
        </is>
      </c>
      <c r="H45" s="61" t="inlineStr">
        <is>
          <t>解释</t>
        </is>
      </c>
    </row>
    <row r="46">
      <c r="A46" s="55" t="inlineStr">
        <is>
          <t>room0</t>
        </is>
      </c>
      <c r="B46" s="84" t="n">
        <v>0.25</v>
      </c>
      <c r="C46" s="84" t="n">
        <v>0.041559</v>
      </c>
      <c r="D46" s="84" t="n">
        <v>0.19403</v>
      </c>
      <c r="E46" s="84" t="n">
        <v>0.3</v>
      </c>
      <c r="F46" s="84" t="n">
        <v>0.9</v>
      </c>
      <c r="G46" s="84">
        <f>F46-E46</f>
        <v/>
      </c>
      <c r="H46" s="55" t="inlineStr">
        <is>
          <t>语义提升最大，但仍不解决 mask 上限</t>
        </is>
      </c>
    </row>
    <row r="47">
      <c r="A47" s="50" t="inlineStr">
        <is>
          <t>room0</t>
        </is>
      </c>
      <c r="B47" s="85" t="n">
        <v>0.5</v>
      </c>
      <c r="C47" s="85" t="n">
        <v>0.038658</v>
      </c>
      <c r="D47" s="85" t="n">
        <v>0.175676</v>
      </c>
      <c r="E47" s="85" t="n">
        <v>0.2</v>
      </c>
      <c r="F47" s="85" t="n">
        <v>0.5</v>
      </c>
      <c r="G47" s="85">
        <f>F47-E47</f>
        <v/>
      </c>
      <c r="H47" s="50" t="inlineStr">
        <is>
          <t>主设置</t>
        </is>
      </c>
    </row>
    <row r="48">
      <c r="A48" s="55" t="inlineStr">
        <is>
          <t>room0</t>
        </is>
      </c>
      <c r="B48" s="84" t="n">
        <v>0.75</v>
      </c>
      <c r="C48" s="84" t="n">
        <v>0.016105</v>
      </c>
      <c r="D48" s="84" t="n">
        <v>0.127389</v>
      </c>
      <c r="E48" s="84" t="n">
        <v>0.375</v>
      </c>
      <c r="F48" s="84" t="n">
        <v>0.375</v>
      </c>
      <c r="G48" s="84">
        <f>F48-E48</f>
        <v/>
      </c>
      <c r="H48" s="55" t="inlineStr">
        <is>
          <t>过严后无增益</t>
        </is>
      </c>
    </row>
    <row r="49">
      <c r="A49" s="50" t="inlineStr">
        <is>
          <t>office0</t>
        </is>
      </c>
      <c r="B49" s="85" t="n">
        <v>0.25</v>
      </c>
      <c r="C49" s="85" t="n">
        <v>0.011406</v>
      </c>
      <c r="D49" s="85" t="n">
        <v>0.085714</v>
      </c>
      <c r="E49" s="85" t="n">
        <v>0.333333</v>
      </c>
      <c r="F49" s="85" t="n">
        <v>1</v>
      </c>
      <c r="G49" s="85">
        <f>F49-E49</f>
        <v/>
      </c>
      <c r="H49" s="50" t="inlineStr">
        <is>
          <t>语义提升但几何低</t>
        </is>
      </c>
    </row>
    <row r="50">
      <c r="A50" s="55" t="inlineStr">
        <is>
          <t>office0</t>
        </is>
      </c>
      <c r="B50" s="84" t="n">
        <v>0.5</v>
      </c>
      <c r="C50" s="84" t="n">
        <v>0.011926</v>
      </c>
      <c r="D50" s="84" t="n">
        <v>0.09302299999999999</v>
      </c>
      <c r="E50" s="84" t="n">
        <v>0</v>
      </c>
      <c r="F50" s="84" t="n">
        <v>0.333333</v>
      </c>
      <c r="G50" s="84">
        <f>F50-E50</f>
        <v/>
      </c>
      <c r="H50" s="55" t="inlineStr">
        <is>
          <t>主设置</t>
        </is>
      </c>
    </row>
    <row r="51">
      <c r="A51" s="50" t="inlineStr">
        <is>
          <t>office0</t>
        </is>
      </c>
      <c r="B51" s="85" t="n">
        <v>0.75</v>
      </c>
      <c r="C51" s="85" t="n">
        <v>0.006601</v>
      </c>
      <c r="D51" s="85" t="n">
        <v>0.043478</v>
      </c>
      <c r="E51" s="85" t="n">
        <v>0</v>
      </c>
      <c r="F51" s="85" t="n">
        <v>0</v>
      </c>
      <c r="G51" s="85">
        <f>F51-E51</f>
        <v/>
      </c>
      <c r="H51" s="50" t="inlineStr">
        <is>
          <t>过严导致退化</t>
        </is>
      </c>
    </row>
    <row r="52">
      <c r="A52" s="68" t="n"/>
      <c r="B52" s="68" t="n"/>
      <c r="C52" s="68" t="n"/>
      <c r="D52" s="68" t="n"/>
      <c r="E52" s="68" t="n"/>
      <c r="F52" s="68" t="n"/>
      <c r="G52" s="68" t="n"/>
      <c r="H52" s="68" t="n"/>
    </row>
    <row r="53" ht="22" customHeight="1" s="2">
      <c r="A53" s="46" t="inlineStr">
        <is>
          <t>G. 关系指标：另一项独立限制</t>
        </is>
      </c>
    </row>
    <row r="54" ht="28" customHeight="1" s="2">
      <c r="A54" s="61" t="inlineStr">
        <is>
          <t>场景</t>
        </is>
      </c>
      <c r="B54" s="61" t="inlineStr">
        <is>
          <t>B0 R@1</t>
        </is>
      </c>
      <c r="C54" s="61" t="inlineStr">
        <is>
          <t>O1 R@1</t>
        </is>
      </c>
      <c r="D54" s="61" t="inlineStr">
        <is>
          <t>O2 R@1</t>
        </is>
      </c>
      <c r="E54" s="61" t="inlineStr">
        <is>
          <t>O3 R@1</t>
        </is>
      </c>
      <c r="F54" s="61" t="inlineStr">
        <is>
          <t>端点审计</t>
        </is>
      </c>
      <c r="G54" s="61" t="inlineStr">
        <is>
          <t>额外结果</t>
        </is>
      </c>
      <c r="H54" s="61" t="inlineStr">
        <is>
          <t>结论</t>
        </is>
      </c>
    </row>
    <row r="55">
      <c r="A55" s="50" t="inlineStr">
        <is>
          <t>room0</t>
        </is>
      </c>
      <c r="B55" s="85" t="n">
        <v>0.64</v>
      </c>
      <c r="C55" s="85" t="n">
        <v>0.16</v>
      </c>
      <c r="D55" s="85" t="n">
        <v>0.28</v>
      </c>
      <c r="E55" s="85" t="n">
        <v>0.8</v>
      </c>
      <c r="F55" s="50" t="inlineStr">
        <is>
          <t>25/25</t>
        </is>
      </c>
      <c r="G55" s="50" t="inlineStr">
        <is>
          <t>O3 closed-world export：Recall 4%，F1 2%</t>
        </is>
      </c>
      <c r="H55" s="50" t="inlineStr">
        <is>
          <t>重组后 top-1 关系退化；需要独立校准</t>
        </is>
      </c>
    </row>
    <row r="56">
      <c r="A56" s="55" t="inlineStr">
        <is>
          <t>office0</t>
        </is>
      </c>
      <c r="B56" s="84" t="n">
        <v>0.75</v>
      </c>
      <c r="C56" s="84" t="n">
        <v>0.1875</v>
      </c>
      <c r="D56" s="84" t="n">
        <v>0.3125</v>
      </c>
      <c r="E56" s="84" t="n">
        <v>0.625</v>
      </c>
      <c r="F56" s="55" t="inlineStr">
        <is>
          <t>16/16</t>
        </is>
      </c>
      <c r="G56" s="55" t="inlineStr">
        <is>
          <t>O3 仍只有 62.5% R@1</t>
        </is>
      </c>
      <c r="H56" s="55" t="inlineStr">
        <is>
          <t>即使 GT mask，关系也未到完美</t>
        </is>
      </c>
    </row>
    <row r="57">
      <c r="A57" s="68" t="n"/>
      <c r="B57" s="68" t="n"/>
      <c r="C57" s="68" t="n"/>
      <c r="D57" s="68" t="n"/>
      <c r="E57" s="68" t="n"/>
      <c r="F57" s="68" t="n"/>
      <c r="G57" s="68" t="n"/>
      <c r="H57" s="68" t="n"/>
    </row>
    <row r="58" ht="22" customHeight="1" s="2">
      <c r="A58" s="46" t="inlineStr">
        <is>
          <t>H. LLaVA→GPT 语义消融</t>
        </is>
      </c>
    </row>
    <row r="59" ht="28" customHeight="1" s="2">
      <c r="A59" s="61" t="inlineStr">
        <is>
          <t>场景</t>
        </is>
      </c>
      <c r="B59" s="61" t="inlineStr">
        <is>
          <t>分支</t>
        </is>
      </c>
      <c r="C59" s="61" t="inlineStr">
        <is>
          <t>已应用</t>
        </is>
      </c>
      <c r="D59" s="61" t="inlineStr">
        <is>
          <t>可评样本</t>
        </is>
      </c>
      <c r="E59" s="61" t="inlineStr">
        <is>
          <t>应用率</t>
        </is>
      </c>
      <c r="F59" s="61" t="inlineStr">
        <is>
          <t>模型覆盖</t>
        </is>
      </c>
      <c r="G59" s="61" t="inlineStr">
        <is>
          <t>模型可评</t>
        </is>
      </c>
      <c r="H59" s="61" t="inlineStr">
        <is>
          <t>解释</t>
        </is>
      </c>
    </row>
    <row r="60">
      <c r="A60" s="55" t="inlineStr">
        <is>
          <t>room0</t>
        </is>
      </c>
      <c r="B60" s="55" t="inlineStr">
        <is>
          <t>GPT-only</t>
        </is>
      </c>
      <c r="C60" s="55" t="n">
        <v>1</v>
      </c>
      <c r="D60" s="55" t="n">
        <v>18</v>
      </c>
      <c r="E60" s="84">
        <f>C60/D60</f>
        <v/>
      </c>
      <c r="F60" s="55" t="n">
        <v>0</v>
      </c>
      <c r="G60" s="55" t="n">
        <v>16</v>
      </c>
      <c r="H60" s="55" t="inlineStr">
        <is>
          <t>仅 1 个修正被采用；模型可覆盖项为 0</t>
        </is>
      </c>
    </row>
    <row r="61">
      <c r="A61" s="50" t="inlineStr">
        <is>
          <t>room0</t>
        </is>
      </c>
      <c r="B61" s="50" t="inlineStr">
        <is>
          <t>LLaVA+GPT</t>
        </is>
      </c>
      <c r="C61" s="50" t="n">
        <v>1</v>
      </c>
      <c r="D61" s="50" t="n">
        <v>18</v>
      </c>
      <c r="E61" s="85">
        <f>C61/D61</f>
        <v/>
      </c>
      <c r="F61" s="50" t="n">
        <v>0</v>
      </c>
      <c r="G61" s="50" t="n">
        <v>15</v>
      </c>
      <c r="H61" s="50" t="inlineStr">
        <is>
          <t>与 GPT-only 相同</t>
        </is>
      </c>
    </row>
    <row r="62">
      <c r="A62" s="55" t="inlineStr">
        <is>
          <t>office0</t>
        </is>
      </c>
      <c r="B62" s="55" t="inlineStr">
        <is>
          <t>GPT-only</t>
        </is>
      </c>
      <c r="C62" s="55" t="n">
        <v>0</v>
      </c>
      <c r="D62" s="55" t="n">
        <v>8</v>
      </c>
      <c r="E62" s="84">
        <f>C62/D62</f>
        <v/>
      </c>
      <c r="F62" s="55" t="n">
        <v>0</v>
      </c>
      <c r="G62" s="55" t="n">
        <v>7</v>
      </c>
      <c r="H62" s="55" t="inlineStr">
        <is>
          <t>没有修正被采用</t>
        </is>
      </c>
    </row>
    <row r="63">
      <c r="A63" s="50" t="inlineStr">
        <is>
          <t>office0</t>
        </is>
      </c>
      <c r="B63" s="50" t="inlineStr">
        <is>
          <t>LLaVA+GPT</t>
        </is>
      </c>
      <c r="C63" s="50" t="n">
        <v>0</v>
      </c>
      <c r="D63" s="50" t="n">
        <v>8</v>
      </c>
      <c r="E63" s="85">
        <f>C63/D63</f>
        <v/>
      </c>
      <c r="F63" s="50" t="n">
        <v>0</v>
      </c>
      <c r="G63" s="50" t="n">
        <v>6</v>
      </c>
      <c r="H63" s="50" t="inlineStr">
        <is>
          <t>没有修正被采用</t>
        </is>
      </c>
    </row>
    <row r="64">
      <c r="A64" s="68" t="n"/>
      <c r="B64" s="68" t="n"/>
      <c r="C64" s="68" t="n"/>
      <c r="D64" s="68" t="n"/>
      <c r="E64" s="68" t="n"/>
      <c r="F64" s="68" t="n"/>
      <c r="G64" s="68" t="n"/>
      <c r="H64" s="68" t="n"/>
    </row>
    <row r="65" ht="22" customHeight="1" s="2">
      <c r="A65" s="46" t="inlineStr">
        <is>
          <t>I. 运行规模与审计</t>
        </is>
      </c>
    </row>
    <row r="66" ht="28" customHeight="1" s="2">
      <c r="A66" s="61" t="inlineStr">
        <is>
          <t>项目</t>
        </is>
      </c>
      <c r="B66" s="61" t="inlineStr">
        <is>
          <t>数值</t>
        </is>
      </c>
      <c r="C66" s="61" t="inlineStr">
        <is>
          <t>单位</t>
        </is>
      </c>
      <c r="D66" s="61" t="inlineStr">
        <is>
          <t>范围</t>
        </is>
      </c>
      <c r="E66" s="61" t="inlineStr">
        <is>
          <t>来源/审计</t>
        </is>
      </c>
      <c r="F66" s="61" t="inlineStr">
        <is>
          <t>模型</t>
        </is>
      </c>
      <c r="G66" s="61" t="inlineStr">
        <is>
          <t>状态</t>
        </is>
      </c>
      <c r="H66" s="61" t="inlineStr">
        <is>
          <t>说明</t>
        </is>
      </c>
    </row>
    <row r="67">
      <c r="A67" s="50" t="inlineStr">
        <is>
          <t>关系预测</t>
        </is>
      </c>
      <c r="B67" s="87" t="n">
        <v>6507</v>
      </c>
      <c r="C67" s="50" t="inlineStr">
        <is>
          <t>次</t>
        </is>
      </c>
      <c r="D67" s="50" t="inlineStr">
        <is>
          <t>两场景</t>
        </is>
      </c>
      <c r="E67" s="50" t="inlineStr">
        <is>
          <t>正式运行记录</t>
        </is>
      </c>
      <c r="F67" s="50" t="inlineStr">
        <is>
          <t>5.6 sol/terra 混合</t>
        </is>
      </c>
      <c r="G67" s="50" t="inlineStr">
        <is>
          <t>完成</t>
        </is>
      </c>
      <c r="H67" s="50" t="inlineStr">
        <is>
          <t>总 token 27,384,967</t>
        </is>
      </c>
    </row>
    <row r="68">
      <c r="A68" s="55" t="inlineStr">
        <is>
          <t>关系 token</t>
        </is>
      </c>
      <c r="B68" s="88" t="n">
        <v>27384967</v>
      </c>
      <c r="C68" s="55" t="inlineStr">
        <is>
          <t>tokens</t>
        </is>
      </c>
      <c r="D68" s="55" t="inlineStr">
        <is>
          <t>两场景</t>
        </is>
      </c>
      <c r="E68" s="55" t="inlineStr">
        <is>
          <t>prompt 22,854,999</t>
        </is>
      </c>
      <c r="F68" s="55" t="inlineStr">
        <is>
          <t>completion 4,529,968</t>
        </is>
      </c>
      <c r="G68" s="55" t="inlineStr">
        <is>
          <t>完成</t>
        </is>
      </c>
      <c r="H68" s="55" t="inlineStr">
        <is>
          <t>五个 API 并行</t>
        </is>
      </c>
    </row>
    <row r="69">
      <c r="A69" s="50" t="inlineStr">
        <is>
          <t>语义记录</t>
        </is>
      </c>
      <c r="B69" s="87" t="n">
        <v>156</v>
      </c>
      <c r="C69" s="50" t="inlineStr">
        <is>
          <t>条</t>
        </is>
      </c>
      <c r="D69" s="50" t="inlineStr">
        <is>
          <t>两场景</t>
        </is>
      </c>
      <c r="E69" s="50" t="inlineStr">
        <is>
          <t>总 token 223,924</t>
        </is>
      </c>
      <c r="F69" s="50" t="inlineStr">
        <is>
          <t>GPT/LLaVA 消融</t>
        </is>
      </c>
      <c r="G69" s="50" t="inlineStr">
        <is>
          <t>完成</t>
        </is>
      </c>
      <c r="H69" s="50" t="str"/>
    </row>
    <row r="70">
      <c r="A70" s="55" t="inlineStr">
        <is>
          <t>room0 O3 重跑</t>
        </is>
      </c>
      <c r="B70" s="88" t="n">
        <v>2330</v>
      </c>
      <c r="C70" s="55" t="inlineStr">
        <is>
          <t>条</t>
        </is>
      </c>
      <c r="D70" s="55" t="inlineStr">
        <is>
          <t>room0</t>
        </is>
      </c>
      <c r="E70" s="55" t="inlineStr">
        <is>
          <t>2330/2330 完整审计</t>
        </is>
      </c>
      <c r="F70" s="55" t="inlineStr">
        <is>
          <t>2137 sol + 193 terra</t>
        </is>
      </c>
      <c r="G70" s="55" t="inlineStr">
        <is>
          <t>稳健</t>
        </is>
      </c>
      <c r="H70" s="55" t="inlineStr">
        <is>
          <t>混用不改变主结论</t>
        </is>
      </c>
    </row>
    <row r="71">
      <c r="A71" s="68" t="n"/>
      <c r="B71" s="68" t="n"/>
      <c r="C71" s="68" t="n"/>
      <c r="D71" s="68" t="n"/>
      <c r="E71" s="68" t="n"/>
      <c r="F71" s="68" t="n"/>
      <c r="G71" s="68" t="n"/>
      <c r="H71" s="68" t="n"/>
    </row>
    <row r="72" ht="22" customHeight="1" s="2">
      <c r="A72" s="46" t="inlineStr">
        <is>
          <t>J. 局限、口径与来源</t>
        </is>
      </c>
    </row>
    <row r="73" ht="32" customHeight="1" s="2">
      <c r="A73" s="51" t="inlineStr">
        <is>
          <t>局限1</t>
        </is>
      </c>
      <c r="B73" s="50" t="inlineStr">
        <is>
          <t>仅 room0、office0 两个正式场景；可判断机制与大幅提升假设，不代表全数据集均值。</t>
        </is>
      </c>
      <c r="C73" s="23" t="n"/>
      <c r="D73" s="23" t="n"/>
      <c r="E73" s="23" t="n"/>
      <c r="F73" s="23" t="n"/>
      <c r="G73" s="23" t="n"/>
      <c r="H73" s="24" t="n"/>
    </row>
    <row r="74" ht="32" customHeight="1" s="2">
      <c r="A74" s="56" t="inlineStr">
        <is>
          <t>局限2</t>
        </is>
      </c>
      <c r="B74" s="55" t="inlineStr">
        <is>
          <t>O1 是保持当前 mask 的实例重组，不是 false split/merge 的绝对理论上限。</t>
        </is>
      </c>
      <c r="C74" s="23" t="n"/>
      <c r="D74" s="23" t="n"/>
      <c r="E74" s="23" t="n"/>
      <c r="F74" s="23" t="n"/>
      <c r="G74" s="23" t="n"/>
      <c r="H74" s="24" t="n"/>
    </row>
    <row r="75" ht="32" customHeight="1" s="2">
      <c r="A75" s="51" t="inlineStr">
        <is>
          <t>局限3</t>
        </is>
      </c>
      <c r="B75" s="50" t="inlineStr">
        <is>
          <t>office0 的 B0 语义分母为 0，语义项按 0 纳入 Q；需结合分项指标解读。</t>
        </is>
      </c>
      <c r="C75" s="23" t="n"/>
      <c r="D75" s="23" t="n"/>
      <c r="E75" s="23" t="n"/>
      <c r="F75" s="23" t="n"/>
      <c r="G75" s="23" t="n"/>
      <c r="H75" s="24" t="n"/>
    </row>
    <row r="76" ht="32" customHeight="1" s="2">
      <c r="A76" s="56" t="inlineStr">
        <is>
          <t>局限4</t>
        </is>
      </c>
      <c r="B76" s="55" t="inlineStr">
        <is>
          <t>O3 关系阶段混合使用 5.6 sol/terra；room0 已完成 2330/2330 审计，主结论稳健。</t>
        </is>
      </c>
      <c r="C76" s="23" t="n"/>
      <c r="D76" s="23" t="n"/>
      <c r="E76" s="23" t="n"/>
      <c r="F76" s="23" t="n"/>
      <c r="G76" s="23" t="n"/>
      <c r="H76" s="24" t="n"/>
    </row>
    <row r="77" ht="32" customHeight="1" s="2">
      <c r="A77" s="51" t="inlineStr">
        <is>
          <t>来源</t>
        </is>
      </c>
      <c r="B77" s="50" t="inlineStr">
        <is>
          <t>本地总结：outputs/oracle_three_error_20260828/三类错误Oracle实验完整总结_中文版_20260829.md；正式产物保留在服务器 beauty/。</t>
        </is>
      </c>
      <c r="C77" s="23" t="n"/>
      <c r="D77" s="23" t="n"/>
      <c r="E77" s="23" t="n"/>
      <c r="F77" s="23" t="n"/>
      <c r="G77" s="23" t="n"/>
      <c r="H77" s="24" t="n"/>
    </row>
  </sheetData>
  <mergeCells count="22">
    <mergeCell ref="B74:H74"/>
    <mergeCell ref="C22:H22"/>
    <mergeCell ref="A24:H24"/>
    <mergeCell ref="B6:H6"/>
    <mergeCell ref="A1:H1"/>
    <mergeCell ref="B5:H5"/>
    <mergeCell ref="B76:H76"/>
    <mergeCell ref="A65:H65"/>
    <mergeCell ref="A16:H16"/>
    <mergeCell ref="B75:H75"/>
    <mergeCell ref="B7:H7"/>
    <mergeCell ref="A2:H2"/>
    <mergeCell ref="B77:H77"/>
    <mergeCell ref="A4:H4"/>
    <mergeCell ref="B8:H8"/>
    <mergeCell ref="A53:H53"/>
    <mergeCell ref="A35:H35"/>
    <mergeCell ref="A72:H72"/>
    <mergeCell ref="B73:H73"/>
    <mergeCell ref="A10:H10"/>
    <mergeCell ref="A44:H44"/>
    <mergeCell ref="A58:H58"/>
  </mergeCells>
  <conditionalFormatting sqref="F12:F14">
    <cfRule type="cellIs" priority="1" operator="lessThan" dxfId="0">
      <formula>0.4</formula>
    </cfRule>
    <cfRule type="cellIs" priority="2" operator="between" dxfId="1">
      <formula>0.4</formula>
      <formula>0.6</formula>
    </cfRule>
    <cfRule type="cellIs" priority="3" operator="greaterThanOrEqual" dxfId="2">
      <formula>0.6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tabColor rgb="0070AD47"/>
    <outlinePr summaryBelow="1" summaryRight="1"/>
    <pageSetUpPr fitToPage="1"/>
  </sheetPr>
  <dimension ref="A1:J53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8" customWidth="1" style="2" min="1" max="1"/>
    <col width="18" customWidth="1" style="2" min="2" max="2"/>
    <col width="16" customWidth="1" style="2" min="3" max="3"/>
    <col width="16" customWidth="1" style="2" min="4" max="4"/>
    <col width="16" customWidth="1" style="2" min="5" max="5"/>
    <col width="16" customWidth="1" style="2" min="6" max="6"/>
    <col width="16" customWidth="1" style="2" min="7" max="7"/>
    <col width="18" customWidth="1" style="2" min="8" max="8"/>
    <col width="24" customWidth="1" style="2" min="9" max="9"/>
    <col width="52" customWidth="1" style="2" min="10" max="10"/>
  </cols>
  <sheetData>
    <row r="1" ht="30" customHeight="1" s="2">
      <c r="A1" s="89" t="inlineStr">
        <is>
          <t>可修性对比实验总览：最终修复方向决策</t>
        </is>
      </c>
    </row>
    <row r="2" ht="36" customHeight="1" s="2">
      <c r="A2" s="90" t="inlineStr">
        <is>
          <t>2026-08-30；Replica room0 + office0，每场景 400 帧（stride=5）；完整场景均从空图在线构建。场景是统计单位，n=2 只报配对变化，不报置信区间。</t>
        </is>
      </c>
    </row>
    <row r="3"/>
    <row r="4" ht="24" customHeight="1" s="2">
      <c r="A4" s="91" t="inlineStr">
        <is>
          <t>A. 先看结论</t>
        </is>
      </c>
      <c r="B4" s="120" t="n"/>
      <c r="C4" s="120" t="n"/>
      <c r="D4" s="120" t="n"/>
      <c r="E4" s="120" t="n"/>
      <c r="F4" s="120" t="n"/>
      <c r="G4" s="120" t="n"/>
      <c r="H4" s="120" t="n"/>
      <c r="I4" s="120" t="n"/>
      <c r="J4" s="120" t="n"/>
    </row>
    <row r="5" ht="30" customHeight="1" s="2">
      <c r="A5" s="92" t="inlineStr">
        <is>
          <t>问题</t>
        </is>
      </c>
      <c r="B5" s="92" t="inlineStr">
        <is>
          <t>结论</t>
        </is>
      </c>
      <c r="C5" s="92" t="inlineStr">
        <is>
          <t>核心数据</t>
        </is>
      </c>
      <c r="D5" s="92" t="inlineStr">
        <is>
          <t>证据强度</t>
        </is>
      </c>
      <c r="E5" s="92" t="inlineStr">
        <is>
          <t>工程决策</t>
        </is>
      </c>
      <c r="F5" s="92" t="inlineStr"/>
      <c r="G5" s="92" t="inlineStr"/>
      <c r="H5" s="92" t="inlineStr"/>
      <c r="I5" s="92" t="inlineStr"/>
      <c r="J5" s="92" t="inlineStr">
        <is>
          <t>边界</t>
        </is>
      </c>
    </row>
    <row r="6" ht="48" customHeight="1" s="2">
      <c r="A6" s="93" t="inlineStr">
        <is>
          <t>仅修 false split / false merge 是否足够？</t>
        </is>
      </c>
      <c r="B6" s="93" t="inlineStr">
        <is>
          <t>不足够，只能恢复小部分几何差距</t>
        </is>
      </c>
      <c r="C6" s="93" t="inlineStr">
        <is>
          <t>OA 差距恢复：room 12.1%；office 2.6%</t>
        </is>
      </c>
      <c r="D6" s="93" t="inlineStr">
        <is>
          <t>中高；两场景同方向</t>
        </is>
      </c>
      <c r="E6" s="93" t="inlineStr">
        <is>
          <t>不把最终节点重组作为主线</t>
        </is>
      </c>
      <c r="F6" s="93" t="inlineStr"/>
      <c r="G6" s="93" t="inlineStr"/>
      <c r="H6" s="93" t="inlineStr"/>
      <c r="I6" s="93" t="inlineStr"/>
      <c r="J6" s="93" t="inlineStr">
        <is>
          <t>OA 是修正后的在线关联 Oracle，不使用最终 B0 lineage。</t>
        </is>
      </c>
    </row>
    <row r="7" ht="48" customHeight="1" s="2">
      <c r="A7" s="94" t="inlineStr">
        <is>
          <t>错误语义单独修复值不值得？</t>
        </is>
      </c>
      <c r="B7" s="94" t="inlineStr">
        <is>
          <t>目前无法定量</t>
        </is>
      </c>
      <c r="C7" s="94" t="inlineStr">
        <is>
          <t>严格一对一结构可比队列：room 0，office 0</t>
        </is>
      </c>
      <c r="D7" s="94" t="inlineStr">
        <is>
          <t>未识别</t>
        </is>
      </c>
      <c r="E7" s="94" t="inlineStr">
        <is>
          <t>先通过结构可靠性门控，再做语义验证/改标</t>
        </is>
      </c>
      <c r="F7" s="94" t="inlineStr"/>
      <c r="G7" s="94" t="inlineStr"/>
      <c r="H7" s="94" t="inlineStr"/>
      <c r="I7" s="94" t="inlineStr"/>
      <c r="J7" s="94" t="inlineStr">
        <is>
          <t>不得把弱 Hungarian 匹配当作纯语义结论。</t>
        </is>
      </c>
    </row>
    <row r="8" ht="54" customHeight="1" s="2">
      <c r="A8" s="95" t="inlineStr">
        <is>
          <t>最大可改善空间在哪？</t>
        </is>
      </c>
      <c r="B8" s="95" t="inlineStr">
        <is>
          <t>观测级 mask 分区/清理是主导项</t>
        </is>
      </c>
      <c r="C8" s="95" t="inlineStr">
        <is>
          <t>OM_all 差距恢复：room 81.5%；office 85.3%</t>
        </is>
      </c>
      <c r="D8" s="95" t="inlineStr">
        <is>
          <t>高；3个体素尺度 + FROSS 敏感性方向一致</t>
        </is>
      </c>
      <c r="E8" s="95" t="inlineStr">
        <is>
          <t>provenance mask partition/cleanup → 局部 replay → verify/rollback</t>
        </is>
      </c>
      <c r="F8" s="95" t="inlineStr"/>
      <c r="G8" s="95" t="inlineStr"/>
      <c r="H8" s="95" t="inlineStr"/>
      <c r="I8" s="95" t="inlineStr"/>
      <c r="J8" s="95" t="inlineStr">
        <is>
          <t>OM_all 使用 GT 做能力 Oracle，是上限证据，不是已实现方法。</t>
        </is>
      </c>
    </row>
    <row r="9"/>
    <row r="10"/>
    <row r="11" ht="24" customHeight="1" s="2">
      <c r="A11" s="91" t="inlineStr">
        <is>
          <t>B. 对比条件是什么</t>
        </is>
      </c>
      <c r="B11" s="120" t="n"/>
      <c r="C11" s="120" t="n"/>
      <c r="D11" s="120" t="n"/>
      <c r="E11" s="120" t="n"/>
      <c r="F11" s="120" t="n"/>
      <c r="G11" s="120" t="n"/>
      <c r="H11" s="120" t="n"/>
      <c r="I11" s="120" t="n"/>
      <c r="J11" s="120" t="n"/>
    </row>
    <row r="12" ht="30" customHeight="1" s="2">
      <c r="A12" s="92" t="inlineStr">
        <is>
          <t>缩写</t>
        </is>
      </c>
      <c r="B12" s="92" t="inlineStr">
        <is>
          <t>条件</t>
        </is>
      </c>
      <c r="C12" s="92" t="inlineStr">
        <is>
          <t>怎么实现</t>
        </is>
      </c>
      <c r="D12" s="92" t="inlineStr">
        <is>
          <t>目的</t>
        </is>
      </c>
      <c r="E12" s="92" t="inlineStr">
        <is>
          <t>是否在线从空图</t>
        </is>
      </c>
      <c r="F12" s="92" t="inlineStr">
        <is>
          <t>是否可直接部署</t>
        </is>
      </c>
      <c r="G12" s="92" t="inlineStr"/>
      <c r="H12" s="92" t="inlineStr"/>
      <c r="I12" s="92" t="inlineStr"/>
      <c r="J12" s="92" t="inlineStr">
        <is>
          <t>解释</t>
        </is>
      </c>
    </row>
    <row r="13" ht="45" customHeight="1" s="2">
      <c r="A13" s="96" t="inlineStr">
        <is>
          <t>B0</t>
        </is>
      </c>
      <c r="B13" s="96" t="inlineStr">
        <is>
          <t>当前系统</t>
        </is>
      </c>
      <c r="C13" s="96" t="inlineStr">
        <is>
          <t>原始检测/mask/关联/语义</t>
        </is>
      </c>
      <c r="D13" s="96" t="inlineStr">
        <is>
          <t>基线</t>
        </is>
      </c>
      <c r="E13" s="96" t="inlineStr">
        <is>
          <t>是</t>
        </is>
      </c>
      <c r="F13" s="96" t="inlineStr">
        <is>
          <t>是</t>
        </is>
      </c>
      <c r="G13" s="96" t="inlineStr"/>
      <c r="H13" s="96" t="inlineStr"/>
      <c r="I13" s="96" t="inlineStr"/>
      <c r="J13" s="96" t="inlineStr">
        <is>
          <t>与当前 ali-dev 等价的参照。</t>
        </is>
      </c>
    </row>
    <row r="14" ht="45" customHeight="1" s="2">
      <c r="A14" s="97" t="inlineStr">
        <is>
          <t>OA</t>
        </is>
      </c>
      <c r="B14" s="97" t="inlineStr">
        <is>
          <t>理想在线关联</t>
        </is>
      </c>
      <c r="C14" s="97" t="inlineStr">
        <is>
          <t>保留有效处理后 mask；用 GT ID 强制正确关联；未分配观测在独立原生图在线处理</t>
        </is>
      </c>
      <c r="D14" s="97" t="inlineStr">
        <is>
          <t>测 split/merge 上限</t>
        </is>
      </c>
      <c r="E14" s="97" t="inlineStr">
        <is>
          <t>是</t>
        </is>
      </c>
      <c r="F14" s="97" t="inlineStr">
        <is>
          <t>否</t>
        </is>
      </c>
      <c r="G14" s="97" t="inlineStr"/>
      <c r="H14" s="97" t="inlineStr"/>
      <c r="I14" s="97" t="inlineStr"/>
      <c r="J14" s="97" t="inlineStr">
        <is>
          <t>不用未来帧和最终 B0 lineage。</t>
        </is>
      </c>
    </row>
    <row r="15" ht="45" customHeight="1" s="2">
      <c r="A15" s="96" t="inlineStr">
        <is>
          <t>OP</t>
        </is>
      </c>
      <c r="B15" s="96" t="inlineStr">
        <is>
          <t>OA + 恢复被拒的 raw 观测</t>
        </is>
      </c>
      <c r="C15" s="96" t="inlineStr">
        <is>
          <t>补回未生成有效 3D 观测但 owner 足够清晰的 raw mask</t>
        </is>
      </c>
      <c r="D15" s="96" t="inlineStr">
        <is>
          <t>测过滤/初始化损失</t>
        </is>
      </c>
      <c r="E15" s="96" t="inlineStr">
        <is>
          <t>是</t>
        </is>
      </c>
      <c r="F15" s="96" t="inlineStr">
        <is>
          <t>否</t>
        </is>
      </c>
      <c r="G15" s="96" t="inlineStr"/>
      <c r="H15" s="96" t="inlineStr"/>
      <c r="I15" s="96" t="inlineStr"/>
      <c r="J15" s="96" t="inlineStr">
        <is>
          <t>只恢复可识别 owner 的丢失观测。</t>
        </is>
      </c>
    </row>
    <row r="16" ht="45" customHeight="1" s="2">
      <c r="A16" s="97" t="inlineStr">
        <is>
          <t>OM_pure</t>
        </is>
      </c>
      <c r="B16" s="97" t="inlineStr">
        <is>
          <t>owner 可识别的 mask 清理</t>
        </is>
      </c>
      <c r="C16" s="97" t="inlineStr">
        <is>
          <t>仅用 raw proposal 中已存在的像素，按 GT owner 裁剪污染</t>
        </is>
      </c>
      <c r="D16" s="97" t="inlineStr">
        <is>
          <t>测可靠 mask 清理上限</t>
        </is>
      </c>
      <c r="E16" s="97" t="inlineStr">
        <is>
          <t>是</t>
        </is>
      </c>
      <c r="F16" s="97" t="inlineStr">
        <is>
          <t>否</t>
        </is>
      </c>
      <c r="G16" s="97" t="inlineStr"/>
      <c r="H16" s="97" t="inlineStr"/>
      <c r="I16" s="97" t="inlineStr"/>
      <c r="J16" s="97" t="inlineStr">
        <is>
          <t>不增加 raw mask 外的像素。</t>
        </is>
      </c>
    </row>
    <row r="17" ht="45" customHeight="1" s="2">
      <c r="A17" s="96" t="inlineStr">
        <is>
          <t>OM_all</t>
        </is>
      </c>
      <c r="B17" s="96" t="inlineStr">
        <is>
          <t>全 raw 支持的 partition + cleanup</t>
        </is>
      </c>
      <c r="C17" s="96" t="inlineStr">
        <is>
          <t>所有重叠 raw proposals 按 GT 分区，同时压制 FP</t>
        </is>
      </c>
      <c r="D17" s="96" t="inlineStr">
        <is>
          <t>测观测级分区/清理上限</t>
        </is>
      </c>
      <c r="E17" s="96" t="inlineStr">
        <is>
          <t>是</t>
        </is>
      </c>
      <c r="F17" s="96" t="inlineStr">
        <is>
          <t>否</t>
        </is>
      </c>
      <c r="G17" s="96" t="inlineStr"/>
      <c r="H17" s="96" t="inlineStr"/>
      <c r="I17" s="96" t="inlineStr"/>
      <c r="J17" s="96" t="inlineStr">
        <is>
          <t>当前最高影响能力，但尚未集成到 pre-association sparse replay。</t>
        </is>
      </c>
    </row>
    <row r="18" ht="45" customHeight="1" s="2">
      <c r="A18" s="97" t="inlineStr">
        <is>
          <t>OG</t>
        </is>
      </c>
      <c r="B18" s="97" t="inlineStr">
        <is>
          <t>GT mask + GT 关联 + GT 语义</t>
        </is>
      </c>
      <c r="C18" s="97" t="inlineStr">
        <is>
          <t>每帧完整 GT 观测</t>
        </is>
      </c>
      <c r="D18" s="97" t="inlineStr">
        <is>
          <t>接近总上限</t>
        </is>
      </c>
      <c r="E18" s="97" t="inlineStr">
        <is>
          <t>是</t>
        </is>
      </c>
      <c r="F18" s="97" t="inlineStr">
        <is>
          <t>否</t>
        </is>
      </c>
      <c r="G18" s="97" t="inlineStr"/>
      <c r="H18" s="97" t="inlineStr"/>
      <c r="I18" s="97" t="inlineStr"/>
      <c r="J18" s="97" t="inlineStr">
        <is>
          <t>与自身比较为 1 只是标尺，不是方法得分。</t>
        </is>
      </c>
    </row>
    <row r="19"/>
    <row r="20" ht="24" customHeight="1" s="2">
      <c r="A20" s="91" t="inlineStr">
        <is>
          <t>C. 主结果（5 cm 体素）</t>
        </is>
      </c>
      <c r="B20" s="120" t="n"/>
      <c r="C20" s="120" t="n"/>
      <c r="D20" s="120" t="n"/>
      <c r="E20" s="120" t="n"/>
      <c r="F20" s="120" t="n"/>
      <c r="G20" s="120" t="n"/>
      <c r="H20" s="120" t="n"/>
      <c r="I20" s="120" t="n"/>
      <c r="J20" s="120" t="n"/>
    </row>
    <row r="21" ht="30" customHeight="1" s="2">
      <c r="A21" s="92" t="inlineStr">
        <is>
          <t>场景</t>
        </is>
      </c>
      <c r="B21" s="92" t="inlineStr">
        <is>
          <t>指标</t>
        </is>
      </c>
      <c r="C21" s="92" t="inlineStr">
        <is>
          <t>B0</t>
        </is>
      </c>
      <c r="D21" s="92" t="inlineStr">
        <is>
          <t>OA</t>
        </is>
      </c>
      <c r="E21" s="92" t="inlineStr">
        <is>
          <t>OP</t>
        </is>
      </c>
      <c r="F21" s="92" t="inlineStr">
        <is>
          <t>OM_pure</t>
        </is>
      </c>
      <c r="G21" s="92" t="inlineStr">
        <is>
          <t>OM_all</t>
        </is>
      </c>
      <c r="H21" s="92" t="inlineStr">
        <is>
          <t>OG</t>
        </is>
      </c>
      <c r="I21" s="92" t="inlineStr">
        <is>
          <t>最大跳变</t>
        </is>
      </c>
      <c r="J21" s="92" t="inlineStr">
        <is>
          <t>说明</t>
        </is>
      </c>
    </row>
    <row r="22" ht="36" customHeight="1" s="2">
      <c r="A22" s="97" t="inlineStr">
        <is>
          <t>room0</t>
        </is>
      </c>
      <c r="B22" s="97" t="inlineStr">
        <is>
          <t>Node F1</t>
        </is>
      </c>
      <c r="C22" s="98" t="n">
        <v>0.1104294478527607</v>
      </c>
      <c r="D22" s="98" t="n">
        <v>0.217948717948718</v>
      </c>
      <c r="E22" s="98" t="n">
        <v>0.2208588957055215</v>
      </c>
      <c r="F22" s="98" t="n">
        <v>0.2222222222222222</v>
      </c>
      <c r="G22" s="98" t="n">
        <v>0.8351648351648352</v>
      </c>
      <c r="H22" s="98" t="n">
        <v>1</v>
      </c>
      <c r="I22" s="97" t="inlineStr">
        <is>
          <t>OM_all - OM_pure</t>
        </is>
      </c>
      <c r="J22" s="97" t="inlineStr">
        <is>
          <t>关联增益小，mask 分区/清理增益最大</t>
        </is>
      </c>
    </row>
    <row r="23" ht="36" customHeight="1" s="2">
      <c r="A23" s="96" t="inlineStr">
        <is>
          <t>room0</t>
        </is>
      </c>
      <c r="B23" s="96" t="inlineStr">
        <is>
          <t>Instance AP mean@25/50</t>
        </is>
      </c>
      <c r="C23" s="99" t="n">
        <v>0.02232953862187838</v>
      </c>
      <c r="D23" s="99" t="n">
        <v>0.05004770883588639</v>
      </c>
      <c r="E23" s="99" t="n">
        <v>0.05705968452415167</v>
      </c>
      <c r="F23" s="99" t="n">
        <v>0.06005576151842688</v>
      </c>
      <c r="G23" s="99" t="n">
        <v>0.6769744267843866</v>
      </c>
      <c r="H23" s="99" t="n">
        <v>1</v>
      </c>
      <c r="I23" s="96" t="inlineStr">
        <is>
          <t>OM_all - OM_pure</t>
        </is>
      </c>
      <c r="J23" s="96" t="inlineStr">
        <is>
          <t>AP 与 F1 的方向一致</t>
        </is>
      </c>
    </row>
    <row r="24" ht="36" customHeight="1" s="2">
      <c r="A24" s="97" t="inlineStr">
        <is>
          <t>office0</t>
        </is>
      </c>
      <c r="B24" s="97" t="inlineStr">
        <is>
          <t>Node F1</t>
        </is>
      </c>
      <c r="C24" s="98" t="n">
        <v>0.06896551724137931</v>
      </c>
      <c r="D24" s="98" t="n">
        <v>0.09302325581395349</v>
      </c>
      <c r="E24" s="98" t="n">
        <v>0.1573033707865168</v>
      </c>
      <c r="F24" s="98" t="n">
        <v>0.2535211267605634</v>
      </c>
      <c r="G24" s="98" t="n">
        <v>0.8627450980392157</v>
      </c>
      <c r="H24" s="98" t="n">
        <v>1</v>
      </c>
      <c r="I24" s="97" t="inlineStr">
        <is>
          <t>OM_all - OM_pure</t>
        </is>
      </c>
      <c r="J24" s="97" t="inlineStr">
        <is>
          <t>关联增益小，mask 分区/清理增益最大</t>
        </is>
      </c>
    </row>
    <row r="25" ht="36" customHeight="1" s="2">
      <c r="A25" s="96" t="inlineStr">
        <is>
          <t>office0</t>
        </is>
      </c>
      <c r="B25" s="96" t="inlineStr">
        <is>
          <t>Instance AP mean@25/50</t>
        </is>
      </c>
      <c r="C25" s="99" t="n">
        <v>0.004530453045304531</v>
      </c>
      <c r="D25" s="99" t="n">
        <v>0.01357635763576357</v>
      </c>
      <c r="E25" s="99" t="n">
        <v>0.02028952895289529</v>
      </c>
      <c r="F25" s="99" t="n">
        <v>0.04550981413930866</v>
      </c>
      <c r="G25" s="99" t="n">
        <v>0.6358061076922576</v>
      </c>
      <c r="H25" s="99" t="n">
        <v>1</v>
      </c>
      <c r="I25" s="96" t="inlineStr">
        <is>
          <t>OM_all - OM_pure</t>
        </is>
      </c>
      <c r="J25" s="96" t="inlineStr">
        <is>
          <t>AP 与 F1 的方向一致</t>
        </is>
      </c>
    </row>
    <row r="26"/>
    <row r="27" ht="24" customHeight="1" s="2">
      <c r="A27" s="91" t="inlineStr">
        <is>
          <t>D. 差距分解：哪一步真正起作用</t>
        </is>
      </c>
      <c r="B27" s="120" t="n"/>
      <c r="C27" s="120" t="n"/>
      <c r="D27" s="120" t="n"/>
      <c r="E27" s="120" t="n"/>
      <c r="F27" s="120" t="n"/>
      <c r="G27" s="120" t="n"/>
      <c r="H27" s="120" t="n"/>
      <c r="I27" s="120" t="n"/>
      <c r="J27" s="120" t="n"/>
    </row>
    <row r="28" ht="30" customHeight="1" s="2">
      <c r="A28" s="92" t="inlineStr">
        <is>
          <t>场景</t>
        </is>
      </c>
      <c r="B28" s="92" t="inlineStr">
        <is>
          <t>关联 OA-B0</t>
        </is>
      </c>
      <c r="C28" s="92" t="inlineStr">
        <is>
          <t>拒绝观测 OP-OA</t>
        </is>
      </c>
      <c r="D28" s="92" t="inlineStr">
        <is>
          <t>owner清理 OM_pure-OP</t>
        </is>
      </c>
      <c r="E28" s="92" t="inlineStr">
        <is>
          <t>全分区 OM_all-OM_pure</t>
        </is>
      </c>
      <c r="F28" s="92" t="inlineStr">
        <is>
          <t>仍需新感知 OG-OM_all</t>
        </is>
      </c>
      <c r="G28" s="92" t="inlineStr">
        <is>
          <t>OA差距恢复</t>
        </is>
      </c>
      <c r="H28" s="92" t="inlineStr">
        <is>
          <t>OM_all差距恢复</t>
        </is>
      </c>
      <c r="I28" s="92" t="inlineStr">
        <is>
          <t>主导项</t>
        </is>
      </c>
      <c r="J28" s="92" t="inlineStr">
        <is>
          <t>含义</t>
        </is>
      </c>
    </row>
    <row r="29" ht="42" customHeight="1" s="2">
      <c r="A29" s="96" t="inlineStr">
        <is>
          <t>room0</t>
        </is>
      </c>
      <c r="B29" s="99" t="n">
        <v>0.1075192700959572</v>
      </c>
      <c r="C29" s="99" t="n">
        <v>0.002910177756803523</v>
      </c>
      <c r="D29" s="99" t="n">
        <v>0.001363326516700736</v>
      </c>
      <c r="E29" s="99" t="n">
        <v>0.612942612942613</v>
      </c>
      <c r="F29" s="99" t="n">
        <v>0.1648351648351648</v>
      </c>
      <c r="G29" s="99" t="n">
        <v>0.1208664898320071</v>
      </c>
      <c r="H29" s="99" t="n">
        <v>0.8147025388404699</v>
      </c>
      <c r="I29" s="96" t="inlineStr">
        <is>
          <t>全 raw 支持的 mask partition/cleanup</t>
        </is>
      </c>
      <c r="J29" s="96" t="inlineStr">
        <is>
          <t>这是 Node F1 绝对增量和相对 B0→OG 的差距恢复率。</t>
        </is>
      </c>
    </row>
    <row r="30" ht="42" customHeight="1" s="2">
      <c r="A30" s="97" t="inlineStr">
        <is>
          <t>office0</t>
        </is>
      </c>
      <c r="B30" s="98" t="n">
        <v>0.02405773857257418</v>
      </c>
      <c r="C30" s="98" t="n">
        <v>0.06428011497256336</v>
      </c>
      <c r="D30" s="98" t="n">
        <v>0.09621775597404653</v>
      </c>
      <c r="E30" s="98" t="n">
        <v>0.6092239712786524</v>
      </c>
      <c r="F30" s="98" t="n">
        <v>0.1372549019607843</v>
      </c>
      <c r="G30" s="98" t="n">
        <v>0.02583979328165375</v>
      </c>
      <c r="H30" s="98" t="n">
        <v>0.8525780682643428</v>
      </c>
      <c r="I30" s="97" t="inlineStr">
        <is>
          <t>全 raw 支持的 mask partition/cleanup</t>
        </is>
      </c>
      <c r="J30" s="97" t="inlineStr">
        <is>
          <t>这是 Node F1 绝对增量和相对 B0→OG 的差距恢复率。</t>
        </is>
      </c>
    </row>
    <row r="31"/>
    <row r="32" ht="24" customHeight="1" s="2">
      <c r="A32" s="91" t="inlineStr">
        <is>
          <t>E. 稳健性、语义、GPT 和真实 Replay</t>
        </is>
      </c>
      <c r="B32" s="120" t="n"/>
      <c r="C32" s="120" t="n"/>
      <c r="D32" s="120" t="n"/>
      <c r="E32" s="120" t="n"/>
      <c r="F32" s="120" t="n"/>
      <c r="G32" s="120" t="n"/>
      <c r="H32" s="120" t="n"/>
      <c r="I32" s="120" t="n"/>
      <c r="J32" s="120" t="n"/>
    </row>
    <row r="33" ht="30" customHeight="1" s="2">
      <c r="A33" s="92" t="inlineStr">
        <is>
          <t>实验</t>
        </is>
      </c>
      <c r="B33" s="92" t="inlineStr">
        <is>
          <t>做了什么</t>
        </is>
      </c>
      <c r="C33" s="92" t="inlineStr">
        <is>
          <t>room0</t>
        </is>
      </c>
      <c r="D33" s="92" t="inlineStr">
        <is>
          <t>office0</t>
        </is>
      </c>
      <c r="E33" s="92" t="inlineStr">
        <is>
          <t>结果</t>
        </is>
      </c>
      <c r="F33" s="92" t="inlineStr">
        <is>
          <t>效果/成本</t>
        </is>
      </c>
      <c r="G33" s="92" t="inlineStr">
        <is>
          <t>说明什么</t>
        </is>
      </c>
      <c r="H33" s="92" t="inlineStr">
        <is>
          <t>可否作正式结论</t>
        </is>
      </c>
      <c r="I33" s="92" t="inlineStr"/>
      <c r="J33" s="92" t="inlineStr">
        <is>
          <t>关键限制</t>
        </is>
      </c>
    </row>
    <row r="34" ht="44" customHeight="1" s="2">
      <c r="A34" s="97" t="inlineStr">
        <is>
          <t>FROSS 敏感性</t>
        </is>
      </c>
      <c r="B34" s="97" t="inlineStr">
        <is>
          <t>5 mm 去重 + 0.1 m 对应</t>
        </is>
      </c>
      <c r="C34" s="97" t="inlineStr">
        <is>
          <t>B0 18.4% → OM_all 60.4%</t>
        </is>
      </c>
      <c r="D34" s="97" t="inlineStr">
        <is>
          <t>B0 13.8% → OM_all 58.8%</t>
        </is>
      </c>
      <c r="E34" s="97" t="inlineStr">
        <is>
          <t>两场景同方向</t>
        </is>
      </c>
      <c r="F34" s="97" t="inlineStr">
        <is>
          <t>无额外 API</t>
        </is>
      </c>
      <c r="G34" s="97" t="inlineStr">
        <is>
          <t>主结论不依赖单一体素口径</t>
        </is>
      </c>
      <c r="H34" s="97" t="inlineStr">
        <is>
          <t>是（作稳健性支持）</t>
        </is>
      </c>
      <c r="I34" s="97" t="inlineStr"/>
      <c r="J34" s="97" t="inlineStr">
        <is>
          <t>是对稠密点云的适配敏感性，非官方 FROSS benchmark。</t>
        </is>
      </c>
    </row>
    <row r="35" ht="44" customHeight="1" s="2">
      <c r="A35" s="100" t="inlineStr">
        <is>
          <t>严格语义 Oracle</t>
        </is>
      </c>
      <c r="B35" s="100" t="inlineStr">
        <is>
          <t>只在结构严格一对一且标签错误时改标</t>
        </is>
      </c>
      <c r="C35" s="100" t="inlineStr">
        <is>
          <t>严格匹配 0</t>
        </is>
      </c>
      <c r="D35" s="100" t="inlineStr">
        <is>
          <t>严格匹配 0</t>
        </is>
      </c>
      <c r="E35" s="100" t="inlineStr">
        <is>
          <t>队列为空，收益未识别</t>
        </is>
      </c>
      <c r="F35" s="100" t="inlineStr">
        <is>
          <t>无 API</t>
        </is>
      </c>
      <c r="G35" s="100" t="inlineStr">
        <is>
          <t>不能说语义修复无价值，只能说当前无可比样本</t>
        </is>
      </c>
      <c r="H35" s="100" t="inlineStr">
        <is>
          <t>否</t>
        </is>
      </c>
      <c r="I35" s="100" t="inlineStr"/>
      <c r="J35" s="100" t="inlineStr">
        <is>
          <t>弱 Hungarian 有匹配，但混入结构问题。</t>
        </is>
      </c>
    </row>
    <row r="36" ht="54" customHeight="1" s="2">
      <c r="A36" s="77" t="inlineStr">
        <is>
          <t>GPT vs LLaVA</t>
        </is>
      </c>
      <c r="B36" s="77" t="inlineStr">
        <is>
          <t>同一节点：GPT 直看图 vs LLaVA caption 再交给 Terra</t>
        </is>
      </c>
      <c r="C36" s="77" t="inlineStr">
        <is>
          <t>94/96 完成；两支 model-covered 0</t>
        </is>
      </c>
      <c r="D36" s="77" t="inlineStr">
        <is>
          <t>62/62 完成；两支 model-covered 0</t>
        </is>
      </c>
      <c r="E36" s="77" t="inlineStr">
        <is>
          <t>换 GPT 未产生可验证提升</t>
        </is>
      </c>
      <c r="F36" s="77" t="inlineStr">
        <is>
          <t>formal 898,576 tokens；含 smoke 910,045</t>
        </is>
      </c>
      <c r="G36" s="77" t="inlineStr">
        <is>
          <t>当前瓶颈是结构混合/词表和证据，不是单纯视觉模型</t>
        </is>
      </c>
      <c r="H36" s="77" t="inlineStr">
        <is>
          <t>可否定直接替换路线</t>
        </is>
      </c>
      <c r="I36" s="77" t="inlineStr"/>
      <c r="J36" s="77" t="inlineStr">
        <is>
          <t>不证明 GPT 本身无能力；room 有 2 个冻结词表外标签 fail-closed。</t>
        </is>
      </c>
    </row>
    <row r="37" ht="58" customHeight="1" s="2">
      <c r="A37" s="101" t="inlineStr">
        <is>
          <t>真实局部 replay</t>
        </is>
      </c>
      <c r="B37" s="101" t="inlineStr">
        <is>
          <t>原始 mask overlay → 稀疏回放 → 全局 parity/回滚检查</t>
        </is>
      </c>
      <c r="C37" s="101" t="inlineStr">
        <is>
          <t>严格案例：点 17 → 2716（159.8×）</t>
        </is>
      </c>
      <c r="D37" s="101" t="inlineStr">
        <is>
          <t>宽松探索：点 168 → 26223（156.1×）</t>
        </is>
      </c>
      <c r="E37" s="101" t="inlineStr">
        <is>
          <t>build/local/global 均 pass；association 未改变</t>
        </is>
      </c>
      <c r="F37" s="101" t="inlineStr">
        <is>
          <t>两个案例的 closure 覆盖整个场景</t>
        </is>
      </c>
      <c r="G37" s="101" t="inlineStr">
        <is>
          <t>证明机制、不可变性和 parity；还没证明修复效果</t>
        </is>
      </c>
      <c r="H37" s="101" t="inlineStr">
        <is>
          <t>否（机制证据）</t>
        </is>
      </c>
      <c r="I37" s="101" t="inlineStr"/>
      <c r="J37" s="101" t="inlineStr">
        <is>
          <t>office 不是 strict；没有局部性和成功率估计。</t>
        </is>
      </c>
    </row>
    <row r="38"/>
    <row r="39"/>
    <row r="40" ht="24" customHeight="1" s="2">
      <c r="A40" s="91" t="inlineStr">
        <is>
          <t>F. 数据集、标签和可信度边界</t>
        </is>
      </c>
      <c r="B40" s="120" t="n"/>
      <c r="C40" s="120" t="n"/>
      <c r="D40" s="120" t="n"/>
      <c r="E40" s="120" t="n"/>
      <c r="F40" s="120" t="n"/>
      <c r="G40" s="120" t="n"/>
      <c r="H40" s="120" t="n"/>
      <c r="I40" s="120" t="n"/>
      <c r="J40" s="120" t="n"/>
    </row>
    <row r="41" ht="30" customHeight="1" s="2">
      <c r="A41" s="92" t="inlineStr">
        <is>
          <t>检查项</t>
        </is>
      </c>
      <c r="B41" s="92" t="inlineStr">
        <is>
          <t>结果</t>
        </is>
      </c>
      <c r="C41" s="92" t="inlineStr">
        <is>
          <t>影响</t>
        </is>
      </c>
      <c r="D41" s="92" t="inlineStr">
        <is>
          <t>处理</t>
        </is>
      </c>
      <c r="E41" s="92" t="inlineStr"/>
      <c r="F41" s="92" t="inlineStr"/>
      <c r="G41" s="92" t="inlineStr"/>
      <c r="H41" s="92" t="inlineStr"/>
      <c r="I41" s="92" t="inlineStr"/>
      <c r="J41" s="92" t="inlineStr">
        <is>
          <t>说明</t>
        </is>
      </c>
    </row>
    <row r="42" ht="42" customHeight="1" s="2">
      <c r="A42" s="74" t="inlineStr">
        <is>
          <t>场景/帧配对</t>
        </is>
      </c>
      <c r="B42" s="74" t="inlineStr">
        <is>
          <t>通过</t>
        </is>
      </c>
      <c r="C42" s="74" t="inlineStr">
        <is>
          <t>RGB/depth/pose/GT 与场景对齐</t>
        </is>
      </c>
      <c r="D42" s="74" t="inlineStr">
        <is>
          <t>按 room0/office0 独立检查</t>
        </is>
      </c>
      <c r="E42" s="74" t="inlineStr"/>
      <c r="F42" s="74" t="inlineStr"/>
      <c r="G42" s="74" t="inlineStr"/>
      <c r="H42" s="74" t="inlineStr"/>
      <c r="I42" s="74" t="inlineStr"/>
      <c r="J42" s="74" t="inlineStr">
        <is>
          <t>room0 B0 有冻结参考 parity；office0 从空图重建但没有独立冻结 B0 参考。</t>
        </is>
      </c>
    </row>
    <row r="43" ht="54" customHeight="1" s="2">
      <c r="A43" s="77" t="inlineStr">
        <is>
          <t>标签不一致（desk lamp / lamp）</t>
        </is>
      </c>
      <c r="B43" s="77" t="inlineStr">
        <is>
          <t>desk lamp 实际出现 0 次；room 仅有 ceiling light 灵敏性映射</t>
        </is>
      </c>
      <c r="C43" s="77" t="inlineStr">
        <is>
          <t>别名可改变下游 class-F1 结论</t>
        </is>
      </c>
      <c r="D43" s="77" t="inlineStr">
        <is>
          <t>官方严格映射为主；当前别名/扩展 lamp 只报敏感性</t>
        </is>
      </c>
      <c r="E43" s="77" t="inlineStr"/>
      <c r="F43" s="77" t="inlineStr"/>
      <c r="G43" s="77" t="inlineStr"/>
      <c r="H43" s="77" t="inlineStr"/>
      <c r="I43" s="77" t="inlineStr"/>
      <c r="J43" s="77" t="inlineStr">
        <is>
          <t>OM_all-B0 在官方映射下 room 为负、office 为 0，所以不用它证明语义收益。</t>
        </is>
      </c>
    </row>
    <row r="44" ht="48" customHeight="1" s="2">
      <c r="A44" s="102" t="inlineStr">
        <is>
          <t>旧 Oracle 口径</t>
        </is>
      </c>
      <c r="B44" s="102" t="inlineStr">
        <is>
          <t>已作废精确 ρ</t>
        </is>
      </c>
      <c r="C44" s="102" t="inlineStr">
        <is>
          <t>不能作论文定量值</t>
        </is>
      </c>
      <c r="D44" s="102" t="inlineStr">
        <is>
          <t>旧页保留追溯并标红，首页改指向新页</t>
        </is>
      </c>
      <c r="E44" s="102" t="inlineStr"/>
      <c r="F44" s="102" t="inlineStr"/>
      <c r="G44" s="102" t="inlineStr"/>
      <c r="H44" s="102" t="inlineStr"/>
      <c r="I44" s="102" t="inlineStr"/>
      <c r="J44" s="102" t="inlineStr">
        <is>
          <t>关系指标因混用模型/候选集已从本次方向决策中排除。</t>
        </is>
      </c>
    </row>
    <row r="45" ht="48" customHeight="1" s="2">
      <c r="A45" s="100" t="inlineStr">
        <is>
          <t>总结论外推</t>
        </is>
      </c>
      <c r="B45" s="100" t="inlineStr">
        <is>
          <t>仅 2 场景</t>
        </is>
      </c>
      <c r="C45" s="100" t="inlineStr">
        <is>
          <t>无总体置信区间/场景 bootstrap</t>
        </is>
      </c>
      <c r="D45" s="100" t="inlineStr">
        <is>
          <t>只报两场景配对变化与方向一致性</t>
        </is>
      </c>
      <c r="E45" s="100" t="inlineStr"/>
      <c r="F45" s="100" t="inlineStr"/>
      <c r="G45" s="100" t="inlineStr"/>
      <c r="H45" s="100" t="inlineStr"/>
      <c r="I45" s="100" t="inlineStr"/>
      <c r="J45" s="100" t="inlineStr">
        <is>
          <t>足以冻结问题方向，不足以声称方法已成功或报全数据集效应量。</t>
        </is>
      </c>
    </row>
    <row r="46"/>
    <row r="47"/>
    <row r="48" ht="24" customHeight="1" s="2">
      <c r="A48" s="91" t="inlineStr">
        <is>
          <t>G. 产物与可复现性</t>
        </is>
      </c>
      <c r="B48" s="120" t="n"/>
      <c r="C48" s="120" t="n"/>
      <c r="D48" s="120" t="n"/>
      <c r="E48" s="120" t="n"/>
      <c r="F48" s="120" t="n"/>
      <c r="G48" s="120" t="n"/>
      <c r="H48" s="120" t="n"/>
      <c r="I48" s="120" t="n"/>
      <c r="J48" s="120" t="n"/>
    </row>
    <row r="49" ht="30" customHeight="1" s="2">
      <c r="A49" s="92" t="inlineStr">
        <is>
          <t>项目</t>
        </is>
      </c>
      <c r="B49" s="92" t="inlineStr">
        <is>
          <t>值</t>
        </is>
      </c>
      <c r="C49" s="92" t="inlineStr"/>
      <c r="D49" s="92" t="inlineStr"/>
      <c r="E49" s="92" t="inlineStr"/>
      <c r="F49" s="92" t="inlineStr"/>
      <c r="G49" s="92" t="inlineStr"/>
      <c r="H49" s="92" t="inlineStr"/>
      <c r="I49" s="92" t="inlineStr"/>
      <c r="J49" s="92" t="inlineStr">
        <is>
          <t>说明</t>
        </is>
      </c>
    </row>
    <row r="50" ht="34" customHeight="1" s="2">
      <c r="A50" s="97" t="inlineStr">
        <is>
          <t>GitHub 正式总结</t>
        </is>
      </c>
      <c r="B50" s="103" t="inlineStr">
        <is>
          <t>https://github.com/liuwenjing613-maker/concept-graphs/blob/contrary/artifacts/repairability_validation_20260830/REPAIRABILITY_DECISION.md</t>
        </is>
      </c>
      <c r="C50" s="97" t="inlineStr"/>
      <c r="D50" s="97" t="inlineStr"/>
      <c r="E50" s="97" t="inlineStr"/>
      <c r="F50" s="97" t="inlineStr"/>
      <c r="G50" s="97" t="inlineStr"/>
      <c r="H50" s="97" t="inlineStr"/>
      <c r="I50" s="97" t="inlineStr"/>
      <c r="J50" s="97" t="inlineStr">
        <is>
          <t>contrary 分支，完整方法/结果/限制</t>
        </is>
      </c>
    </row>
    <row r="51" ht="34" customHeight="1" s="2">
      <c r="A51" s="96" t="inlineStr">
        <is>
          <t>GitHub 机读 JSON</t>
        </is>
      </c>
      <c r="B51" s="104" t="inlineStr">
        <is>
          <t>https://github.com/liuwenjing613-maker/concept-graphs/blob/contrary/artifacts/repairability_validation_20260830/repairability_decision.json</t>
        </is>
      </c>
      <c r="C51" s="96" t="inlineStr"/>
      <c r="D51" s="96" t="inlineStr"/>
      <c r="E51" s="96" t="inlineStr"/>
      <c r="F51" s="96" t="inlineStr"/>
      <c r="G51" s="96" t="inlineStr"/>
      <c r="H51" s="96" t="inlineStr"/>
      <c r="I51" s="96" t="inlineStr"/>
      <c r="J51" s="96" t="inlineStr">
        <is>
          <t>Excel 数据源</t>
        </is>
      </c>
    </row>
    <row r="52" ht="34" customHeight="1" s="2">
      <c r="A52" s="97" t="inlineStr">
        <is>
          <t>Git commit</t>
        </is>
      </c>
      <c r="B52" s="97" t="inlineStr">
        <is>
          <t>71fab57ef4768a6539b1e7d40485056ac9a55d1e</t>
        </is>
      </c>
      <c r="C52" s="97" t="inlineStr"/>
      <c r="D52" s="97" t="inlineStr"/>
      <c r="E52" s="97" t="inlineStr"/>
      <c r="F52" s="97" t="inlineStr"/>
      <c r="G52" s="97" t="inlineStr"/>
      <c r="H52" s="97" t="inlineStr"/>
      <c r="I52" s="97" t="inlineStr"/>
      <c r="J52" s="97" t="inlineStr">
        <is>
          <t>contrary 最终提交</t>
        </is>
      </c>
    </row>
    <row r="53" ht="34" customHeight="1" s="2">
      <c r="A53" s="96" t="inlineStr">
        <is>
          <t>服务器原始产物</t>
        </is>
      </c>
      <c r="B53" s="96" t="inlineStr">
        <is>
          <t>/home/chenkejun/beauty/conceptgraphs/results/experiments/repairability_validation_20260830</t>
        </is>
      </c>
      <c r="C53" s="96" t="inlineStr"/>
      <c r="D53" s="96" t="inlineStr"/>
      <c r="E53" s="96" t="inlineStr"/>
      <c r="F53" s="96" t="inlineStr"/>
      <c r="G53" s="96" t="inlineStr"/>
      <c r="H53" s="96" t="inlineStr"/>
      <c r="I53" s="96" t="inlineStr"/>
      <c r="J53" s="96" t="inlineStr">
        <is>
          <t>保留 manifest、raw metrics、timing 和失败日志</t>
        </is>
      </c>
    </row>
  </sheetData>
  <autoFilter ref="A21:J25"/>
  <mergeCells count="9">
    <mergeCell ref="A1:J1"/>
    <mergeCell ref="A32:J32"/>
    <mergeCell ref="A40:J40"/>
    <mergeCell ref="A27:J27"/>
    <mergeCell ref="A4:J4"/>
    <mergeCell ref="A48:J48"/>
    <mergeCell ref="A20:J20"/>
    <mergeCell ref="A2:J2"/>
    <mergeCell ref="A11:J11"/>
  </mergeCells>
  <conditionalFormatting sqref="C22:H25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hyperlinks>
    <hyperlink xmlns:r="http://schemas.openxmlformats.org/officeDocument/2006/relationships" ref="B50" r:id="rId1"/>
    <hyperlink xmlns:r="http://schemas.openxmlformats.org/officeDocument/2006/relationships" ref="B51" r:id="rId2"/>
  </hyperlinks>
  <pageMargins left="0.75" right="0.75" top="1" bottom="1" header="0.5" footer="0.5"/>
  <pageSetup orientation="landscape" fitToHeight="0" fitToWidth="1"/>
</worksheet>
</file>

<file path=xl/worksheets/sheet14.xml><?xml version="1.0" encoding="utf-8"?>
<worksheet xmlns="http://schemas.openxmlformats.org/spreadsheetml/2006/main">
  <sheetPr>
    <tabColor rgb="002F75B5"/>
    <outlinePr summaryBelow="1" summaryRight="1"/>
    <pageSetUpPr fitToPage="1"/>
  </sheetPr>
  <dimension ref="A1:L18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style="2" min="1" max="1"/>
    <col width="14" customWidth="1" style="2" min="2" max="2"/>
    <col width="18" customWidth="1" style="2" min="3" max="3"/>
    <col width="16" customWidth="1" style="2" min="4" max="4"/>
    <col width="16" customWidth="1" style="2" min="5" max="5"/>
    <col width="16" customWidth="1" style="2" min="6" max="6"/>
    <col width="16" customWidth="1" style="2" min="7" max="7"/>
    <col width="16" customWidth="1" style="2" min="8" max="8"/>
    <col width="17" customWidth="1" style="2" min="9" max="9"/>
    <col width="17" customWidth="1" style="2" min="10" max="10"/>
    <col width="20" customWidth="1" style="2" min="11" max="11"/>
    <col width="42" customWidth="1" style="2" min="12" max="12"/>
  </cols>
  <sheetData>
    <row r="1" ht="30" customHeight="1" s="2">
      <c r="A1" s="89" t="inlineStr">
        <is>
          <t>可修性对比实验明细数据</t>
        </is>
      </c>
    </row>
    <row r="2" ht="36" customHeight="1" s="2">
      <c r="A2" s="90" t="inlineStr">
        <is>
          <t>数据来自服务器最终 repairability_decision.json；百分比均保留底层小数，显示时四舍五入。</t>
        </is>
      </c>
    </row>
    <row r="3"/>
    <row r="4" ht="24" customHeight="1" s="2">
      <c r="A4" s="91" t="inlineStr">
        <is>
          <t>A. 方法自检</t>
        </is>
      </c>
      <c r="B4" s="120" t="n"/>
      <c r="C4" s="120" t="n"/>
      <c r="D4" s="120" t="n"/>
      <c r="E4" s="120" t="n"/>
      <c r="F4" s="120" t="n"/>
      <c r="G4" s="120" t="n"/>
      <c r="H4" s="120" t="n"/>
      <c r="I4" s="120" t="n"/>
      <c r="J4" s="120" t="n"/>
      <c r="K4" s="120" t="n"/>
      <c r="L4" s="120" t="n"/>
    </row>
    <row r="5" ht="30" customHeight="1" s="2">
      <c r="A5" s="92" t="inlineStr">
        <is>
          <t>检查</t>
        </is>
      </c>
      <c r="B5" s="92" t="inlineStr">
        <is>
          <t>结果</t>
        </is>
      </c>
      <c r="C5" s="92" t="inlineStr">
        <is>
          <t>影响</t>
        </is>
      </c>
      <c r="D5" s="92" t="inlineStr">
        <is>
          <t>正式处理</t>
        </is>
      </c>
      <c r="E5" s="92" t="inlineStr"/>
      <c r="F5" s="92" t="inlineStr"/>
      <c r="G5" s="92" t="inlineStr"/>
      <c r="H5" s="92" t="inlineStr"/>
      <c r="I5" s="92" t="inlineStr"/>
      <c r="J5" s="92" t="inlineStr"/>
      <c r="K5" s="92" t="inlineStr"/>
      <c r="L5" s="92" t="inlineStr">
        <is>
          <t>证据</t>
        </is>
      </c>
    </row>
    <row r="6" ht="36" customHeight="1" s="2">
      <c r="A6" s="74" t="inlineStr">
        <is>
          <t>修正阶梯从空图在线构建</t>
        </is>
      </c>
      <c r="B6" s="74" t="inlineStr">
        <is>
          <t>是</t>
        </is>
      </c>
      <c r="C6" s="74" t="inlineStr">
        <is>
          <t>避免未来泄漏</t>
        </is>
      </c>
      <c r="D6" s="74" t="inlineStr">
        <is>
          <t>保留</t>
        </is>
      </c>
      <c r="E6" s="74" t="inlineStr"/>
      <c r="F6" s="74" t="inlineStr"/>
      <c r="G6" s="74" t="inlineStr"/>
      <c r="H6" s="74" t="inlineStr"/>
      <c r="I6" s="74" t="inlineStr"/>
      <c r="J6" s="74" t="inlineStr"/>
      <c r="K6" s="74" t="inlineStr"/>
      <c r="L6" s="74" t="inlineStr">
        <is>
          <t>online_from_empty=true</t>
        </is>
      </c>
    </row>
    <row r="7" ht="36" customHeight="1" s="2">
      <c r="A7" s="74" t="inlineStr">
        <is>
          <t>修正阶梯使用最终 lineage</t>
        </is>
      </c>
      <c r="B7" s="74" t="inlineStr">
        <is>
          <t>否</t>
        </is>
      </c>
      <c r="C7" s="74" t="inlineStr">
        <is>
          <t>应为“否”</t>
        </is>
      </c>
      <c r="D7" s="74" t="inlineStr">
        <is>
          <t>通过</t>
        </is>
      </c>
      <c r="E7" s="74" t="inlineStr"/>
      <c r="F7" s="74" t="inlineStr"/>
      <c r="G7" s="74" t="inlineStr"/>
      <c r="H7" s="74" t="inlineStr"/>
      <c r="I7" s="74" t="inlineStr"/>
      <c r="J7" s="74" t="inlineStr"/>
      <c r="K7" s="74" t="inlineStr"/>
      <c r="L7" s="74" t="inlineStr">
        <is>
          <t>future_final_lineage_used=false</t>
        </is>
      </c>
    </row>
    <row r="8" ht="36" customHeight="1" s="2">
      <c r="A8" s="97" t="inlineStr">
        <is>
          <t>旧 O1 未匹配观测使用最终 B0 lineage</t>
        </is>
      </c>
      <c r="B8" s="97" t="inlineStr">
        <is>
          <t>是</t>
        </is>
      </c>
      <c r="C8" s="97" t="inlineStr">
        <is>
          <t>导致旧结果不是纯在线 Oracle</t>
        </is>
      </c>
      <c r="D8" s="97" t="inlineStr">
        <is>
          <t>旧 ρ 作废</t>
        </is>
      </c>
      <c r="E8" s="97" t="inlineStr"/>
      <c r="F8" s="97" t="inlineStr"/>
      <c r="G8" s="97" t="inlineStr"/>
      <c r="H8" s="97" t="inlineStr"/>
      <c r="I8" s="97" t="inlineStr"/>
      <c r="J8" s="97" t="inlineStr"/>
      <c r="K8" s="97" t="inlineStr"/>
      <c r="L8" s="97" t="inlineStr">
        <is>
          <t>old unmatched policy</t>
        </is>
      </c>
    </row>
    <row r="9" ht="36" customHeight="1" s="2">
      <c r="A9" s="96" t="inlineStr">
        <is>
          <t>旧 O1 只 gate purity 不 gate recall</t>
        </is>
      </c>
      <c r="B9" s="96" t="inlineStr">
        <is>
          <t>是</t>
        </is>
      </c>
      <c r="C9" s="96" t="inlineStr">
        <is>
          <t>低覆盖 mask 仍可进入</t>
        </is>
      </c>
      <c r="D9" s="96" t="inlineStr">
        <is>
          <t>用阶段漏斗和多阈值敏感性弥补</t>
        </is>
      </c>
      <c r="E9" s="96" t="inlineStr"/>
      <c r="F9" s="96" t="inlineStr"/>
      <c r="G9" s="96" t="inlineStr"/>
      <c r="H9" s="96" t="inlineStr"/>
      <c r="I9" s="96" t="inlineStr"/>
      <c r="J9" s="96" t="inlineStr"/>
      <c r="K9" s="96" t="inlineStr"/>
      <c r="L9" s="96" t="inlineStr">
        <is>
          <t>purity-only gate</t>
        </is>
      </c>
    </row>
    <row r="10" ht="36" customHeight="1" s="2">
      <c r="A10" s="97" t="inlineStr">
        <is>
          <t>旧 O3 自评为 1</t>
        </is>
      </c>
      <c r="B10" s="97" t="inlineStr">
        <is>
          <t>是</t>
        </is>
      </c>
      <c r="C10" s="97" t="inlineStr">
        <is>
          <t>只能作上限标尺</t>
        </is>
      </c>
      <c r="D10" s="97" t="inlineStr">
        <is>
          <t>不当作方法性能</t>
        </is>
      </c>
      <c r="E10" s="97" t="inlineStr"/>
      <c r="F10" s="97" t="inlineStr"/>
      <c r="G10" s="97" t="inlineStr"/>
      <c r="H10" s="97" t="inlineStr"/>
      <c r="I10" s="97" t="inlineStr"/>
      <c r="J10" s="97" t="inlineStr"/>
      <c r="K10" s="97" t="inlineStr"/>
      <c r="L10" s="97" t="inlineStr">
        <is>
          <t>tautological ceiling</t>
        </is>
      </c>
    </row>
    <row r="11" ht="36" customHeight="1" s="2">
      <c r="A11" s="96" t="inlineStr">
        <is>
          <t>旧关系结果用于决策</t>
        </is>
      </c>
      <c r="B11" s="96" t="inlineStr">
        <is>
          <t>否</t>
        </is>
      </c>
      <c r="C11" s="96" t="inlineStr">
        <is>
          <t>应为“否”</t>
        </is>
      </c>
      <c r="D11" s="96" t="inlineStr">
        <is>
          <t>本轮排除</t>
        </is>
      </c>
      <c r="E11" s="96" t="inlineStr"/>
      <c r="F11" s="96" t="inlineStr"/>
      <c r="G11" s="96" t="inlineStr"/>
      <c r="H11" s="96" t="inlineStr"/>
      <c r="I11" s="96" t="inlineStr"/>
      <c r="J11" s="96" t="inlineStr"/>
      <c r="K11" s="96" t="inlineStr"/>
      <c r="L11" s="96" t="inlineStr">
        <is>
          <t>mixed models/candidates</t>
        </is>
      </c>
    </row>
    <row r="12" ht="36" customHeight="1" s="2">
      <c r="A12" s="74" t="inlineStr">
        <is>
          <t>room0 B0 冻结 parity</t>
        </is>
      </c>
      <c r="B12" s="74" t="inlineStr">
        <is>
          <t>是</t>
        </is>
      </c>
      <c r="C12" s="74" t="inlineStr">
        <is>
          <t>基线可对齐</t>
        </is>
      </c>
      <c r="D12" s="74" t="inlineStr">
        <is>
          <t>通过</t>
        </is>
      </c>
      <c r="E12" s="74" t="inlineStr"/>
      <c r="F12" s="74" t="inlineStr"/>
      <c r="G12" s="74" t="inlineStr"/>
      <c r="H12" s="74" t="inlineStr"/>
      <c r="I12" s="74" t="inlineStr"/>
      <c r="J12" s="74" t="inlineStr"/>
      <c r="K12" s="74" t="inlineStr"/>
      <c r="L12" s="74" t="inlineStr">
        <is>
          <t>frozen reference</t>
        </is>
      </c>
    </row>
    <row r="13" ht="36" customHeight="1" s="2">
      <c r="A13" s="74" t="inlineStr">
        <is>
          <t>office0 独立冻结 B0 parity 参考</t>
        </is>
      </c>
      <c r="B13" s="74" t="inlineStr">
        <is>
          <t>否</t>
        </is>
      </c>
      <c r="C13" s="74" t="inlineStr">
        <is>
          <t>无法声称独立 parity</t>
        </is>
      </c>
      <c r="D13" s="74" t="inlineStr">
        <is>
          <t>如实报告</t>
        </is>
      </c>
      <c r="E13" s="74" t="inlineStr"/>
      <c r="F13" s="74" t="inlineStr"/>
      <c r="G13" s="74" t="inlineStr"/>
      <c r="H13" s="74" t="inlineStr"/>
      <c r="I13" s="74" t="inlineStr"/>
      <c r="J13" s="74" t="inlineStr"/>
      <c r="K13" s="74" t="inlineStr"/>
      <c r="L13" s="74" t="inlineStr">
        <is>
          <t>fresh online build only</t>
        </is>
      </c>
    </row>
    <row r="14"/>
    <row r="15" ht="24" customHeight="1" s="2">
      <c r="A15" s="91" t="inlineStr">
        <is>
          <t>B. 几何主表：3 个体素尺度 × 2 场景 × 10 条件</t>
        </is>
      </c>
      <c r="B15" s="120" t="n"/>
      <c r="C15" s="120" t="n"/>
      <c r="D15" s="120" t="n"/>
      <c r="E15" s="120" t="n"/>
      <c r="F15" s="120" t="n"/>
      <c r="G15" s="120" t="n"/>
      <c r="H15" s="120" t="n"/>
      <c r="I15" s="120" t="n"/>
      <c r="J15" s="120" t="n"/>
      <c r="K15" s="120" t="n"/>
      <c r="L15" s="120" t="n"/>
    </row>
    <row r="16" ht="30" customHeight="1" s="2">
      <c r="A16" s="92" t="inlineStr">
        <is>
          <t>体素</t>
        </is>
      </c>
      <c r="B16" s="92" t="inlineStr">
        <is>
          <t>场景</t>
        </is>
      </c>
      <c r="C16" s="92" t="inlineStr">
        <is>
          <t>条件</t>
        </is>
      </c>
      <c r="D16" s="92" t="inlineStr">
        <is>
          <t>预测节点</t>
        </is>
      </c>
      <c r="E16" s="92" t="inlineStr">
        <is>
          <t>AP mean@25/50</t>
        </is>
      </c>
      <c r="F16" s="92" t="inlineStr">
        <is>
          <t>Node F1</t>
        </is>
      </c>
      <c r="G16" s="92" t="inlineStr">
        <is>
          <t>语义准确率</t>
        </is>
      </c>
      <c r="H16" s="92" t="inlineStr">
        <is>
          <t>语义正确</t>
        </is>
      </c>
      <c r="I16" s="92" t="inlineStr">
        <is>
          <t>语义分母</t>
        </is>
      </c>
      <c r="J16" s="92" t="inlineStr">
        <is>
          <t>条件类型</t>
        </is>
      </c>
      <c r="K16" s="92" t="inlineStr"/>
      <c r="L16" s="92" t="inlineStr">
        <is>
          <t>备注</t>
        </is>
      </c>
    </row>
    <row r="17">
      <c r="A17" s="96" t="inlineStr">
        <is>
          <t>2.5 cm</t>
        </is>
      </c>
      <c r="B17" s="96" t="inlineStr">
        <is>
          <t>room0</t>
        </is>
      </c>
      <c r="C17" s="96" t="inlineStr">
        <is>
          <t>B0</t>
        </is>
      </c>
      <c r="D17" s="105" t="n">
        <v>72</v>
      </c>
      <c r="E17" s="106" t="n">
        <v>0.01714989746516583</v>
      </c>
      <c r="F17" s="106" t="n">
        <v>0.09815950920245399</v>
      </c>
      <c r="G17" s="106" t="n">
        <v>0.1428571428571428</v>
      </c>
      <c r="H17" s="105" t="n">
        <v>1</v>
      </c>
      <c r="I17" s="105" t="n">
        <v>7</v>
      </c>
      <c r="J17" s="96" t="inlineStr">
        <is>
          <t>基线</t>
        </is>
      </c>
      <c r="K17" s="96" t="inlineStr"/>
      <c r="L17" s="96" t="inlineStr"/>
    </row>
    <row r="18">
      <c r="A18" s="97" t="inlineStr">
        <is>
          <t>2.5 cm</t>
        </is>
      </c>
      <c r="B18" s="97" t="inlineStr">
        <is>
          <t>room0</t>
        </is>
      </c>
      <c r="C18" s="97" t="inlineStr">
        <is>
          <t>legacy_O1</t>
        </is>
      </c>
      <c r="D18" s="107" t="n">
        <v>57</v>
      </c>
      <c r="E18" s="108" t="n">
        <v>0.03952098007941326</v>
      </c>
      <c r="F18" s="108" t="n">
        <v>0.1891891891891892</v>
      </c>
      <c r="G18" s="108" t="n">
        <v>0.2</v>
      </c>
      <c r="H18" s="107" t="n">
        <v>2</v>
      </c>
      <c r="I18" s="107" t="n">
        <v>10</v>
      </c>
      <c r="J18" s="97" t="inlineStr">
        <is>
          <t>旧方法（只追溯）</t>
        </is>
      </c>
      <c r="K18" s="97" t="inlineStr"/>
      <c r="L18" s="97" t="inlineStr"/>
    </row>
    <row r="19">
      <c r="A19" s="96" t="inlineStr">
        <is>
          <t>2.5 cm</t>
        </is>
      </c>
      <c r="B19" s="96" t="inlineStr">
        <is>
          <t>room0</t>
        </is>
      </c>
      <c r="C19" s="96" t="inlineStr">
        <is>
          <t>legacy_O2</t>
        </is>
      </c>
      <c r="D19" s="105" t="n">
        <v>57</v>
      </c>
      <c r="E19" s="106" t="n">
        <v>0.03952098007941326</v>
      </c>
      <c r="F19" s="106" t="n">
        <v>0.1891891891891892</v>
      </c>
      <c r="G19" s="106" t="n">
        <v>0.5</v>
      </c>
      <c r="H19" s="105" t="n">
        <v>5</v>
      </c>
      <c r="I19" s="105" t="n">
        <v>10</v>
      </c>
      <c r="J19" s="96" t="inlineStr">
        <is>
          <t>旧方法（只追溯）</t>
        </is>
      </c>
      <c r="K19" s="96" t="inlineStr"/>
      <c r="L19" s="96" t="inlineStr">
        <is>
          <t>语义分母不是严格 label-only cohort</t>
        </is>
      </c>
    </row>
    <row r="20">
      <c r="A20" s="97" t="inlineStr">
        <is>
          <t>2.5 cm</t>
        </is>
      </c>
      <c r="B20" s="97" t="inlineStr">
        <is>
          <t>room0</t>
        </is>
      </c>
      <c r="C20" s="97" t="inlineStr">
        <is>
          <t>OA_online</t>
        </is>
      </c>
      <c r="D20" s="107" t="n">
        <v>65</v>
      </c>
      <c r="E20" s="108" t="n">
        <v>0.03881207733364136</v>
      </c>
      <c r="F20" s="108" t="n">
        <v>0.1794871794871795</v>
      </c>
      <c r="G20" s="108" t="n">
        <v>0.2</v>
      </c>
      <c r="H20" s="107" t="n">
        <v>2</v>
      </c>
      <c r="I20" s="107" t="n">
        <v>10</v>
      </c>
      <c r="J20" s="97" t="inlineStr">
        <is>
          <t>修正在线 Oracle</t>
        </is>
      </c>
      <c r="K20" s="97" t="inlineStr"/>
      <c r="L20" s="97" t="inlineStr"/>
    </row>
    <row r="21">
      <c r="A21" s="96" t="inlineStr">
        <is>
          <t>2.5 cm</t>
        </is>
      </c>
      <c r="B21" s="96" t="inlineStr">
        <is>
          <t>room0</t>
        </is>
      </c>
      <c r="C21" s="96" t="inlineStr">
        <is>
          <t>OP_raw</t>
        </is>
      </c>
      <c r="D21" s="105" t="n">
        <v>72</v>
      </c>
      <c r="E21" s="106" t="n">
        <v>0.05001873076957805</v>
      </c>
      <c r="F21" s="106" t="n">
        <v>0.196319018404908</v>
      </c>
      <c r="G21" s="106" t="n">
        <v>0.2727272727272727</v>
      </c>
      <c r="H21" s="105" t="n">
        <v>3</v>
      </c>
      <c r="I21" s="105" t="n">
        <v>11</v>
      </c>
      <c r="J21" s="96" t="inlineStr">
        <is>
          <t>修正在线 Oracle</t>
        </is>
      </c>
      <c r="K21" s="96" t="inlineStr"/>
      <c r="L21" s="96" t="inlineStr"/>
    </row>
    <row r="22">
      <c r="A22" s="97" t="inlineStr">
        <is>
          <t>2.5 cm</t>
        </is>
      </c>
      <c r="B22" s="97" t="inlineStr">
        <is>
          <t>room0</t>
        </is>
      </c>
      <c r="C22" s="97" t="inlineStr">
        <is>
          <t>OM_pure</t>
        </is>
      </c>
      <c r="D22" s="107" t="n">
        <v>35</v>
      </c>
      <c r="E22" s="108" t="n">
        <v>0.04747201618051691</v>
      </c>
      <c r="F22" s="108" t="n">
        <v>0.2063492063492063</v>
      </c>
      <c r="G22" s="108" t="n">
        <v>0.25</v>
      </c>
      <c r="H22" s="107" t="n">
        <v>2</v>
      </c>
      <c r="I22" s="107" t="n">
        <v>8</v>
      </c>
      <c r="J22" s="97" t="inlineStr">
        <is>
          <t>修正在线 Oracle</t>
        </is>
      </c>
      <c r="K22" s="97" t="inlineStr"/>
      <c r="L22" s="97" t="inlineStr"/>
    </row>
    <row r="23">
      <c r="A23" s="96" t="inlineStr">
        <is>
          <t>2.5 cm</t>
        </is>
      </c>
      <c r="B23" s="96" t="inlineStr">
        <is>
          <t>room0</t>
        </is>
      </c>
      <c r="C23" s="96" t="inlineStr">
        <is>
          <t>OM_all</t>
        </is>
      </c>
      <c r="D23" s="105" t="n">
        <v>91</v>
      </c>
      <c r="E23" s="106" t="n">
        <v>0.6640146397708597</v>
      </c>
      <c r="F23" s="106" t="n">
        <v>0.8351648351648352</v>
      </c>
      <c r="G23" s="106" t="n">
        <v>0.0625</v>
      </c>
      <c r="H23" s="105" t="n">
        <v>3</v>
      </c>
      <c r="I23" s="105" t="n">
        <v>48</v>
      </c>
      <c r="J23" s="96" t="inlineStr">
        <is>
          <t>修正在线 Oracle</t>
        </is>
      </c>
      <c r="K23" s="96" t="inlineStr"/>
      <c r="L23" s="96" t="inlineStr"/>
    </row>
    <row r="24">
      <c r="A24" s="97" t="inlineStr">
        <is>
          <t>2.5 cm</t>
        </is>
      </c>
      <c r="B24" s="97" t="inlineStr">
        <is>
          <t>room0</t>
        </is>
      </c>
      <c r="C24" s="97" t="inlineStr">
        <is>
          <t>OS_strict</t>
        </is>
      </c>
      <c r="D24" s="107" t="n">
        <v>72</v>
      </c>
      <c r="E24" s="108" t="n">
        <v>0.01714989746516583</v>
      </c>
      <c r="F24" s="108" t="n">
        <v>0.09815950920245399</v>
      </c>
      <c r="G24" s="108" t="n">
        <v>0.1428571428571428</v>
      </c>
      <c r="H24" s="107" t="n">
        <v>1</v>
      </c>
      <c r="I24" s="107" t="n">
        <v>7</v>
      </c>
      <c r="J24" s="97" t="inlineStr">
        <is>
          <t>语义消融</t>
        </is>
      </c>
      <c r="K24" s="97" t="inlineStr"/>
      <c r="L24" s="97" t="inlineStr"/>
    </row>
    <row r="25">
      <c r="A25" s="96" t="inlineStr">
        <is>
          <t>2.5 cm</t>
        </is>
      </c>
      <c r="B25" s="96" t="inlineStr">
        <is>
          <t>room0</t>
        </is>
      </c>
      <c r="C25" s="96" t="inlineStr">
        <is>
          <t>OS_hungarian</t>
        </is>
      </c>
      <c r="D25" s="105" t="n">
        <v>72</v>
      </c>
      <c r="E25" s="106" t="n">
        <v>0.01714989746516583</v>
      </c>
      <c r="F25" s="106" t="n">
        <v>0.09815950920245399</v>
      </c>
      <c r="G25" s="106" t="n">
        <v>1</v>
      </c>
      <c r="H25" s="105" t="n">
        <v>7</v>
      </c>
      <c r="I25" s="105" t="n">
        <v>7</v>
      </c>
      <c r="J25" s="96" t="inlineStr">
        <is>
          <t>语义消融</t>
        </is>
      </c>
      <c r="K25" s="96" t="inlineStr"/>
      <c r="L25" s="96" t="inlineStr">
        <is>
          <t>弱结构匹配，不用于纯语义结论</t>
        </is>
      </c>
    </row>
    <row r="26">
      <c r="A26" s="97" t="inlineStr">
        <is>
          <t>2.5 cm</t>
        </is>
      </c>
      <c r="B26" s="97" t="inlineStr">
        <is>
          <t>room0</t>
        </is>
      </c>
      <c r="C26" s="97" t="inlineStr">
        <is>
          <t>OG</t>
        </is>
      </c>
      <c r="D26" s="107" t="n">
        <v>91</v>
      </c>
      <c r="E26" s="108" t="n">
        <v>1</v>
      </c>
      <c r="F26" s="108" t="n">
        <v>1</v>
      </c>
      <c r="G26" s="108" t="n">
        <v>1</v>
      </c>
      <c r="H26" s="107" t="n">
        <v>58</v>
      </c>
      <c r="I26" s="107" t="n">
        <v>58</v>
      </c>
      <c r="J26" s="97" t="inlineStr">
        <is>
          <t>总上限</t>
        </is>
      </c>
      <c r="K26" s="97" t="inlineStr"/>
      <c r="L26" s="97" t="inlineStr"/>
    </row>
    <row r="27">
      <c r="A27" s="96" t="inlineStr">
        <is>
          <t>2.5 cm</t>
        </is>
      </c>
      <c r="B27" s="96" t="inlineStr">
        <is>
          <t>office0</t>
        </is>
      </c>
      <c r="C27" s="96" t="inlineStr">
        <is>
          <t>B0</t>
        </is>
      </c>
      <c r="D27" s="105" t="n">
        <v>35</v>
      </c>
      <c r="E27" s="106" t="n">
        <v>0.004530453045304531</v>
      </c>
      <c r="F27" s="106" t="n">
        <v>0.04597701149425287</v>
      </c>
      <c r="G27" s="109" t="n"/>
      <c r="H27" s="105" t="n">
        <v>0</v>
      </c>
      <c r="I27" s="105" t="n">
        <v>0</v>
      </c>
      <c r="J27" s="96" t="inlineStr">
        <is>
          <t>基线</t>
        </is>
      </c>
      <c r="K27" s="96" t="inlineStr"/>
      <c r="L27" s="96" t="inlineStr"/>
    </row>
    <row r="28">
      <c r="A28" s="97" t="inlineStr">
        <is>
          <t>2.5 cm</t>
        </is>
      </c>
      <c r="B28" s="97" t="inlineStr">
        <is>
          <t>office0</t>
        </is>
      </c>
      <c r="C28" s="97" t="inlineStr">
        <is>
          <t>legacy_O1</t>
        </is>
      </c>
      <c r="D28" s="107" t="n">
        <v>34</v>
      </c>
      <c r="E28" s="108" t="n">
        <v>0.01717671767176717</v>
      </c>
      <c r="F28" s="108" t="n">
        <v>0.09302325581395349</v>
      </c>
      <c r="G28" s="108" t="n">
        <v>0</v>
      </c>
      <c r="H28" s="107" t="n">
        <v>0</v>
      </c>
      <c r="I28" s="107" t="n">
        <v>3</v>
      </c>
      <c r="J28" s="97" t="inlineStr">
        <is>
          <t>旧方法（只追溯）</t>
        </is>
      </c>
      <c r="K28" s="97" t="inlineStr"/>
      <c r="L28" s="97" t="inlineStr"/>
    </row>
    <row r="29">
      <c r="A29" s="96" t="inlineStr">
        <is>
          <t>2.5 cm</t>
        </is>
      </c>
      <c r="B29" s="96" t="inlineStr">
        <is>
          <t>office0</t>
        </is>
      </c>
      <c r="C29" s="96" t="inlineStr">
        <is>
          <t>legacy_O2</t>
        </is>
      </c>
      <c r="D29" s="105" t="n">
        <v>34</v>
      </c>
      <c r="E29" s="106" t="n">
        <v>0.01717671767176717</v>
      </c>
      <c r="F29" s="106" t="n">
        <v>0.09302325581395349</v>
      </c>
      <c r="G29" s="106" t="n">
        <v>0.3333333333333333</v>
      </c>
      <c r="H29" s="105" t="n">
        <v>1</v>
      </c>
      <c r="I29" s="105" t="n">
        <v>3</v>
      </c>
      <c r="J29" s="96" t="inlineStr">
        <is>
          <t>旧方法（只追溯）</t>
        </is>
      </c>
      <c r="K29" s="96" t="inlineStr"/>
      <c r="L29" s="96" t="inlineStr">
        <is>
          <t>语义分母不是严格 label-only cohort</t>
        </is>
      </c>
    </row>
    <row r="30">
      <c r="A30" s="97" t="inlineStr">
        <is>
          <t>2.5 cm</t>
        </is>
      </c>
      <c r="B30" s="97" t="inlineStr">
        <is>
          <t>office0</t>
        </is>
      </c>
      <c r="C30" s="97" t="inlineStr">
        <is>
          <t>OA_online</t>
        </is>
      </c>
      <c r="D30" s="107" t="n">
        <v>34</v>
      </c>
      <c r="E30" s="108" t="n">
        <v>0.01717671767176717</v>
      </c>
      <c r="F30" s="108" t="n">
        <v>0.09302325581395349</v>
      </c>
      <c r="G30" s="108" t="n">
        <v>0</v>
      </c>
      <c r="H30" s="107" t="n">
        <v>0</v>
      </c>
      <c r="I30" s="107" t="n">
        <v>3</v>
      </c>
      <c r="J30" s="97" t="inlineStr">
        <is>
          <t>修正在线 Oracle</t>
        </is>
      </c>
      <c r="K30" s="97" t="inlineStr"/>
      <c r="L30" s="97" t="inlineStr"/>
    </row>
    <row r="31">
      <c r="A31" s="96" t="inlineStr">
        <is>
          <t>2.5 cm</t>
        </is>
      </c>
      <c r="B31" s="96" t="inlineStr">
        <is>
          <t>office0</t>
        </is>
      </c>
      <c r="C31" s="96" t="inlineStr">
        <is>
          <t>OP_raw</t>
        </is>
      </c>
      <c r="D31" s="105" t="n">
        <v>37</v>
      </c>
      <c r="E31" s="106" t="n">
        <v>0.02518001800180018</v>
      </c>
      <c r="F31" s="106" t="n">
        <v>0.1573033707865168</v>
      </c>
      <c r="G31" s="106" t="n">
        <v>0.3333333333333333</v>
      </c>
      <c r="H31" s="105" t="n">
        <v>1</v>
      </c>
      <c r="I31" s="105" t="n">
        <v>3</v>
      </c>
      <c r="J31" s="96" t="inlineStr">
        <is>
          <t>修正在线 Oracle</t>
        </is>
      </c>
      <c r="K31" s="96" t="inlineStr"/>
      <c r="L31" s="96" t="inlineStr"/>
    </row>
    <row r="32">
      <c r="A32" s="97" t="inlineStr">
        <is>
          <t>2.5 cm</t>
        </is>
      </c>
      <c r="B32" s="97" t="inlineStr">
        <is>
          <t>office0</t>
        </is>
      </c>
      <c r="C32" s="97" t="inlineStr">
        <is>
          <t>OM_pure</t>
        </is>
      </c>
      <c r="D32" s="107" t="n">
        <v>19</v>
      </c>
      <c r="E32" s="108" t="n">
        <v>0.02819031903190319</v>
      </c>
      <c r="F32" s="108" t="n">
        <v>0.1971830985915493</v>
      </c>
      <c r="G32" s="108" t="n">
        <v>0.6666666666666666</v>
      </c>
      <c r="H32" s="107" t="n">
        <v>2</v>
      </c>
      <c r="I32" s="107" t="n">
        <v>3</v>
      </c>
      <c r="J32" s="97" t="inlineStr">
        <is>
          <t>修正在线 Oracle</t>
        </is>
      </c>
      <c r="K32" s="97" t="inlineStr"/>
      <c r="L32" s="97" t="inlineStr"/>
    </row>
    <row r="33">
      <c r="A33" s="96" t="inlineStr">
        <is>
          <t>2.5 cm</t>
        </is>
      </c>
      <c r="B33" s="96" t="inlineStr">
        <is>
          <t>office0</t>
        </is>
      </c>
      <c r="C33" s="96" t="inlineStr">
        <is>
          <t>OM_all</t>
        </is>
      </c>
      <c r="D33" s="105" t="n">
        <v>50</v>
      </c>
      <c r="E33" s="106" t="n">
        <v>0.6430803044996936</v>
      </c>
      <c r="F33" s="106" t="n">
        <v>0.8627450980392157</v>
      </c>
      <c r="G33" s="106" t="n">
        <v>0.2857142857142857</v>
      </c>
      <c r="H33" s="105" t="n">
        <v>4</v>
      </c>
      <c r="I33" s="105" t="n">
        <v>14</v>
      </c>
      <c r="J33" s="96" t="inlineStr">
        <is>
          <t>修正在线 Oracle</t>
        </is>
      </c>
      <c r="K33" s="96" t="inlineStr"/>
      <c r="L33" s="96" t="inlineStr"/>
    </row>
    <row r="34">
      <c r="A34" s="97" t="inlineStr">
        <is>
          <t>2.5 cm</t>
        </is>
      </c>
      <c r="B34" s="97" t="inlineStr">
        <is>
          <t>office0</t>
        </is>
      </c>
      <c r="C34" s="97" t="inlineStr">
        <is>
          <t>OS_strict</t>
        </is>
      </c>
      <c r="D34" s="107" t="n">
        <v>35</v>
      </c>
      <c r="E34" s="108" t="n">
        <v>0.004530453045304531</v>
      </c>
      <c r="F34" s="108" t="n">
        <v>0.04597701149425287</v>
      </c>
      <c r="G34" s="110" t="n"/>
      <c r="H34" s="107" t="n">
        <v>0</v>
      </c>
      <c r="I34" s="107" t="n">
        <v>0</v>
      </c>
      <c r="J34" s="97" t="inlineStr">
        <is>
          <t>语义消融</t>
        </is>
      </c>
      <c r="K34" s="97" t="inlineStr"/>
      <c r="L34" s="97" t="inlineStr"/>
    </row>
    <row r="35">
      <c r="A35" s="96" t="inlineStr">
        <is>
          <t>2.5 cm</t>
        </is>
      </c>
      <c r="B35" s="96" t="inlineStr">
        <is>
          <t>office0</t>
        </is>
      </c>
      <c r="C35" s="96" t="inlineStr">
        <is>
          <t>OS_hungarian</t>
        </is>
      </c>
      <c r="D35" s="105" t="n">
        <v>35</v>
      </c>
      <c r="E35" s="106" t="n">
        <v>0.004530453045304531</v>
      </c>
      <c r="F35" s="106" t="n">
        <v>0.04597701149425287</v>
      </c>
      <c r="G35" s="109" t="n"/>
      <c r="H35" s="105" t="n">
        <v>0</v>
      </c>
      <c r="I35" s="105" t="n">
        <v>0</v>
      </c>
      <c r="J35" s="96" t="inlineStr">
        <is>
          <t>语义消融</t>
        </is>
      </c>
      <c r="K35" s="96" t="inlineStr"/>
      <c r="L35" s="96" t="inlineStr">
        <is>
          <t>弱结构匹配，不用于纯语义结论</t>
        </is>
      </c>
    </row>
    <row r="36">
      <c r="A36" s="97" t="inlineStr">
        <is>
          <t>2.5 cm</t>
        </is>
      </c>
      <c r="B36" s="97" t="inlineStr">
        <is>
          <t>office0</t>
        </is>
      </c>
      <c r="C36" s="97" t="inlineStr">
        <is>
          <t>OG</t>
        </is>
      </c>
      <c r="D36" s="107" t="n">
        <v>52</v>
      </c>
      <c r="E36" s="108" t="n">
        <v>1</v>
      </c>
      <c r="F36" s="108" t="n">
        <v>1</v>
      </c>
      <c r="G36" s="108" t="n">
        <v>1</v>
      </c>
      <c r="H36" s="107" t="n">
        <v>15</v>
      </c>
      <c r="I36" s="107" t="n">
        <v>15</v>
      </c>
      <c r="J36" s="97" t="inlineStr">
        <is>
          <t>总上限</t>
        </is>
      </c>
      <c r="K36" s="97" t="inlineStr"/>
      <c r="L36" s="97" t="inlineStr"/>
    </row>
    <row r="37">
      <c r="A37" s="96" t="inlineStr">
        <is>
          <t>5.0 cm</t>
        </is>
      </c>
      <c r="B37" s="96" t="inlineStr">
        <is>
          <t>room0</t>
        </is>
      </c>
      <c r="C37" s="96" t="inlineStr">
        <is>
          <t>B0</t>
        </is>
      </c>
      <c r="D37" s="105" t="n">
        <v>72</v>
      </c>
      <c r="E37" s="106" t="n">
        <v>0.02232953862187838</v>
      </c>
      <c r="F37" s="106" t="n">
        <v>0.1104294478527607</v>
      </c>
      <c r="G37" s="106" t="n">
        <v>0.25</v>
      </c>
      <c r="H37" s="105" t="n">
        <v>2</v>
      </c>
      <c r="I37" s="105" t="n">
        <v>8</v>
      </c>
      <c r="J37" s="96" t="inlineStr">
        <is>
          <t>基线</t>
        </is>
      </c>
      <c r="K37" s="96" t="inlineStr"/>
      <c r="L37" s="96" t="inlineStr"/>
    </row>
    <row r="38">
      <c r="A38" s="97" t="inlineStr">
        <is>
          <t>5.0 cm</t>
        </is>
      </c>
      <c r="B38" s="97" t="inlineStr">
        <is>
          <t>room0</t>
        </is>
      </c>
      <c r="C38" s="97" t="inlineStr">
        <is>
          <t>legacy_O1</t>
        </is>
      </c>
      <c r="D38" s="107" t="n">
        <v>57</v>
      </c>
      <c r="E38" s="108" t="n">
        <v>0.0505070329974449</v>
      </c>
      <c r="F38" s="108" t="n">
        <v>0.2297297297297297</v>
      </c>
      <c r="G38" s="108" t="n">
        <v>0.2307692307692308</v>
      </c>
      <c r="H38" s="107" t="n">
        <v>3</v>
      </c>
      <c r="I38" s="107" t="n">
        <v>13</v>
      </c>
      <c r="J38" s="97" t="inlineStr">
        <is>
          <t>旧方法（只追溯）</t>
        </is>
      </c>
      <c r="K38" s="97" t="inlineStr"/>
      <c r="L38" s="97" t="inlineStr"/>
    </row>
    <row r="39">
      <c r="A39" s="96" t="inlineStr">
        <is>
          <t>5.0 cm</t>
        </is>
      </c>
      <c r="B39" s="96" t="inlineStr">
        <is>
          <t>room0</t>
        </is>
      </c>
      <c r="C39" s="96" t="inlineStr">
        <is>
          <t>legacy_O2</t>
        </is>
      </c>
      <c r="D39" s="105" t="n">
        <v>57</v>
      </c>
      <c r="E39" s="106" t="n">
        <v>0.0505070329974449</v>
      </c>
      <c r="F39" s="106" t="n">
        <v>0.2297297297297297</v>
      </c>
      <c r="G39" s="106" t="n">
        <v>0.4615384615384616</v>
      </c>
      <c r="H39" s="105" t="n">
        <v>6</v>
      </c>
      <c r="I39" s="105" t="n">
        <v>13</v>
      </c>
      <c r="J39" s="96" t="inlineStr">
        <is>
          <t>旧方法（只追溯）</t>
        </is>
      </c>
      <c r="K39" s="96" t="inlineStr"/>
      <c r="L39" s="96" t="inlineStr">
        <is>
          <t>语义分母不是严格 label-only cohort</t>
        </is>
      </c>
    </row>
    <row r="40">
      <c r="A40" s="97" t="inlineStr">
        <is>
          <t>5.0 cm</t>
        </is>
      </c>
      <c r="B40" s="97" t="inlineStr">
        <is>
          <t>room0</t>
        </is>
      </c>
      <c r="C40" s="97" t="inlineStr">
        <is>
          <t>OA_online</t>
        </is>
      </c>
      <c r="D40" s="107" t="n">
        <v>65</v>
      </c>
      <c r="E40" s="108" t="n">
        <v>0.05004770883588639</v>
      </c>
      <c r="F40" s="108" t="n">
        <v>0.217948717948718</v>
      </c>
      <c r="G40" s="108" t="n">
        <v>0.2307692307692308</v>
      </c>
      <c r="H40" s="107" t="n">
        <v>3</v>
      </c>
      <c r="I40" s="107" t="n">
        <v>13</v>
      </c>
      <c r="J40" s="97" t="inlineStr">
        <is>
          <t>修正在线 Oracle</t>
        </is>
      </c>
      <c r="K40" s="97" t="inlineStr"/>
      <c r="L40" s="97" t="inlineStr"/>
    </row>
    <row r="41">
      <c r="A41" s="96" t="inlineStr">
        <is>
          <t>5.0 cm</t>
        </is>
      </c>
      <c r="B41" s="96" t="inlineStr">
        <is>
          <t>room0</t>
        </is>
      </c>
      <c r="C41" s="96" t="inlineStr">
        <is>
          <t>OP_raw</t>
        </is>
      </c>
      <c r="D41" s="105" t="n">
        <v>72</v>
      </c>
      <c r="E41" s="106" t="n">
        <v>0.05705968452415167</v>
      </c>
      <c r="F41" s="106" t="n">
        <v>0.2208588957055215</v>
      </c>
      <c r="G41" s="106" t="n">
        <v>0.2307692307692308</v>
      </c>
      <c r="H41" s="105" t="n">
        <v>3</v>
      </c>
      <c r="I41" s="105" t="n">
        <v>13</v>
      </c>
      <c r="J41" s="96" t="inlineStr">
        <is>
          <t>修正在线 Oracle</t>
        </is>
      </c>
      <c r="K41" s="96" t="inlineStr"/>
      <c r="L41" s="96" t="inlineStr"/>
    </row>
    <row r="42">
      <c r="A42" s="97" t="inlineStr">
        <is>
          <t>5.0 cm</t>
        </is>
      </c>
      <c r="B42" s="97" t="inlineStr">
        <is>
          <t>room0</t>
        </is>
      </c>
      <c r="C42" s="97" t="inlineStr">
        <is>
          <t>OM_pure</t>
        </is>
      </c>
      <c r="D42" s="107" t="n">
        <v>35</v>
      </c>
      <c r="E42" s="108" t="n">
        <v>0.06005576151842688</v>
      </c>
      <c r="F42" s="108" t="n">
        <v>0.2222222222222222</v>
      </c>
      <c r="G42" s="108" t="n">
        <v>0.2222222222222222</v>
      </c>
      <c r="H42" s="107" t="n">
        <v>2</v>
      </c>
      <c r="I42" s="107" t="n">
        <v>9</v>
      </c>
      <c r="J42" s="97" t="inlineStr">
        <is>
          <t>修正在线 Oracle</t>
        </is>
      </c>
      <c r="K42" s="97" t="inlineStr"/>
      <c r="L42" s="97" t="inlineStr"/>
    </row>
    <row r="43">
      <c r="A43" s="96" t="inlineStr">
        <is>
          <t>5.0 cm</t>
        </is>
      </c>
      <c r="B43" s="96" t="inlineStr">
        <is>
          <t>room0</t>
        </is>
      </c>
      <c r="C43" s="96" t="inlineStr">
        <is>
          <t>OM_all</t>
        </is>
      </c>
      <c r="D43" s="105" t="n">
        <v>91</v>
      </c>
      <c r="E43" s="106" t="n">
        <v>0.6769744267843866</v>
      </c>
      <c r="F43" s="106" t="n">
        <v>0.8351648351648352</v>
      </c>
      <c r="G43" s="106" t="n">
        <v>0.06122448979591837</v>
      </c>
      <c r="H43" s="105" t="n">
        <v>3</v>
      </c>
      <c r="I43" s="105" t="n">
        <v>49</v>
      </c>
      <c r="J43" s="96" t="inlineStr">
        <is>
          <t>修正在线 Oracle</t>
        </is>
      </c>
      <c r="K43" s="96" t="inlineStr"/>
      <c r="L43" s="96" t="inlineStr"/>
    </row>
    <row r="44">
      <c r="A44" s="97" t="inlineStr">
        <is>
          <t>5.0 cm</t>
        </is>
      </c>
      <c r="B44" s="97" t="inlineStr">
        <is>
          <t>room0</t>
        </is>
      </c>
      <c r="C44" s="97" t="inlineStr">
        <is>
          <t>OS_strict</t>
        </is>
      </c>
      <c r="D44" s="107" t="n">
        <v>72</v>
      </c>
      <c r="E44" s="108" t="n">
        <v>0.02232953862187838</v>
      </c>
      <c r="F44" s="108" t="n">
        <v>0.1104294478527607</v>
      </c>
      <c r="G44" s="108" t="n">
        <v>0.25</v>
      </c>
      <c r="H44" s="107" t="n">
        <v>2</v>
      </c>
      <c r="I44" s="107" t="n">
        <v>8</v>
      </c>
      <c r="J44" s="97" t="inlineStr">
        <is>
          <t>语义消融</t>
        </is>
      </c>
      <c r="K44" s="97" t="inlineStr"/>
      <c r="L44" s="97" t="inlineStr"/>
    </row>
    <row r="45">
      <c r="A45" s="96" t="inlineStr">
        <is>
          <t>5.0 cm</t>
        </is>
      </c>
      <c r="B45" s="96" t="inlineStr">
        <is>
          <t>room0</t>
        </is>
      </c>
      <c r="C45" s="96" t="inlineStr">
        <is>
          <t>OS_hungarian</t>
        </is>
      </c>
      <c r="D45" s="105" t="n">
        <v>72</v>
      </c>
      <c r="E45" s="106" t="n">
        <v>0.02232953862187838</v>
      </c>
      <c r="F45" s="106" t="n">
        <v>0.1104294478527607</v>
      </c>
      <c r="G45" s="106" t="n">
        <v>0.875</v>
      </c>
      <c r="H45" s="105" t="n">
        <v>7</v>
      </c>
      <c r="I45" s="105" t="n">
        <v>8</v>
      </c>
      <c r="J45" s="96" t="inlineStr">
        <is>
          <t>语义消融</t>
        </is>
      </c>
      <c r="K45" s="96" t="inlineStr"/>
      <c r="L45" s="96" t="inlineStr">
        <is>
          <t>弱结构匹配，不用于纯语义结论</t>
        </is>
      </c>
    </row>
    <row r="46">
      <c r="A46" s="97" t="inlineStr">
        <is>
          <t>5.0 cm</t>
        </is>
      </c>
      <c r="B46" s="97" t="inlineStr">
        <is>
          <t>room0</t>
        </is>
      </c>
      <c r="C46" s="97" t="inlineStr">
        <is>
          <t>OG</t>
        </is>
      </c>
      <c r="D46" s="107" t="n">
        <v>91</v>
      </c>
      <c r="E46" s="108" t="n">
        <v>1</v>
      </c>
      <c r="F46" s="108" t="n">
        <v>1</v>
      </c>
      <c r="G46" s="108" t="n">
        <v>1</v>
      </c>
      <c r="H46" s="107" t="n">
        <v>58</v>
      </c>
      <c r="I46" s="107" t="n">
        <v>58</v>
      </c>
      <c r="J46" s="97" t="inlineStr">
        <is>
          <t>总上限</t>
        </is>
      </c>
      <c r="K46" s="97" t="inlineStr"/>
      <c r="L46" s="97" t="inlineStr"/>
    </row>
    <row r="47">
      <c r="A47" s="96" t="inlineStr">
        <is>
          <t>5.0 cm</t>
        </is>
      </c>
      <c r="B47" s="96" t="inlineStr">
        <is>
          <t>office0</t>
        </is>
      </c>
      <c r="C47" s="96" t="inlineStr">
        <is>
          <t>B0</t>
        </is>
      </c>
      <c r="D47" s="105" t="n">
        <v>35</v>
      </c>
      <c r="E47" s="106" t="n">
        <v>0.004530453045304531</v>
      </c>
      <c r="F47" s="106" t="n">
        <v>0.06896551724137931</v>
      </c>
      <c r="G47" s="106" t="n">
        <v>1</v>
      </c>
      <c r="H47" s="105" t="n">
        <v>1</v>
      </c>
      <c r="I47" s="105" t="n">
        <v>1</v>
      </c>
      <c r="J47" s="96" t="inlineStr">
        <is>
          <t>基线</t>
        </is>
      </c>
      <c r="K47" s="96" t="inlineStr"/>
      <c r="L47" s="96" t="inlineStr"/>
    </row>
    <row r="48">
      <c r="A48" s="97" t="inlineStr">
        <is>
          <t>5.0 cm</t>
        </is>
      </c>
      <c r="B48" s="97" t="inlineStr">
        <is>
          <t>office0</t>
        </is>
      </c>
      <c r="C48" s="97" t="inlineStr">
        <is>
          <t>legacy_O1</t>
        </is>
      </c>
      <c r="D48" s="107" t="n">
        <v>34</v>
      </c>
      <c r="E48" s="108" t="n">
        <v>0.01357635763576357</v>
      </c>
      <c r="F48" s="108" t="n">
        <v>0.09302325581395349</v>
      </c>
      <c r="G48" s="108" t="n">
        <v>0.25</v>
      </c>
      <c r="H48" s="107" t="n">
        <v>1</v>
      </c>
      <c r="I48" s="107" t="n">
        <v>4</v>
      </c>
      <c r="J48" s="97" t="inlineStr">
        <is>
          <t>旧方法（只追溯）</t>
        </is>
      </c>
      <c r="K48" s="97" t="inlineStr"/>
      <c r="L48" s="97" t="inlineStr"/>
    </row>
    <row r="49">
      <c r="A49" s="96" t="inlineStr">
        <is>
          <t>5.0 cm</t>
        </is>
      </c>
      <c r="B49" s="96" t="inlineStr">
        <is>
          <t>office0</t>
        </is>
      </c>
      <c r="C49" s="96" t="inlineStr">
        <is>
          <t>legacy_O2</t>
        </is>
      </c>
      <c r="D49" s="105" t="n">
        <v>34</v>
      </c>
      <c r="E49" s="106" t="n">
        <v>0.01357635763576357</v>
      </c>
      <c r="F49" s="106" t="n">
        <v>0.09302325581395349</v>
      </c>
      <c r="G49" s="106" t="n">
        <v>0.5</v>
      </c>
      <c r="H49" s="105" t="n">
        <v>2</v>
      </c>
      <c r="I49" s="105" t="n">
        <v>4</v>
      </c>
      <c r="J49" s="96" t="inlineStr">
        <is>
          <t>旧方法（只追溯）</t>
        </is>
      </c>
      <c r="K49" s="96" t="inlineStr"/>
      <c r="L49" s="96" t="inlineStr">
        <is>
          <t>语义分母不是严格 label-only cohort</t>
        </is>
      </c>
    </row>
    <row r="50">
      <c r="A50" s="97" t="inlineStr">
        <is>
          <t>5.0 cm</t>
        </is>
      </c>
      <c r="B50" s="97" t="inlineStr">
        <is>
          <t>office0</t>
        </is>
      </c>
      <c r="C50" s="97" t="inlineStr">
        <is>
          <t>OA_online</t>
        </is>
      </c>
      <c r="D50" s="107" t="n">
        <v>34</v>
      </c>
      <c r="E50" s="108" t="n">
        <v>0.01357635763576357</v>
      </c>
      <c r="F50" s="108" t="n">
        <v>0.09302325581395349</v>
      </c>
      <c r="G50" s="108" t="n">
        <v>0.25</v>
      </c>
      <c r="H50" s="107" t="n">
        <v>1</v>
      </c>
      <c r="I50" s="107" t="n">
        <v>4</v>
      </c>
      <c r="J50" s="97" t="inlineStr">
        <is>
          <t>修正在线 Oracle</t>
        </is>
      </c>
      <c r="K50" s="97" t="inlineStr"/>
      <c r="L50" s="97" t="inlineStr"/>
    </row>
    <row r="51">
      <c r="A51" s="96" t="inlineStr">
        <is>
          <t>5.0 cm</t>
        </is>
      </c>
      <c r="B51" s="96" t="inlineStr">
        <is>
          <t>office0</t>
        </is>
      </c>
      <c r="C51" s="96" t="inlineStr">
        <is>
          <t>OP_raw</t>
        </is>
      </c>
      <c r="D51" s="105" t="n">
        <v>37</v>
      </c>
      <c r="E51" s="106" t="n">
        <v>0.02028952895289529</v>
      </c>
      <c r="F51" s="106" t="n">
        <v>0.1573033707865168</v>
      </c>
      <c r="G51" s="106" t="n">
        <v>0.5</v>
      </c>
      <c r="H51" s="105" t="n">
        <v>2</v>
      </c>
      <c r="I51" s="105" t="n">
        <v>4</v>
      </c>
      <c r="J51" s="96" t="inlineStr">
        <is>
          <t>修正在线 Oracle</t>
        </is>
      </c>
      <c r="K51" s="96" t="inlineStr"/>
      <c r="L51" s="96" t="inlineStr"/>
    </row>
    <row r="52">
      <c r="A52" s="97" t="inlineStr">
        <is>
          <t>5.0 cm</t>
        </is>
      </c>
      <c r="B52" s="97" t="inlineStr">
        <is>
          <t>office0</t>
        </is>
      </c>
      <c r="C52" s="97" t="inlineStr">
        <is>
          <t>OM_pure</t>
        </is>
      </c>
      <c r="D52" s="107" t="n">
        <v>19</v>
      </c>
      <c r="E52" s="108" t="n">
        <v>0.04550981413930866</v>
      </c>
      <c r="F52" s="108" t="n">
        <v>0.2535211267605634</v>
      </c>
      <c r="G52" s="108" t="n">
        <v>0.6666666666666666</v>
      </c>
      <c r="H52" s="107" t="n">
        <v>2</v>
      </c>
      <c r="I52" s="107" t="n">
        <v>3</v>
      </c>
      <c r="J52" s="97" t="inlineStr">
        <is>
          <t>修正在线 Oracle</t>
        </is>
      </c>
      <c r="K52" s="97" t="inlineStr"/>
      <c r="L52" s="97" t="inlineStr"/>
    </row>
    <row r="53">
      <c r="A53" s="96" t="inlineStr">
        <is>
          <t>5.0 cm</t>
        </is>
      </c>
      <c r="B53" s="96" t="inlineStr">
        <is>
          <t>office0</t>
        </is>
      </c>
      <c r="C53" s="96" t="inlineStr">
        <is>
          <t>OM_all</t>
        </is>
      </c>
      <c r="D53" s="105" t="n">
        <v>50</v>
      </c>
      <c r="E53" s="106" t="n">
        <v>0.6358061076922576</v>
      </c>
      <c r="F53" s="106" t="n">
        <v>0.8627450980392157</v>
      </c>
      <c r="G53" s="106" t="n">
        <v>0.2857142857142857</v>
      </c>
      <c r="H53" s="105" t="n">
        <v>4</v>
      </c>
      <c r="I53" s="105" t="n">
        <v>14</v>
      </c>
      <c r="J53" s="96" t="inlineStr">
        <is>
          <t>修正在线 Oracle</t>
        </is>
      </c>
      <c r="K53" s="96" t="inlineStr"/>
      <c r="L53" s="96" t="inlineStr"/>
    </row>
    <row r="54">
      <c r="A54" s="97" t="inlineStr">
        <is>
          <t>5.0 cm</t>
        </is>
      </c>
      <c r="B54" s="97" t="inlineStr">
        <is>
          <t>office0</t>
        </is>
      </c>
      <c r="C54" s="97" t="inlineStr">
        <is>
          <t>OS_strict</t>
        </is>
      </c>
      <c r="D54" s="107" t="n">
        <v>35</v>
      </c>
      <c r="E54" s="108" t="n">
        <v>0.004530453045304531</v>
      </c>
      <c r="F54" s="108" t="n">
        <v>0.06896551724137931</v>
      </c>
      <c r="G54" s="108" t="n">
        <v>1</v>
      </c>
      <c r="H54" s="107" t="n">
        <v>1</v>
      </c>
      <c r="I54" s="107" t="n">
        <v>1</v>
      </c>
      <c r="J54" s="97" t="inlineStr">
        <is>
          <t>语义消融</t>
        </is>
      </c>
      <c r="K54" s="97" t="inlineStr"/>
      <c r="L54" s="97" t="inlineStr"/>
    </row>
    <row r="55">
      <c r="A55" s="96" t="inlineStr">
        <is>
          <t>5.0 cm</t>
        </is>
      </c>
      <c r="B55" s="96" t="inlineStr">
        <is>
          <t>office0</t>
        </is>
      </c>
      <c r="C55" s="96" t="inlineStr">
        <is>
          <t>OS_hungarian</t>
        </is>
      </c>
      <c r="D55" s="105" t="n">
        <v>35</v>
      </c>
      <c r="E55" s="106" t="n">
        <v>0.004530453045304531</v>
      </c>
      <c r="F55" s="106" t="n">
        <v>0.06896551724137931</v>
      </c>
      <c r="G55" s="106" t="n">
        <v>1</v>
      </c>
      <c r="H55" s="105" t="n">
        <v>1</v>
      </c>
      <c r="I55" s="105" t="n">
        <v>1</v>
      </c>
      <c r="J55" s="96" t="inlineStr">
        <is>
          <t>语义消融</t>
        </is>
      </c>
      <c r="K55" s="96" t="inlineStr"/>
      <c r="L55" s="96" t="inlineStr">
        <is>
          <t>弱结构匹配，不用于纯语义结论</t>
        </is>
      </c>
    </row>
    <row r="56">
      <c r="A56" s="97" t="inlineStr">
        <is>
          <t>5.0 cm</t>
        </is>
      </c>
      <c r="B56" s="97" t="inlineStr">
        <is>
          <t>office0</t>
        </is>
      </c>
      <c r="C56" s="97" t="inlineStr">
        <is>
          <t>OG</t>
        </is>
      </c>
      <c r="D56" s="107" t="n">
        <v>52</v>
      </c>
      <c r="E56" s="108" t="n">
        <v>1</v>
      </c>
      <c r="F56" s="108" t="n">
        <v>1</v>
      </c>
      <c r="G56" s="108" t="n">
        <v>1</v>
      </c>
      <c r="H56" s="107" t="n">
        <v>15</v>
      </c>
      <c r="I56" s="107" t="n">
        <v>15</v>
      </c>
      <c r="J56" s="97" t="inlineStr">
        <is>
          <t>总上限</t>
        </is>
      </c>
      <c r="K56" s="97" t="inlineStr"/>
      <c r="L56" s="97" t="inlineStr"/>
    </row>
    <row r="57">
      <c r="A57" s="96" t="inlineStr">
        <is>
          <t>10.0 cm</t>
        </is>
      </c>
      <c r="B57" s="96" t="inlineStr">
        <is>
          <t>room0</t>
        </is>
      </c>
      <c r="C57" s="96" t="inlineStr">
        <is>
          <t>B0</t>
        </is>
      </c>
      <c r="D57" s="105" t="n">
        <v>72</v>
      </c>
      <c r="E57" s="106" t="n">
        <v>0.03444974009567951</v>
      </c>
      <c r="F57" s="106" t="n">
        <v>0.1595092024539877</v>
      </c>
      <c r="G57" s="106" t="n">
        <v>0.1818181818181818</v>
      </c>
      <c r="H57" s="105" t="n">
        <v>2</v>
      </c>
      <c r="I57" s="105" t="n">
        <v>11</v>
      </c>
      <c r="J57" s="96" t="inlineStr">
        <is>
          <t>基线</t>
        </is>
      </c>
      <c r="K57" s="96" t="inlineStr"/>
      <c r="L57" s="96" t="inlineStr"/>
    </row>
    <row r="58">
      <c r="A58" s="97" t="inlineStr">
        <is>
          <t>10.0 cm</t>
        </is>
      </c>
      <c r="B58" s="97" t="inlineStr">
        <is>
          <t>room0</t>
        </is>
      </c>
      <c r="C58" s="97" t="inlineStr">
        <is>
          <t>legacy_O1</t>
        </is>
      </c>
      <c r="D58" s="107" t="n">
        <v>57</v>
      </c>
      <c r="E58" s="108" t="n">
        <v>0.06374396625589038</v>
      </c>
      <c r="F58" s="108" t="n">
        <v>0.2432432432432433</v>
      </c>
      <c r="G58" s="108" t="n">
        <v>0.2307692307692308</v>
      </c>
      <c r="H58" s="107" t="n">
        <v>3</v>
      </c>
      <c r="I58" s="107" t="n">
        <v>13</v>
      </c>
      <c r="J58" s="97" t="inlineStr">
        <is>
          <t>旧方法（只追溯）</t>
        </is>
      </c>
      <c r="K58" s="97" t="inlineStr"/>
      <c r="L58" s="97" t="inlineStr"/>
    </row>
    <row r="59">
      <c r="A59" s="96" t="inlineStr">
        <is>
          <t>10.0 cm</t>
        </is>
      </c>
      <c r="B59" s="96" t="inlineStr">
        <is>
          <t>room0</t>
        </is>
      </c>
      <c r="C59" s="96" t="inlineStr">
        <is>
          <t>legacy_O2</t>
        </is>
      </c>
      <c r="D59" s="105" t="n">
        <v>57</v>
      </c>
      <c r="E59" s="106" t="n">
        <v>0.06374396625589038</v>
      </c>
      <c r="F59" s="106" t="n">
        <v>0.2432432432432433</v>
      </c>
      <c r="G59" s="106" t="n">
        <v>0.3076923076923077</v>
      </c>
      <c r="H59" s="105" t="n">
        <v>4</v>
      </c>
      <c r="I59" s="105" t="n">
        <v>13</v>
      </c>
      <c r="J59" s="96" t="inlineStr">
        <is>
          <t>旧方法（只追溯）</t>
        </is>
      </c>
      <c r="K59" s="96" t="inlineStr"/>
      <c r="L59" s="96" t="inlineStr">
        <is>
          <t>语义分母不是严格 label-only cohort</t>
        </is>
      </c>
    </row>
    <row r="60">
      <c r="A60" s="97" t="inlineStr">
        <is>
          <t>10.0 cm</t>
        </is>
      </c>
      <c r="B60" s="97" t="inlineStr">
        <is>
          <t>room0</t>
        </is>
      </c>
      <c r="C60" s="97" t="inlineStr">
        <is>
          <t>OA_online</t>
        </is>
      </c>
      <c r="D60" s="107" t="n">
        <v>65</v>
      </c>
      <c r="E60" s="108" t="n">
        <v>0.06292069195209919</v>
      </c>
      <c r="F60" s="108" t="n">
        <v>0.2307692307692308</v>
      </c>
      <c r="G60" s="108" t="n">
        <v>0.2307692307692308</v>
      </c>
      <c r="H60" s="107" t="n">
        <v>3</v>
      </c>
      <c r="I60" s="107" t="n">
        <v>13</v>
      </c>
      <c r="J60" s="97" t="inlineStr">
        <is>
          <t>修正在线 Oracle</t>
        </is>
      </c>
      <c r="K60" s="97" t="inlineStr"/>
      <c r="L60" s="97" t="inlineStr"/>
    </row>
    <row r="61">
      <c r="A61" s="96" t="inlineStr">
        <is>
          <t>10.0 cm</t>
        </is>
      </c>
      <c r="B61" s="96" t="inlineStr">
        <is>
          <t>room0</t>
        </is>
      </c>
      <c r="C61" s="96" t="inlineStr">
        <is>
          <t>OP_raw</t>
        </is>
      </c>
      <c r="D61" s="105" t="n">
        <v>72</v>
      </c>
      <c r="E61" s="106" t="n">
        <v>0.07107420906312915</v>
      </c>
      <c r="F61" s="106" t="n">
        <v>0.245398773006135</v>
      </c>
      <c r="G61" s="106" t="n">
        <v>0.2</v>
      </c>
      <c r="H61" s="105" t="n">
        <v>3</v>
      </c>
      <c r="I61" s="105" t="n">
        <v>15</v>
      </c>
      <c r="J61" s="96" t="inlineStr">
        <is>
          <t>修正在线 Oracle</t>
        </is>
      </c>
      <c r="K61" s="96" t="inlineStr"/>
      <c r="L61" s="96" t="inlineStr"/>
    </row>
    <row r="62">
      <c r="A62" s="97" t="inlineStr">
        <is>
          <t>10.0 cm</t>
        </is>
      </c>
      <c r="B62" s="97" t="inlineStr">
        <is>
          <t>room0</t>
        </is>
      </c>
      <c r="C62" s="97" t="inlineStr">
        <is>
          <t>OM_pure</t>
        </is>
      </c>
      <c r="D62" s="107" t="n">
        <v>35</v>
      </c>
      <c r="E62" s="108" t="n">
        <v>0.07220277213123147</v>
      </c>
      <c r="F62" s="108" t="n">
        <v>0.2380952380952381</v>
      </c>
      <c r="G62" s="108" t="n">
        <v>0.2</v>
      </c>
      <c r="H62" s="107" t="n">
        <v>2</v>
      </c>
      <c r="I62" s="107" t="n">
        <v>10</v>
      </c>
      <c r="J62" s="97" t="inlineStr">
        <is>
          <t>修正在线 Oracle</t>
        </is>
      </c>
      <c r="K62" s="97" t="inlineStr"/>
      <c r="L62" s="97" t="inlineStr"/>
    </row>
    <row r="63">
      <c r="A63" s="96" t="inlineStr">
        <is>
          <t>10.0 cm</t>
        </is>
      </c>
      <c r="B63" s="96" t="inlineStr">
        <is>
          <t>room0</t>
        </is>
      </c>
      <c r="C63" s="96" t="inlineStr">
        <is>
          <t>OM_all</t>
        </is>
      </c>
      <c r="D63" s="105" t="n">
        <v>91</v>
      </c>
      <c r="E63" s="106" t="n">
        <v>0.6770336634772867</v>
      </c>
      <c r="F63" s="106" t="n">
        <v>0.8351648351648352</v>
      </c>
      <c r="G63" s="106" t="n">
        <v>0.06122448979591837</v>
      </c>
      <c r="H63" s="105" t="n">
        <v>3</v>
      </c>
      <c r="I63" s="105" t="n">
        <v>49</v>
      </c>
      <c r="J63" s="96" t="inlineStr">
        <is>
          <t>修正在线 Oracle</t>
        </is>
      </c>
      <c r="K63" s="96" t="inlineStr"/>
      <c r="L63" s="96" t="inlineStr"/>
    </row>
    <row r="64">
      <c r="A64" s="97" t="inlineStr">
        <is>
          <t>10.0 cm</t>
        </is>
      </c>
      <c r="B64" s="97" t="inlineStr">
        <is>
          <t>room0</t>
        </is>
      </c>
      <c r="C64" s="97" t="inlineStr">
        <is>
          <t>OS_strict</t>
        </is>
      </c>
      <c r="D64" s="107" t="n">
        <v>72</v>
      </c>
      <c r="E64" s="108" t="n">
        <v>0.03444974009567951</v>
      </c>
      <c r="F64" s="108" t="n">
        <v>0.1595092024539877</v>
      </c>
      <c r="G64" s="108" t="n">
        <v>0.1818181818181818</v>
      </c>
      <c r="H64" s="107" t="n">
        <v>2</v>
      </c>
      <c r="I64" s="107" t="n">
        <v>11</v>
      </c>
      <c r="J64" s="97" t="inlineStr">
        <is>
          <t>语义消融</t>
        </is>
      </c>
      <c r="K64" s="97" t="inlineStr"/>
      <c r="L64" s="97" t="inlineStr"/>
    </row>
    <row r="65">
      <c r="A65" s="96" t="inlineStr">
        <is>
          <t>10.0 cm</t>
        </is>
      </c>
      <c r="B65" s="96" t="inlineStr">
        <is>
          <t>room0</t>
        </is>
      </c>
      <c r="C65" s="96" t="inlineStr">
        <is>
          <t>OS_hungarian</t>
        </is>
      </c>
      <c r="D65" s="105" t="n">
        <v>72</v>
      </c>
      <c r="E65" s="106" t="n">
        <v>0.03444974009567951</v>
      </c>
      <c r="F65" s="106" t="n">
        <v>0.1595092024539877</v>
      </c>
      <c r="G65" s="106" t="n">
        <v>0.6363636363636364</v>
      </c>
      <c r="H65" s="105" t="n">
        <v>7</v>
      </c>
      <c r="I65" s="105" t="n">
        <v>11</v>
      </c>
      <c r="J65" s="96" t="inlineStr">
        <is>
          <t>语义消融</t>
        </is>
      </c>
      <c r="K65" s="96" t="inlineStr"/>
      <c r="L65" s="96" t="inlineStr">
        <is>
          <t>弱结构匹配，不用于纯语义结论</t>
        </is>
      </c>
    </row>
    <row r="66">
      <c r="A66" s="97" t="inlineStr">
        <is>
          <t>10.0 cm</t>
        </is>
      </c>
      <c r="B66" s="97" t="inlineStr">
        <is>
          <t>room0</t>
        </is>
      </c>
      <c r="C66" s="97" t="inlineStr">
        <is>
          <t>OG</t>
        </is>
      </c>
      <c r="D66" s="107" t="n">
        <v>91</v>
      </c>
      <c r="E66" s="108" t="n">
        <v>1</v>
      </c>
      <c r="F66" s="108" t="n">
        <v>1</v>
      </c>
      <c r="G66" s="108" t="n">
        <v>1</v>
      </c>
      <c r="H66" s="107" t="n">
        <v>58</v>
      </c>
      <c r="I66" s="107" t="n">
        <v>58</v>
      </c>
      <c r="J66" s="97" t="inlineStr">
        <is>
          <t>总上限</t>
        </is>
      </c>
      <c r="K66" s="97" t="inlineStr"/>
      <c r="L66" s="97" t="inlineStr"/>
    </row>
    <row r="67">
      <c r="A67" s="96" t="inlineStr">
        <is>
          <t>10.0 cm</t>
        </is>
      </c>
      <c r="B67" s="96" t="inlineStr">
        <is>
          <t>office0</t>
        </is>
      </c>
      <c r="C67" s="96" t="inlineStr">
        <is>
          <t>B0</t>
        </is>
      </c>
      <c r="D67" s="105" t="n">
        <v>35</v>
      </c>
      <c r="E67" s="106" t="n">
        <v>0.006030603060306031</v>
      </c>
      <c r="F67" s="106" t="n">
        <v>0.09195402298850575</v>
      </c>
      <c r="G67" s="106" t="n">
        <v>1</v>
      </c>
      <c r="H67" s="105" t="n">
        <v>1</v>
      </c>
      <c r="I67" s="105" t="n">
        <v>1</v>
      </c>
      <c r="J67" s="96" t="inlineStr">
        <is>
          <t>基线</t>
        </is>
      </c>
      <c r="K67" s="96" t="inlineStr"/>
      <c r="L67" s="96" t="inlineStr"/>
    </row>
    <row r="68">
      <c r="A68" s="97" t="inlineStr">
        <is>
          <t>10.0 cm</t>
        </is>
      </c>
      <c r="B68" s="97" t="inlineStr">
        <is>
          <t>office0</t>
        </is>
      </c>
      <c r="C68" s="97" t="inlineStr">
        <is>
          <t>legacy_O1</t>
        </is>
      </c>
      <c r="D68" s="107" t="n">
        <v>34</v>
      </c>
      <c r="E68" s="108" t="n">
        <v>0.01795679567956796</v>
      </c>
      <c r="F68" s="108" t="n">
        <v>0.1395348837209302</v>
      </c>
      <c r="G68" s="108" t="n">
        <v>0.25</v>
      </c>
      <c r="H68" s="107" t="n">
        <v>1</v>
      </c>
      <c r="I68" s="107" t="n">
        <v>4</v>
      </c>
      <c r="J68" s="97" t="inlineStr">
        <is>
          <t>旧方法（只追溯）</t>
        </is>
      </c>
      <c r="K68" s="97" t="inlineStr"/>
      <c r="L68" s="97" t="inlineStr"/>
    </row>
    <row r="69">
      <c r="A69" s="96" t="inlineStr">
        <is>
          <t>10.0 cm</t>
        </is>
      </c>
      <c r="B69" s="96" t="inlineStr">
        <is>
          <t>office0</t>
        </is>
      </c>
      <c r="C69" s="96" t="inlineStr">
        <is>
          <t>legacy_O2</t>
        </is>
      </c>
      <c r="D69" s="105" t="n">
        <v>34</v>
      </c>
      <c r="E69" s="106" t="n">
        <v>0.01795679567956796</v>
      </c>
      <c r="F69" s="106" t="n">
        <v>0.1395348837209302</v>
      </c>
      <c r="G69" s="106" t="n">
        <v>0.5</v>
      </c>
      <c r="H69" s="105" t="n">
        <v>2</v>
      </c>
      <c r="I69" s="105" t="n">
        <v>4</v>
      </c>
      <c r="J69" s="96" t="inlineStr">
        <is>
          <t>旧方法（只追溯）</t>
        </is>
      </c>
      <c r="K69" s="96" t="inlineStr"/>
      <c r="L69" s="96" t="inlineStr">
        <is>
          <t>语义分母不是严格 label-only cohort</t>
        </is>
      </c>
    </row>
    <row r="70">
      <c r="A70" s="97" t="inlineStr">
        <is>
          <t>10.0 cm</t>
        </is>
      </c>
      <c r="B70" s="97" t="inlineStr">
        <is>
          <t>office0</t>
        </is>
      </c>
      <c r="C70" s="97" t="inlineStr">
        <is>
          <t>OA_online</t>
        </is>
      </c>
      <c r="D70" s="107" t="n">
        <v>34</v>
      </c>
      <c r="E70" s="108" t="n">
        <v>0.01795679567956796</v>
      </c>
      <c r="F70" s="108" t="n">
        <v>0.1395348837209302</v>
      </c>
      <c r="G70" s="108" t="n">
        <v>0.25</v>
      </c>
      <c r="H70" s="107" t="n">
        <v>1</v>
      </c>
      <c r="I70" s="107" t="n">
        <v>4</v>
      </c>
      <c r="J70" s="97" t="inlineStr">
        <is>
          <t>修正在线 Oracle</t>
        </is>
      </c>
      <c r="K70" s="97" t="inlineStr"/>
      <c r="L70" s="97" t="inlineStr"/>
    </row>
    <row r="71">
      <c r="A71" s="96" t="inlineStr">
        <is>
          <t>10.0 cm</t>
        </is>
      </c>
      <c r="B71" s="96" t="inlineStr">
        <is>
          <t>office0</t>
        </is>
      </c>
      <c r="C71" s="96" t="inlineStr">
        <is>
          <t>OP_raw</t>
        </is>
      </c>
      <c r="D71" s="105" t="n">
        <v>37</v>
      </c>
      <c r="E71" s="106" t="n">
        <v>0.02848034803480348</v>
      </c>
      <c r="F71" s="106" t="n">
        <v>0.1797752808988764</v>
      </c>
      <c r="G71" s="106" t="n">
        <v>0.5</v>
      </c>
      <c r="H71" s="105" t="n">
        <v>2</v>
      </c>
      <c r="I71" s="105" t="n">
        <v>4</v>
      </c>
      <c r="J71" s="96" t="inlineStr">
        <is>
          <t>修正在线 Oracle</t>
        </is>
      </c>
      <c r="K71" s="96" t="inlineStr"/>
      <c r="L71" s="96" t="inlineStr"/>
    </row>
    <row r="72">
      <c r="A72" s="97" t="inlineStr">
        <is>
          <t>10.0 cm</t>
        </is>
      </c>
      <c r="B72" s="97" t="inlineStr">
        <is>
          <t>office0</t>
        </is>
      </c>
      <c r="C72" s="97" t="inlineStr">
        <is>
          <t>OM_pure</t>
        </is>
      </c>
      <c r="D72" s="107" t="n">
        <v>19</v>
      </c>
      <c r="E72" s="108" t="n">
        <v>0.05541080423831857</v>
      </c>
      <c r="F72" s="108" t="n">
        <v>0.2816901408450704</v>
      </c>
      <c r="G72" s="108" t="n">
        <v>0.6666666666666666</v>
      </c>
      <c r="H72" s="107" t="n">
        <v>2</v>
      </c>
      <c r="I72" s="107" t="n">
        <v>3</v>
      </c>
      <c r="J72" s="97" t="inlineStr">
        <is>
          <t>修正在线 Oracle</t>
        </is>
      </c>
      <c r="K72" s="97" t="inlineStr"/>
      <c r="L72" s="97" t="inlineStr"/>
    </row>
    <row r="73">
      <c r="A73" s="96" t="inlineStr">
        <is>
          <t>10.0 cm</t>
        </is>
      </c>
      <c r="B73" s="96" t="inlineStr">
        <is>
          <t>office0</t>
        </is>
      </c>
      <c r="C73" s="96" t="inlineStr">
        <is>
          <t>OM_all</t>
        </is>
      </c>
      <c r="D73" s="105" t="n">
        <v>50</v>
      </c>
      <c r="E73" s="106" t="n">
        <v>0.668399342689872</v>
      </c>
      <c r="F73" s="106" t="n">
        <v>0.8627450980392157</v>
      </c>
      <c r="G73" s="106" t="n">
        <v>0.2857142857142857</v>
      </c>
      <c r="H73" s="105" t="n">
        <v>4</v>
      </c>
      <c r="I73" s="105" t="n">
        <v>14</v>
      </c>
      <c r="J73" s="96" t="inlineStr">
        <is>
          <t>修正在线 Oracle</t>
        </is>
      </c>
      <c r="K73" s="96" t="inlineStr"/>
      <c r="L73" s="96" t="inlineStr"/>
    </row>
    <row r="74">
      <c r="A74" s="97" t="inlineStr">
        <is>
          <t>10.0 cm</t>
        </is>
      </c>
      <c r="B74" s="97" t="inlineStr">
        <is>
          <t>office0</t>
        </is>
      </c>
      <c r="C74" s="97" t="inlineStr">
        <is>
          <t>OS_strict</t>
        </is>
      </c>
      <c r="D74" s="107" t="n">
        <v>35</v>
      </c>
      <c r="E74" s="108" t="n">
        <v>0.006030603060306031</v>
      </c>
      <c r="F74" s="108" t="n">
        <v>0.09195402298850575</v>
      </c>
      <c r="G74" s="108" t="n">
        <v>1</v>
      </c>
      <c r="H74" s="107" t="n">
        <v>1</v>
      </c>
      <c r="I74" s="107" t="n">
        <v>1</v>
      </c>
      <c r="J74" s="97" t="inlineStr">
        <is>
          <t>语义消融</t>
        </is>
      </c>
      <c r="K74" s="97" t="inlineStr"/>
      <c r="L74" s="97" t="inlineStr"/>
    </row>
    <row r="75">
      <c r="A75" s="96" t="inlineStr">
        <is>
          <t>10.0 cm</t>
        </is>
      </c>
      <c r="B75" s="96" t="inlineStr">
        <is>
          <t>office0</t>
        </is>
      </c>
      <c r="C75" s="96" t="inlineStr">
        <is>
          <t>OS_hungarian</t>
        </is>
      </c>
      <c r="D75" s="105" t="n">
        <v>35</v>
      </c>
      <c r="E75" s="106" t="n">
        <v>0.006030603060306031</v>
      </c>
      <c r="F75" s="106" t="n">
        <v>0.09195402298850575</v>
      </c>
      <c r="G75" s="106" t="n">
        <v>1</v>
      </c>
      <c r="H75" s="105" t="n">
        <v>1</v>
      </c>
      <c r="I75" s="105" t="n">
        <v>1</v>
      </c>
      <c r="J75" s="96" t="inlineStr">
        <is>
          <t>语义消融</t>
        </is>
      </c>
      <c r="K75" s="96" t="inlineStr"/>
      <c r="L75" s="96" t="inlineStr">
        <is>
          <t>弱结构匹配，不用于纯语义结论</t>
        </is>
      </c>
    </row>
    <row r="76">
      <c r="A76" s="97" t="inlineStr">
        <is>
          <t>10.0 cm</t>
        </is>
      </c>
      <c r="B76" s="97" t="inlineStr">
        <is>
          <t>office0</t>
        </is>
      </c>
      <c r="C76" s="97" t="inlineStr">
        <is>
          <t>OG</t>
        </is>
      </c>
      <c r="D76" s="107" t="n">
        <v>52</v>
      </c>
      <c r="E76" s="108" t="n">
        <v>1</v>
      </c>
      <c r="F76" s="108" t="n">
        <v>1</v>
      </c>
      <c r="G76" s="108" t="n">
        <v>1</v>
      </c>
      <c r="H76" s="107" t="n">
        <v>15</v>
      </c>
      <c r="I76" s="107" t="n">
        <v>15</v>
      </c>
      <c r="J76" s="97" t="inlineStr">
        <is>
          <t>总上限</t>
        </is>
      </c>
      <c r="K76" s="97" t="inlineStr"/>
      <c r="L76" s="97" t="inlineStr"/>
    </row>
    <row r="77"/>
    <row r="78" ht="24" customHeight="1" s="2">
      <c r="A78" s="91" t="inlineStr">
        <is>
          <t>C. 5 cm 差距恢复与边际增量</t>
        </is>
      </c>
      <c r="B78" s="120" t="n"/>
      <c r="C78" s="120" t="n"/>
      <c r="D78" s="120" t="n"/>
      <c r="E78" s="120" t="n"/>
      <c r="F78" s="120" t="n"/>
      <c r="G78" s="120" t="n"/>
      <c r="H78" s="120" t="n"/>
      <c r="I78" s="120" t="n"/>
      <c r="J78" s="120" t="n"/>
      <c r="K78" s="120" t="n"/>
      <c r="L78" s="120" t="n"/>
    </row>
    <row r="79" ht="30" customHeight="1" s="2">
      <c r="A79" s="92" t="inlineStr">
        <is>
          <t>场景</t>
        </is>
      </c>
      <c r="B79" s="92" t="inlineStr">
        <is>
          <t>OA差距恢复</t>
        </is>
      </c>
      <c r="C79" s="92" t="inlineStr">
        <is>
          <t>OP差距恢复</t>
        </is>
      </c>
      <c r="D79" s="92" t="inlineStr">
        <is>
          <t>OM_pure差距恢复</t>
        </is>
      </c>
      <c r="E79" s="92" t="inlineStr">
        <is>
          <t>OM_all差距恢复</t>
        </is>
      </c>
      <c r="F79" s="92" t="inlineStr">
        <is>
          <t>旧O1差距恢复</t>
        </is>
      </c>
      <c r="G79" s="92" t="inlineStr">
        <is>
          <t>关联增量</t>
        </is>
      </c>
      <c r="H79" s="92" t="inlineStr">
        <is>
          <t>拒绝观测增量</t>
        </is>
      </c>
      <c r="I79" s="92" t="inlineStr">
        <is>
          <t>owner清理增量</t>
        </is>
      </c>
      <c r="J79" s="92" t="inlineStr">
        <is>
          <t>全分区增量</t>
        </is>
      </c>
      <c r="K79" s="92" t="inlineStr">
        <is>
          <t>缺失感知差距</t>
        </is>
      </c>
      <c r="L79" s="92" t="inlineStr">
        <is>
          <t>解释</t>
        </is>
      </c>
    </row>
    <row r="80" ht="36" customHeight="1" s="2">
      <c r="A80" s="97" t="inlineStr">
        <is>
          <t>room0</t>
        </is>
      </c>
      <c r="B80" s="108" t="n">
        <v>0.1208664898320071</v>
      </c>
      <c r="C80" s="108" t="n">
        <v>0.1241379310344828</v>
      </c>
      <c r="D80" s="108" t="n">
        <v>0.1256704980842912</v>
      </c>
      <c r="E80" s="108" t="n">
        <v>0.8147025388404699</v>
      </c>
      <c r="F80" s="108" t="n">
        <v>0.1341099720410066</v>
      </c>
      <c r="G80" s="108" t="n">
        <v>0.1075192700959572</v>
      </c>
      <c r="H80" s="108" t="n">
        <v>0.002910177756803523</v>
      </c>
      <c r="I80" s="108" t="n">
        <v>0.001363326516700736</v>
      </c>
      <c r="J80" s="108" t="n">
        <v>0.612942612942613</v>
      </c>
      <c r="K80" s="108" t="n">
        <v>0.1648351648351648</v>
      </c>
      <c r="L80" s="97" t="inlineStr">
        <is>
          <t>最大边际增量来自 OM_all-OM_pure</t>
        </is>
      </c>
    </row>
    <row r="81" ht="36" customHeight="1" s="2">
      <c r="A81" s="96" t="inlineStr">
        <is>
          <t>office0</t>
        </is>
      </c>
      <c r="B81" s="106" t="n">
        <v>0.02583979328165375</v>
      </c>
      <c r="C81" s="106" t="n">
        <v>0.09488139825218476</v>
      </c>
      <c r="D81" s="106" t="n">
        <v>0.198226395409494</v>
      </c>
      <c r="E81" s="106" t="n">
        <v>0.8525780682643428</v>
      </c>
      <c r="F81" s="106" t="n">
        <v>0.02583979328165375</v>
      </c>
      <c r="G81" s="106" t="n">
        <v>0.02405773857257418</v>
      </c>
      <c r="H81" s="106" t="n">
        <v>0.06428011497256336</v>
      </c>
      <c r="I81" s="106" t="n">
        <v>0.09621775597404653</v>
      </c>
      <c r="J81" s="106" t="n">
        <v>0.6092239712786524</v>
      </c>
      <c r="K81" s="106" t="n">
        <v>0.1372549019607843</v>
      </c>
      <c r="L81" s="96" t="inlineStr">
        <is>
          <t>最大边际增量来自 OM_all-OM_pure</t>
        </is>
      </c>
    </row>
    <row r="82"/>
    <row r="83" ht="24" customHeight="1" s="2">
      <c r="A83" s="91" t="inlineStr">
        <is>
          <t>D. FROSS-style 对应敏感性（5 mm 去重，0.1 m 对应）</t>
        </is>
      </c>
      <c r="B83" s="120" t="n"/>
      <c r="C83" s="120" t="n"/>
      <c r="D83" s="120" t="n"/>
      <c r="E83" s="120" t="n"/>
      <c r="F83" s="120" t="n"/>
      <c r="G83" s="120" t="n"/>
      <c r="H83" s="120" t="n"/>
      <c r="I83" s="120" t="n"/>
      <c r="J83" s="120" t="n"/>
      <c r="K83" s="120" t="n"/>
      <c r="L83" s="120" t="n"/>
    </row>
    <row r="84" ht="30" customHeight="1" s="2">
      <c r="A84" s="92" t="inlineStr">
        <is>
          <t>场景</t>
        </is>
      </c>
      <c r="B84" s="92" t="inlineStr">
        <is>
          <t>条件</t>
        </is>
      </c>
      <c r="C84" s="92" t="inlineStr">
        <is>
          <t>Precision</t>
        </is>
      </c>
      <c r="D84" s="92" t="inlineStr">
        <is>
          <t>Recall</t>
        </is>
      </c>
      <c r="E84" s="92" t="inlineStr">
        <is>
          <t>F1</t>
        </is>
      </c>
      <c r="F84" s="92" t="inlineStr">
        <is>
          <t>污染预测数</t>
        </is>
      </c>
      <c r="G84" s="92" t="inlineStr">
        <is>
          <t>碎片GT数</t>
        </is>
      </c>
      <c r="H84" s="92" t="inlineStr">
        <is>
          <t>平均GT覆盖</t>
        </is>
      </c>
      <c r="I84" s="92" t="inlineStr">
        <is>
          <t>平均purity</t>
        </is>
      </c>
      <c r="J84" s="92" t="inlineStr"/>
      <c r="K84" s="92" t="inlineStr"/>
      <c r="L84" s="92" t="inlineStr">
        <is>
          <t>角色</t>
        </is>
      </c>
    </row>
    <row r="85">
      <c r="A85" s="96" t="inlineStr">
        <is>
          <t>room0</t>
        </is>
      </c>
      <c r="B85" s="96" t="inlineStr">
        <is>
          <t>B0</t>
        </is>
      </c>
      <c r="C85" s="106" t="n">
        <v>0.2083333333333333</v>
      </c>
      <c r="D85" s="106" t="n">
        <v>0.1648351648351648</v>
      </c>
      <c r="E85" s="106" t="n">
        <v>0.1840490797546012</v>
      </c>
      <c r="F85" s="105" t="n">
        <v>12</v>
      </c>
      <c r="G85" s="105" t="n">
        <v>7</v>
      </c>
      <c r="H85" s="106" t="n">
        <v>0.1143846385595968</v>
      </c>
      <c r="I85" s="106" t="n">
        <v>0.8577410894560124</v>
      </c>
      <c r="J85" s="96" t="inlineStr"/>
      <c r="K85" s="96" t="inlineStr"/>
      <c r="L85" s="96" t="inlineStr">
        <is>
          <t>稳健性支持，非官方 benchmark</t>
        </is>
      </c>
    </row>
    <row r="86">
      <c r="A86" s="97" t="inlineStr">
        <is>
          <t>room0</t>
        </is>
      </c>
      <c r="B86" s="97" t="inlineStr">
        <is>
          <t>OA_online</t>
        </is>
      </c>
      <c r="C86" s="108" t="n">
        <v>0.2307692307692308</v>
      </c>
      <c r="D86" s="108" t="n">
        <v>0.1648351648351648</v>
      </c>
      <c r="E86" s="108" t="n">
        <v>0.1923076923076923</v>
      </c>
      <c r="F86" s="107" t="n">
        <v>17</v>
      </c>
      <c r="G86" s="107" t="n">
        <v>6</v>
      </c>
      <c r="H86" s="108" t="n">
        <v>0.1530518045388587</v>
      </c>
      <c r="I86" s="108" t="n">
        <v>0.6862813864565379</v>
      </c>
      <c r="J86" s="97" t="inlineStr"/>
      <c r="K86" s="97" t="inlineStr"/>
      <c r="L86" s="97" t="inlineStr">
        <is>
          <t>稳健性支持，非官方 benchmark</t>
        </is>
      </c>
    </row>
    <row r="87">
      <c r="A87" s="96" t="inlineStr">
        <is>
          <t>room0</t>
        </is>
      </c>
      <c r="B87" s="96" t="inlineStr">
        <is>
          <t>OP_raw</t>
        </is>
      </c>
      <c r="C87" s="106" t="n">
        <v>0.2361111111111111</v>
      </c>
      <c r="D87" s="106" t="n">
        <v>0.1868131868131868</v>
      </c>
      <c r="E87" s="106" t="n">
        <v>0.2085889570552147</v>
      </c>
      <c r="F87" s="105" t="n">
        <v>17</v>
      </c>
      <c r="G87" s="105" t="n">
        <v>6</v>
      </c>
      <c r="H87" s="106" t="n">
        <v>0.192924927284475</v>
      </c>
      <c r="I87" s="106" t="n">
        <v>0.689290834595183</v>
      </c>
      <c r="J87" s="96" t="inlineStr"/>
      <c r="K87" s="96" t="inlineStr"/>
      <c r="L87" s="96" t="inlineStr">
        <is>
          <t>稳健性支持，非官方 benchmark</t>
        </is>
      </c>
    </row>
    <row r="88">
      <c r="A88" s="97" t="inlineStr">
        <is>
          <t>room0</t>
        </is>
      </c>
      <c r="B88" s="97" t="inlineStr">
        <is>
          <t>OM_pure</t>
        </is>
      </c>
      <c r="C88" s="108" t="n">
        <v>0.5714285714285714</v>
      </c>
      <c r="D88" s="108" t="n">
        <v>0.2197802197802198</v>
      </c>
      <c r="E88" s="108" t="n">
        <v>0.3174603174603174</v>
      </c>
      <c r="F88" s="107" t="n">
        <v>1</v>
      </c>
      <c r="G88" s="107" t="n">
        <v>3</v>
      </c>
      <c r="H88" s="108" t="n">
        <v>0.4085480935829657</v>
      </c>
      <c r="I88" s="108" t="n">
        <v>0.8333228765731194</v>
      </c>
      <c r="J88" s="97" t="inlineStr"/>
      <c r="K88" s="97" t="inlineStr"/>
      <c r="L88" s="97" t="inlineStr">
        <is>
          <t>稳健性支持，非官方 benchmark</t>
        </is>
      </c>
    </row>
    <row r="89">
      <c r="A89" s="96" t="inlineStr">
        <is>
          <t>room0</t>
        </is>
      </c>
      <c r="B89" s="96" t="inlineStr">
        <is>
          <t>OM_all</t>
        </is>
      </c>
      <c r="C89" s="106" t="n">
        <v>0.6043956043956044</v>
      </c>
      <c r="D89" s="106" t="n">
        <v>0.6043956043956044</v>
      </c>
      <c r="E89" s="106" t="n">
        <v>0.6043956043956044</v>
      </c>
      <c r="F89" s="105" t="n">
        <v>12</v>
      </c>
      <c r="G89" s="105" t="n">
        <v>3</v>
      </c>
      <c r="H89" s="106" t="n">
        <v>0.703393688937631</v>
      </c>
      <c r="I89" s="106" t="n">
        <v>0.7612762326237977</v>
      </c>
      <c r="J89" s="96" t="inlineStr"/>
      <c r="K89" s="96" t="inlineStr"/>
      <c r="L89" s="96" t="inlineStr">
        <is>
          <t>稳健性支持，非官方 benchmark</t>
        </is>
      </c>
    </row>
    <row r="90">
      <c r="A90" s="97" t="inlineStr">
        <is>
          <t>room0</t>
        </is>
      </c>
      <c r="B90" s="97" t="inlineStr">
        <is>
          <t>OG</t>
        </is>
      </c>
      <c r="C90" s="108" t="n">
        <v>0.9890109890109891</v>
      </c>
      <c r="D90" s="108" t="n">
        <v>0.9890109890109891</v>
      </c>
      <c r="E90" s="108" t="n">
        <v>0.9890109890109891</v>
      </c>
      <c r="F90" s="107" t="n">
        <v>0</v>
      </c>
      <c r="G90" s="107" t="n">
        <v>0</v>
      </c>
      <c r="H90" s="108" t="n">
        <v>0.8437977947044263</v>
      </c>
      <c r="I90" s="108" t="n">
        <v>0.8437977947044263</v>
      </c>
      <c r="J90" s="97" t="inlineStr"/>
      <c r="K90" s="97" t="inlineStr"/>
      <c r="L90" s="97" t="inlineStr">
        <is>
          <t>稳健性支持，非官方 benchmark</t>
        </is>
      </c>
    </row>
    <row r="91">
      <c r="A91" s="96" t="inlineStr">
        <is>
          <t>office0</t>
        </is>
      </c>
      <c r="B91" s="96" t="inlineStr">
        <is>
          <t>B0</t>
        </is>
      </c>
      <c r="C91" s="106" t="n">
        <v>0.1714285714285714</v>
      </c>
      <c r="D91" s="106" t="n">
        <v>0.1153846153846154</v>
      </c>
      <c r="E91" s="106" t="n">
        <v>0.1379310344827586</v>
      </c>
      <c r="F91" s="105" t="n">
        <v>7</v>
      </c>
      <c r="G91" s="105" t="n">
        <v>2</v>
      </c>
      <c r="H91" s="106" t="n">
        <v>0.08044356743580369</v>
      </c>
      <c r="I91" s="106" t="n">
        <v>0.8250171817701107</v>
      </c>
      <c r="J91" s="96" t="inlineStr"/>
      <c r="K91" s="96" t="inlineStr"/>
      <c r="L91" s="96" t="inlineStr">
        <is>
          <t>稳健性支持，非官方 benchmark</t>
        </is>
      </c>
    </row>
    <row r="92">
      <c r="A92" s="97" t="inlineStr">
        <is>
          <t>office0</t>
        </is>
      </c>
      <c r="B92" s="97" t="inlineStr">
        <is>
          <t>OA_online</t>
        </is>
      </c>
      <c r="C92" s="108" t="n">
        <v>0.2352941176470588</v>
      </c>
      <c r="D92" s="108" t="n">
        <v>0.1538461538461539</v>
      </c>
      <c r="E92" s="108" t="n">
        <v>0.186046511627907</v>
      </c>
      <c r="F92" s="107" t="n">
        <v>8</v>
      </c>
      <c r="G92" s="107" t="n">
        <v>4</v>
      </c>
      <c r="H92" s="108" t="n">
        <v>0.08721693015559044</v>
      </c>
      <c r="I92" s="108" t="n">
        <v>0.7009407204731799</v>
      </c>
      <c r="J92" s="97" t="inlineStr"/>
      <c r="K92" s="97" t="inlineStr"/>
      <c r="L92" s="97" t="inlineStr">
        <is>
          <t>稳健性支持，非官方 benchmark</t>
        </is>
      </c>
    </row>
    <row r="93">
      <c r="A93" s="96" t="inlineStr">
        <is>
          <t>office0</t>
        </is>
      </c>
      <c r="B93" s="96" t="inlineStr">
        <is>
          <t>OP_raw</t>
        </is>
      </c>
      <c r="C93" s="106" t="n">
        <v>0.2162162162162162</v>
      </c>
      <c r="D93" s="106" t="n">
        <v>0.1538461538461539</v>
      </c>
      <c r="E93" s="106" t="n">
        <v>0.1797752808988764</v>
      </c>
      <c r="F93" s="105" t="n">
        <v>11</v>
      </c>
      <c r="G93" s="105" t="n">
        <v>2</v>
      </c>
      <c r="H93" s="106" t="n">
        <v>0.08822878520490622</v>
      </c>
      <c r="I93" s="106" t="n">
        <v>0.6879735299320981</v>
      </c>
      <c r="J93" s="96" t="inlineStr"/>
      <c r="K93" s="96" t="inlineStr"/>
      <c r="L93" s="96" t="inlineStr">
        <is>
          <t>稳健性支持，非官方 benchmark</t>
        </is>
      </c>
    </row>
    <row r="94">
      <c r="A94" s="97" t="inlineStr">
        <is>
          <t>office0</t>
        </is>
      </c>
      <c r="B94" s="97" t="inlineStr">
        <is>
          <t>OM_pure</t>
        </is>
      </c>
      <c r="C94" s="108" t="n">
        <v>0.5789473684210527</v>
      </c>
      <c r="D94" s="108" t="n">
        <v>0.2115384615384615</v>
      </c>
      <c r="E94" s="108" t="n">
        <v>0.3098591549295774</v>
      </c>
      <c r="F94" s="107" t="n">
        <v>1</v>
      </c>
      <c r="G94" s="107" t="n">
        <v>0</v>
      </c>
      <c r="H94" s="108" t="n">
        <v>0.3071910199104153</v>
      </c>
      <c r="I94" s="108" t="n">
        <v>0.7154979839618463</v>
      </c>
      <c r="J94" s="97" t="inlineStr"/>
      <c r="K94" s="97" t="inlineStr"/>
      <c r="L94" s="97" t="inlineStr">
        <is>
          <t>稳健性支持，非官方 benchmark</t>
        </is>
      </c>
    </row>
    <row r="95">
      <c r="A95" s="96" t="inlineStr">
        <is>
          <t>office0</t>
        </is>
      </c>
      <c r="B95" s="96" t="inlineStr">
        <is>
          <t>OM_all</t>
        </is>
      </c>
      <c r="C95" s="106" t="n">
        <v>0.6</v>
      </c>
      <c r="D95" s="106" t="n">
        <v>0.5769230769230769</v>
      </c>
      <c r="E95" s="106" t="n">
        <v>0.5882352941176471</v>
      </c>
      <c r="F95" s="105" t="n">
        <v>10</v>
      </c>
      <c r="G95" s="105" t="n">
        <v>0</v>
      </c>
      <c r="H95" s="106" t="n">
        <v>0.7123473054743361</v>
      </c>
      <c r="I95" s="106" t="n">
        <v>0.7239164839642702</v>
      </c>
      <c r="J95" s="96" t="inlineStr"/>
      <c r="K95" s="96" t="inlineStr"/>
      <c r="L95" s="96" t="inlineStr">
        <is>
          <t>稳健性支持，非官方 benchmark</t>
        </is>
      </c>
    </row>
    <row r="96">
      <c r="A96" s="97" t="inlineStr">
        <is>
          <t>office0</t>
        </is>
      </c>
      <c r="B96" s="97" t="inlineStr">
        <is>
          <t>OG</t>
        </is>
      </c>
      <c r="C96" s="108" t="n">
        <v>1</v>
      </c>
      <c r="D96" s="108" t="n">
        <v>1</v>
      </c>
      <c r="E96" s="108" t="n">
        <v>1</v>
      </c>
      <c r="F96" s="107" t="n">
        <v>0</v>
      </c>
      <c r="G96" s="107" t="n">
        <v>0</v>
      </c>
      <c r="H96" s="108" t="n">
        <v>0.8784588956200232</v>
      </c>
      <c r="I96" s="108" t="n">
        <v>0.8784588956200232</v>
      </c>
      <c r="J96" s="97" t="inlineStr"/>
      <c r="K96" s="97" t="inlineStr"/>
      <c r="L96" s="97" t="inlineStr">
        <is>
          <t>稳健性支持，非官方 benchmark</t>
        </is>
      </c>
    </row>
    <row r="97"/>
    <row r="98" ht="24" customHeight="1" s="2">
      <c r="A98" s="91" t="inlineStr">
        <is>
          <t>E. 阶段漏斗：损失发生在哪</t>
        </is>
      </c>
      <c r="B98" s="120" t="n"/>
      <c r="C98" s="120" t="n"/>
      <c r="D98" s="120" t="n"/>
      <c r="E98" s="120" t="n"/>
      <c r="F98" s="120" t="n"/>
      <c r="G98" s="120" t="n"/>
      <c r="H98" s="120" t="n"/>
      <c r="I98" s="120" t="n"/>
      <c r="J98" s="120" t="n"/>
      <c r="K98" s="120" t="n"/>
      <c r="L98" s="120" t="n"/>
    </row>
    <row r="99" ht="30" customHeight="1" s="2">
      <c r="A99" s="92" t="inlineStr">
        <is>
          <t>场景</t>
        </is>
      </c>
      <c r="B99" s="92" t="inlineStr">
        <is>
          <t>阈值</t>
        </is>
      </c>
      <c r="C99" s="92" t="inlineStr">
        <is>
          <t>可见object-frame</t>
        </is>
      </c>
      <c r="D99" s="92" t="inlineStr">
        <is>
          <t>raw可用</t>
        </is>
      </c>
      <c r="E99" s="92" t="inlineStr">
        <is>
          <t>processed可用</t>
        </is>
      </c>
      <c r="F99" s="92" t="inlineStr">
        <is>
          <t>final存活</t>
        </is>
      </c>
      <c r="G99" s="92" t="inlineStr">
        <is>
          <t>raw/可见</t>
        </is>
      </c>
      <c r="H99" s="92" t="inlineStr">
        <is>
          <t>processed/raw</t>
        </is>
      </c>
      <c r="I99" s="92" t="inlineStr">
        <is>
          <t>final/processed</t>
        </is>
      </c>
      <c r="J99" s="92" t="inlineStr">
        <is>
          <t>R0对象</t>
        </is>
      </c>
      <c r="K99" s="92" t="inlineStr">
        <is>
          <t>R1/R3对象</t>
        </is>
      </c>
      <c r="L99" s="92" t="inlineStr">
        <is>
          <t>结论</t>
        </is>
      </c>
    </row>
    <row r="100" ht="34" customHeight="1" s="2">
      <c r="A100" s="97" t="inlineStr">
        <is>
          <t>room0</t>
        </is>
      </c>
      <c r="B100" s="111" t="n">
        <v>0.3</v>
      </c>
      <c r="C100" s="107" t="n">
        <v>10396</v>
      </c>
      <c r="D100" s="107" t="n">
        <v>1372</v>
      </c>
      <c r="E100" s="107" t="n">
        <v>1150</v>
      </c>
      <c r="F100" s="107" t="n">
        <v>1150</v>
      </c>
      <c r="G100" s="108" t="n">
        <v>0.1319738360908042</v>
      </c>
      <c r="H100" s="108" t="n">
        <v>0.8381924198250729</v>
      </c>
      <c r="I100" s="108" t="n">
        <v>1</v>
      </c>
      <c r="J100" s="107" t="n">
        <v>53</v>
      </c>
      <c r="K100" s="97" t="inlineStr">
        <is>
          <t>5 / 26</t>
        </is>
      </c>
      <c r="L100" s="97" t="inlineStr">
        <is>
          <t>strict 0.5 下 final/processed=100%，主损失在更早期</t>
        </is>
      </c>
    </row>
    <row r="101" ht="34" customHeight="1" s="2">
      <c r="A101" s="96" t="inlineStr">
        <is>
          <t>room0</t>
        </is>
      </c>
      <c r="B101" s="112" t="n">
        <v>0.5</v>
      </c>
      <c r="C101" s="105" t="n">
        <v>10396</v>
      </c>
      <c r="D101" s="105" t="n">
        <v>136</v>
      </c>
      <c r="E101" s="105" t="n">
        <v>100</v>
      </c>
      <c r="F101" s="105" t="n">
        <v>100</v>
      </c>
      <c r="G101" s="106" t="n">
        <v>0.01308195459792228</v>
      </c>
      <c r="H101" s="106" t="n">
        <v>0.7352941176470589</v>
      </c>
      <c r="I101" s="106" t="n">
        <v>1</v>
      </c>
      <c r="J101" s="105" t="n">
        <v>69</v>
      </c>
      <c r="K101" s="96" t="inlineStr">
        <is>
          <t>4 / 11</t>
        </is>
      </c>
      <c r="L101" s="96" t="inlineStr">
        <is>
          <t>strict 0.5 下 final/processed=100%，主损失在更早期</t>
        </is>
      </c>
    </row>
    <row r="102" ht="34" customHeight="1" s="2">
      <c r="A102" s="97" t="inlineStr">
        <is>
          <t>room0</t>
        </is>
      </c>
      <c r="B102" s="111" t="n">
        <v>0.7</v>
      </c>
      <c r="C102" s="107" t="n">
        <v>10396</v>
      </c>
      <c r="D102" s="107" t="n">
        <v>13</v>
      </c>
      <c r="E102" s="107" t="n">
        <v>11</v>
      </c>
      <c r="F102" s="107" t="n">
        <v>11</v>
      </c>
      <c r="G102" s="108" t="n">
        <v>0.001250480954213159</v>
      </c>
      <c r="H102" s="108" t="n">
        <v>0.8461538461538461</v>
      </c>
      <c r="I102" s="108" t="n">
        <v>1</v>
      </c>
      <c r="J102" s="107" t="n">
        <v>80</v>
      </c>
      <c r="K102" s="97" t="inlineStr">
        <is>
          <t>2 / 2</t>
        </is>
      </c>
      <c r="L102" s="97" t="inlineStr">
        <is>
          <t>strict 0.5 下 final/processed=100%，主损失在更早期</t>
        </is>
      </c>
    </row>
    <row r="103" ht="34" customHeight="1" s="2">
      <c r="A103" s="96" t="inlineStr">
        <is>
          <t>office0</t>
        </is>
      </c>
      <c r="B103" s="112" t="n">
        <v>0.3</v>
      </c>
      <c r="C103" s="105" t="n">
        <v>4371</v>
      </c>
      <c r="D103" s="105" t="n">
        <v>694</v>
      </c>
      <c r="E103" s="105" t="n">
        <v>375</v>
      </c>
      <c r="F103" s="105" t="n">
        <v>375</v>
      </c>
      <c r="G103" s="106" t="n">
        <v>0.1587737359871883</v>
      </c>
      <c r="H103" s="106" t="n">
        <v>0.5403458213256485</v>
      </c>
      <c r="I103" s="106" t="n">
        <v>1</v>
      </c>
      <c r="J103" s="105" t="n">
        <v>31</v>
      </c>
      <c r="K103" s="96" t="inlineStr">
        <is>
          <t>3 / 11</t>
        </is>
      </c>
      <c r="L103" s="96" t="inlineStr">
        <is>
          <t>strict 0.5 下 final/processed=100%，主损失在更早期</t>
        </is>
      </c>
    </row>
    <row r="104" ht="34" customHeight="1" s="2">
      <c r="A104" s="97" t="inlineStr">
        <is>
          <t>office0</t>
        </is>
      </c>
      <c r="B104" s="111" t="n">
        <v>0.5</v>
      </c>
      <c r="C104" s="107" t="n">
        <v>4371</v>
      </c>
      <c r="D104" s="107" t="n">
        <v>128</v>
      </c>
      <c r="E104" s="107" t="n">
        <v>57</v>
      </c>
      <c r="F104" s="107" t="n">
        <v>57</v>
      </c>
      <c r="G104" s="108" t="n">
        <v>0.02928391672386182</v>
      </c>
      <c r="H104" s="108" t="n">
        <v>0.4453125</v>
      </c>
      <c r="I104" s="108" t="n">
        <v>1</v>
      </c>
      <c r="J104" s="107" t="n">
        <v>35</v>
      </c>
      <c r="K104" s="97" t="inlineStr">
        <is>
          <t>3 / 7</t>
        </is>
      </c>
      <c r="L104" s="97" t="inlineStr">
        <is>
          <t>strict 0.5 下 final/processed=100%，主损失在更早期</t>
        </is>
      </c>
    </row>
    <row r="105" ht="34" customHeight="1" s="2">
      <c r="A105" s="96" t="inlineStr">
        <is>
          <t>office0</t>
        </is>
      </c>
      <c r="B105" s="112" t="n">
        <v>0.7</v>
      </c>
      <c r="C105" s="105" t="n">
        <v>4371</v>
      </c>
      <c r="D105" s="105" t="n">
        <v>17</v>
      </c>
      <c r="E105" s="105" t="n">
        <v>7</v>
      </c>
      <c r="F105" s="105" t="n">
        <v>7</v>
      </c>
      <c r="G105" s="106" t="n">
        <v>0.003889270189887897</v>
      </c>
      <c r="H105" s="106" t="n">
        <v>0.4117647058823529</v>
      </c>
      <c r="I105" s="106" t="n">
        <v>1</v>
      </c>
      <c r="J105" s="105" t="n">
        <v>39</v>
      </c>
      <c r="K105" s="96" t="inlineStr">
        <is>
          <t>2 / 4</t>
        </is>
      </c>
      <c r="L105" s="96" t="inlineStr">
        <is>
          <t>strict 0.5 下 final/processed=100%，主损失在更早期</t>
        </is>
      </c>
    </row>
    <row r="106"/>
    <row r="107" ht="24" customHeight="1" s="2">
      <c r="A107" s="91" t="inlineStr">
        <is>
          <t>F. 严格语义、标签本体与下游代理</t>
        </is>
      </c>
      <c r="B107" s="120" t="n"/>
      <c r="C107" s="120" t="n"/>
      <c r="D107" s="120" t="n"/>
      <c r="E107" s="120" t="n"/>
      <c r="F107" s="120" t="n"/>
      <c r="G107" s="120" t="n"/>
      <c r="H107" s="120" t="n"/>
      <c r="I107" s="120" t="n"/>
      <c r="J107" s="120" t="n"/>
      <c r="K107" s="120" t="n"/>
      <c r="L107" s="120" t="n"/>
    </row>
    <row r="108" ht="30" customHeight="1" s="2">
      <c r="A108" s="92" t="inlineStr">
        <is>
          <t>场景</t>
        </is>
      </c>
      <c r="B108" s="92" t="inlineStr">
        <is>
          <t>语义实验</t>
        </is>
      </c>
      <c r="C108" s="92" t="inlineStr">
        <is>
          <t>Hungarian匹配</t>
        </is>
      </c>
      <c r="D108" s="92" t="inlineStr">
        <is>
          <t>严格匹配</t>
        </is>
      </c>
      <c r="E108" s="92" t="inlineStr">
        <is>
          <t>严格错标签</t>
        </is>
      </c>
      <c r="F108" s="92" t="inlineStr">
        <is>
          <t>弱匹配错标签</t>
        </is>
      </c>
      <c r="G108" s="92" t="inlineStr">
        <is>
          <t>几何/溯源未变</t>
        </is>
      </c>
      <c r="H108" s="92" t="inlineStr"/>
      <c r="I108" s="92" t="inlineStr"/>
      <c r="J108" s="92" t="inlineStr"/>
      <c r="K108" s="92" t="inlineStr"/>
      <c r="L108" s="92" t="inlineStr">
        <is>
          <t>结论</t>
        </is>
      </c>
    </row>
    <row r="109">
      <c r="A109" s="100" t="inlineStr">
        <is>
          <t>room0</t>
        </is>
      </c>
      <c r="B109" s="100" t="inlineStr">
        <is>
          <t>OS_strict</t>
        </is>
      </c>
      <c r="C109" s="113" t="n">
        <v>8</v>
      </c>
      <c r="D109" s="113" t="n">
        <v>0</v>
      </c>
      <c r="E109" s="113" t="n">
        <v>0</v>
      </c>
      <c r="F109" s="113" t="n">
        <v>6</v>
      </c>
      <c r="G109" s="100" t="inlineStr">
        <is>
          <t>是</t>
        </is>
      </c>
      <c r="H109" s="100" t="inlineStr"/>
      <c r="I109" s="100" t="inlineStr"/>
      <c r="J109" s="100" t="inlineStr"/>
      <c r="K109" s="100" t="inlineStr"/>
      <c r="L109" s="100" t="inlineStr">
        <is>
          <t>strict cohort=0，纯语义收益未识别</t>
        </is>
      </c>
    </row>
    <row r="110">
      <c r="A110" s="100" t="inlineStr">
        <is>
          <t>office0</t>
        </is>
      </c>
      <c r="B110" s="100" t="inlineStr">
        <is>
          <t>OS_strict</t>
        </is>
      </c>
      <c r="C110" s="113" t="n">
        <v>1</v>
      </c>
      <c r="D110" s="113" t="n">
        <v>0</v>
      </c>
      <c r="E110" s="113" t="n">
        <v>0</v>
      </c>
      <c r="F110" s="113" t="n">
        <v>0</v>
      </c>
      <c r="G110" s="100" t="inlineStr">
        <is>
          <t>是</t>
        </is>
      </c>
      <c r="H110" s="100" t="inlineStr"/>
      <c r="I110" s="100" t="inlineStr"/>
      <c r="J110" s="100" t="inlineStr"/>
      <c r="K110" s="100" t="inlineStr"/>
      <c r="L110" s="100" t="inlineStr">
        <is>
          <t>strict cohort=0，纯语义收益未识别</t>
        </is>
      </c>
    </row>
    <row r="111"/>
    <row r="112" ht="30" customHeight="1" s="2">
      <c r="A112" s="92" t="inlineStr">
        <is>
          <t>场景</t>
        </is>
      </c>
      <c r="B112" s="92" t="inlineStr">
        <is>
          <t>标签映射</t>
        </is>
      </c>
      <c r="C112" s="92" t="inlineStr">
        <is>
          <t>条件</t>
        </is>
      </c>
      <c r="D112" s="92" t="inlineStr">
        <is>
          <t>Class-conditioned F1</t>
        </is>
      </c>
      <c r="E112" s="92" t="inlineStr">
        <is>
          <t>Class count MAE</t>
        </is>
      </c>
      <c r="F112" s="92" t="inlineStr">
        <is>
          <t>查询数</t>
        </is>
      </c>
      <c r="G112" s="92" t="inlineStr">
        <is>
          <t>Top1</t>
        </is>
      </c>
      <c r="H112" s="92" t="inlineStr">
        <is>
          <t>Top3</t>
        </is>
      </c>
      <c r="I112" s="92" t="inlineStr">
        <is>
          <t>Top1且≤1m</t>
        </is>
      </c>
      <c r="J112" s="92" t="inlineStr">
        <is>
          <t>候选覆盖</t>
        </is>
      </c>
      <c r="K112" s="92" t="inlineStr"/>
      <c r="L112" s="92" t="inlineStr">
        <is>
          <t>用途</t>
        </is>
      </c>
    </row>
    <row r="113">
      <c r="A113" s="96" t="inlineStr">
        <is>
          <t>room0</t>
        </is>
      </c>
      <c r="B113" s="96" t="inlineStr">
        <is>
          <t>official_only</t>
        </is>
      </c>
      <c r="C113" s="96" t="inlineStr">
        <is>
          <t>B0</t>
        </is>
      </c>
      <c r="D113" s="106" t="n">
        <v>0.04040404040404041</v>
      </c>
      <c r="E113" s="114" t="n">
        <v>2.647058823529412</v>
      </c>
      <c r="F113" s="105" t="n">
        <v>8</v>
      </c>
      <c r="G113" s="106" t="n">
        <v>0</v>
      </c>
      <c r="H113" s="106" t="n">
        <v>0</v>
      </c>
      <c r="I113" s="106" t="n">
        <v>0</v>
      </c>
      <c r="J113" s="106" t="n">
        <v>0.125</v>
      </c>
      <c r="K113" s="96" t="inlineStr"/>
      <c r="L113" s="96" t="inlineStr">
        <is>
          <t>official_only 为主，其余为敏感性</t>
        </is>
      </c>
    </row>
    <row r="114">
      <c r="A114" s="97" t="inlineStr">
        <is>
          <t>room0</t>
        </is>
      </c>
      <c r="B114" s="97" t="inlineStr">
        <is>
          <t>official_only</t>
        </is>
      </c>
      <c r="C114" s="97" t="inlineStr">
        <is>
          <t>OM_all</t>
        </is>
      </c>
      <c r="D114" s="108" t="n">
        <v>0.02597402597402597</v>
      </c>
      <c r="E114" s="115" t="n">
        <v>3</v>
      </c>
      <c r="F114" s="107" t="n">
        <v>8</v>
      </c>
      <c r="G114" s="108" t="n">
        <v>0</v>
      </c>
      <c r="H114" s="108" t="n">
        <v>0</v>
      </c>
      <c r="I114" s="108" t="n">
        <v>0</v>
      </c>
      <c r="J114" s="108" t="n">
        <v>0.125</v>
      </c>
      <c r="K114" s="97" t="inlineStr"/>
      <c r="L114" s="97" t="inlineStr">
        <is>
          <t>official_only 为主，其余为敏感性</t>
        </is>
      </c>
    </row>
    <row r="115">
      <c r="A115" s="96" t="inlineStr">
        <is>
          <t>room0</t>
        </is>
      </c>
      <c r="B115" s="96" t="inlineStr">
        <is>
          <t>official_only</t>
        </is>
      </c>
      <c r="C115" s="96" t="inlineStr">
        <is>
          <t>OG</t>
        </is>
      </c>
      <c r="D115" s="106" t="n">
        <v>1</v>
      </c>
      <c r="E115" s="114" t="n">
        <v>0</v>
      </c>
      <c r="F115" s="105" t="n">
        <v>8</v>
      </c>
      <c r="G115" s="106" t="n">
        <v>1</v>
      </c>
      <c r="H115" s="106" t="n">
        <v>1</v>
      </c>
      <c r="I115" s="106" t="n">
        <v>1</v>
      </c>
      <c r="J115" s="106" t="n">
        <v>1</v>
      </c>
      <c r="K115" s="96" t="inlineStr"/>
      <c r="L115" s="96" t="inlineStr">
        <is>
          <t>official_only 为主，其余为敏感性</t>
        </is>
      </c>
    </row>
    <row r="116">
      <c r="A116" s="97" t="inlineStr">
        <is>
          <t>room0</t>
        </is>
      </c>
      <c r="B116" s="97" t="inlineStr">
        <is>
          <t>current_aliases</t>
        </is>
      </c>
      <c r="C116" s="97" t="inlineStr">
        <is>
          <t>B0</t>
        </is>
      </c>
      <c r="D116" s="108" t="n">
        <v>0.03389830508474576</v>
      </c>
      <c r="E116" s="115" t="n">
        <v>2.444444444444445</v>
      </c>
      <c r="F116" s="107" t="n">
        <v>8</v>
      </c>
      <c r="G116" s="108" t="n">
        <v>0</v>
      </c>
      <c r="H116" s="108" t="n">
        <v>0</v>
      </c>
      <c r="I116" s="108" t="n">
        <v>0</v>
      </c>
      <c r="J116" s="108" t="n">
        <v>0.375</v>
      </c>
      <c r="K116" s="97" t="inlineStr"/>
      <c r="L116" s="97" t="inlineStr">
        <is>
          <t>official_only 为主，其余为敏感性</t>
        </is>
      </c>
    </row>
    <row r="117">
      <c r="A117" s="96" t="inlineStr">
        <is>
          <t>room0</t>
        </is>
      </c>
      <c r="B117" s="96" t="inlineStr">
        <is>
          <t>current_aliases</t>
        </is>
      </c>
      <c r="C117" s="96" t="inlineStr">
        <is>
          <t>OM_all</t>
        </is>
      </c>
      <c r="D117" s="106" t="n">
        <v>0.07272727272727274</v>
      </c>
      <c r="E117" s="114" t="n">
        <v>4.4</v>
      </c>
      <c r="F117" s="105" t="n">
        <v>8</v>
      </c>
      <c r="G117" s="106" t="n">
        <v>0</v>
      </c>
      <c r="H117" s="106" t="n">
        <v>0</v>
      </c>
      <c r="I117" s="106" t="n">
        <v>0</v>
      </c>
      <c r="J117" s="106" t="n">
        <v>0.25</v>
      </c>
      <c r="K117" s="96" t="inlineStr"/>
      <c r="L117" s="96" t="inlineStr">
        <is>
          <t>official_only 为主，其余为敏感性</t>
        </is>
      </c>
    </row>
    <row r="118">
      <c r="A118" s="97" t="inlineStr">
        <is>
          <t>room0</t>
        </is>
      </c>
      <c r="B118" s="97" t="inlineStr">
        <is>
          <t>current_aliases</t>
        </is>
      </c>
      <c r="C118" s="97" t="inlineStr">
        <is>
          <t>OG</t>
        </is>
      </c>
      <c r="D118" s="108" t="n">
        <v>1</v>
      </c>
      <c r="E118" s="115" t="n">
        <v>0</v>
      </c>
      <c r="F118" s="107" t="n">
        <v>8</v>
      </c>
      <c r="G118" s="108" t="n">
        <v>1</v>
      </c>
      <c r="H118" s="108" t="n">
        <v>1</v>
      </c>
      <c r="I118" s="108" t="n">
        <v>1</v>
      </c>
      <c r="J118" s="108" t="n">
        <v>1</v>
      </c>
      <c r="K118" s="97" t="inlineStr"/>
      <c r="L118" s="97" t="inlineStr">
        <is>
          <t>official_only 为主，其余为敏感性</t>
        </is>
      </c>
    </row>
    <row r="119">
      <c r="A119" s="96" t="inlineStr">
        <is>
          <t>room0</t>
        </is>
      </c>
      <c r="B119" s="96" t="inlineStr">
        <is>
          <t>reviewed_lamp_aliases</t>
        </is>
      </c>
      <c r="C119" s="96" t="inlineStr">
        <is>
          <t>B0</t>
        </is>
      </c>
      <c r="D119" s="106" t="n">
        <v>0.03361344537815127</v>
      </c>
      <c r="E119" s="114" t="n">
        <v>2.5</v>
      </c>
      <c r="F119" s="105" t="n">
        <v>8</v>
      </c>
      <c r="G119" s="106" t="n">
        <v>0</v>
      </c>
      <c r="H119" s="106" t="n">
        <v>0</v>
      </c>
      <c r="I119" s="106" t="n">
        <v>0</v>
      </c>
      <c r="J119" s="106" t="n">
        <v>0.375</v>
      </c>
      <c r="K119" s="96" t="inlineStr"/>
      <c r="L119" s="96" t="inlineStr">
        <is>
          <t>official_only 为主，其余为敏感性</t>
        </is>
      </c>
    </row>
    <row r="120">
      <c r="A120" s="97" t="inlineStr">
        <is>
          <t>room0</t>
        </is>
      </c>
      <c r="B120" s="97" t="inlineStr">
        <is>
          <t>reviewed_lamp_aliases</t>
        </is>
      </c>
      <c r="C120" s="97" t="inlineStr">
        <is>
          <t>OM_all</t>
        </is>
      </c>
      <c r="D120" s="108" t="n">
        <v>0.07272727272727274</v>
      </c>
      <c r="E120" s="115" t="n">
        <v>4.4</v>
      </c>
      <c r="F120" s="107" t="n">
        <v>8</v>
      </c>
      <c r="G120" s="108" t="n">
        <v>0</v>
      </c>
      <c r="H120" s="108" t="n">
        <v>0</v>
      </c>
      <c r="I120" s="108" t="n">
        <v>0</v>
      </c>
      <c r="J120" s="108" t="n">
        <v>0.25</v>
      </c>
      <c r="K120" s="97" t="inlineStr"/>
      <c r="L120" s="97" t="inlineStr">
        <is>
          <t>official_only 为主，其余为敏感性</t>
        </is>
      </c>
    </row>
    <row r="121">
      <c r="A121" s="96" t="inlineStr">
        <is>
          <t>room0</t>
        </is>
      </c>
      <c r="B121" s="96" t="inlineStr">
        <is>
          <t>reviewed_lamp_aliases</t>
        </is>
      </c>
      <c r="C121" s="96" t="inlineStr">
        <is>
          <t>OG</t>
        </is>
      </c>
      <c r="D121" s="106" t="n">
        <v>1</v>
      </c>
      <c r="E121" s="114" t="n">
        <v>0</v>
      </c>
      <c r="F121" s="105" t="n">
        <v>8</v>
      </c>
      <c r="G121" s="106" t="n">
        <v>1</v>
      </c>
      <c r="H121" s="106" t="n">
        <v>1</v>
      </c>
      <c r="I121" s="106" t="n">
        <v>1</v>
      </c>
      <c r="J121" s="106" t="n">
        <v>1</v>
      </c>
      <c r="K121" s="96" t="inlineStr"/>
      <c r="L121" s="96" t="inlineStr">
        <is>
          <t>official_only 为主，其余为敏感性</t>
        </is>
      </c>
    </row>
    <row r="122">
      <c r="A122" s="97" t="inlineStr">
        <is>
          <t>office0</t>
        </is>
      </c>
      <c r="B122" s="97" t="inlineStr">
        <is>
          <t>official_only</t>
        </is>
      </c>
      <c r="C122" s="97" t="inlineStr">
        <is>
          <t>B0</t>
        </is>
      </c>
      <c r="D122" s="108" t="n">
        <v>0</v>
      </c>
      <c r="E122" s="115" t="n">
        <v>1.384615384615385</v>
      </c>
      <c r="F122" s="107" t="n">
        <v>5</v>
      </c>
      <c r="G122" s="108" t="n">
        <v>0</v>
      </c>
      <c r="H122" s="108" t="n">
        <v>0</v>
      </c>
      <c r="I122" s="108" t="n">
        <v>0</v>
      </c>
      <c r="J122" s="108" t="n">
        <v>0</v>
      </c>
      <c r="K122" s="97" t="inlineStr"/>
      <c r="L122" s="97" t="inlineStr">
        <is>
          <t>official_only 为主，其余为敏感性</t>
        </is>
      </c>
    </row>
    <row r="123">
      <c r="A123" s="96" t="inlineStr">
        <is>
          <t>office0</t>
        </is>
      </c>
      <c r="B123" s="96" t="inlineStr">
        <is>
          <t>official_only</t>
        </is>
      </c>
      <c r="C123" s="96" t="inlineStr">
        <is>
          <t>OM_all</t>
        </is>
      </c>
      <c r="D123" s="106" t="n">
        <v>0</v>
      </c>
      <c r="E123" s="114" t="n">
        <v>1.909090909090909</v>
      </c>
      <c r="F123" s="105" t="n">
        <v>5</v>
      </c>
      <c r="G123" s="106" t="n">
        <v>0</v>
      </c>
      <c r="H123" s="106" t="n">
        <v>0</v>
      </c>
      <c r="I123" s="106" t="n">
        <v>0</v>
      </c>
      <c r="J123" s="106" t="n">
        <v>0</v>
      </c>
      <c r="K123" s="96" t="inlineStr"/>
      <c r="L123" s="96" t="inlineStr">
        <is>
          <t>official_only 为主，其余为敏感性</t>
        </is>
      </c>
    </row>
    <row r="124">
      <c r="A124" s="97" t="inlineStr">
        <is>
          <t>office0</t>
        </is>
      </c>
      <c r="B124" s="97" t="inlineStr">
        <is>
          <t>official_only</t>
        </is>
      </c>
      <c r="C124" s="97" t="inlineStr">
        <is>
          <t>OG</t>
        </is>
      </c>
      <c r="D124" s="108" t="n">
        <v>1</v>
      </c>
      <c r="E124" s="115" t="n">
        <v>0</v>
      </c>
      <c r="F124" s="107" t="n">
        <v>5</v>
      </c>
      <c r="G124" s="108" t="n">
        <v>1</v>
      </c>
      <c r="H124" s="108" t="n">
        <v>1</v>
      </c>
      <c r="I124" s="108" t="n">
        <v>1</v>
      </c>
      <c r="J124" s="108" t="n">
        <v>1</v>
      </c>
      <c r="K124" s="97" t="inlineStr"/>
      <c r="L124" s="97" t="inlineStr">
        <is>
          <t>official_only 为主，其余为敏感性</t>
        </is>
      </c>
    </row>
    <row r="125">
      <c r="A125" s="96" t="inlineStr">
        <is>
          <t>office0</t>
        </is>
      </c>
      <c r="B125" s="96" t="inlineStr">
        <is>
          <t>current_aliases</t>
        </is>
      </c>
      <c r="C125" s="96" t="inlineStr">
        <is>
          <t>B0</t>
        </is>
      </c>
      <c r="D125" s="106" t="n">
        <v>0.0625</v>
      </c>
      <c r="E125" s="114" t="n">
        <v>1.142857142857143</v>
      </c>
      <c r="F125" s="105" t="n">
        <v>5</v>
      </c>
      <c r="G125" s="106" t="n">
        <v>0.2</v>
      </c>
      <c r="H125" s="106" t="n">
        <v>0.2</v>
      </c>
      <c r="I125" s="106" t="n">
        <v>0.2</v>
      </c>
      <c r="J125" s="106" t="n">
        <v>0.6</v>
      </c>
      <c r="K125" s="96" t="inlineStr"/>
      <c r="L125" s="96" t="inlineStr">
        <is>
          <t>official_only 为主，其余为敏感性</t>
        </is>
      </c>
    </row>
    <row r="126">
      <c r="A126" s="97" t="inlineStr">
        <is>
          <t>office0</t>
        </is>
      </c>
      <c r="B126" s="97" t="inlineStr">
        <is>
          <t>current_aliases</t>
        </is>
      </c>
      <c r="C126" s="97" t="inlineStr">
        <is>
          <t>OM_all</t>
        </is>
      </c>
      <c r="D126" s="108" t="n">
        <v>0.2051282051282051</v>
      </c>
      <c r="E126" s="115" t="n">
        <v>2.636363636363636</v>
      </c>
      <c r="F126" s="107" t="n">
        <v>5</v>
      </c>
      <c r="G126" s="108" t="n">
        <v>0</v>
      </c>
      <c r="H126" s="108" t="n">
        <v>0.2</v>
      </c>
      <c r="I126" s="108" t="n">
        <v>0.2</v>
      </c>
      <c r="J126" s="108" t="n">
        <v>0.2</v>
      </c>
      <c r="K126" s="97" t="inlineStr"/>
      <c r="L126" s="97" t="inlineStr">
        <is>
          <t>official_only 为主，其余为敏感性</t>
        </is>
      </c>
    </row>
    <row r="127">
      <c r="A127" s="96" t="inlineStr">
        <is>
          <t>office0</t>
        </is>
      </c>
      <c r="B127" s="96" t="inlineStr">
        <is>
          <t>current_aliases</t>
        </is>
      </c>
      <c r="C127" s="96" t="inlineStr">
        <is>
          <t>OG</t>
        </is>
      </c>
      <c r="D127" s="106" t="n">
        <v>1</v>
      </c>
      <c r="E127" s="114" t="n">
        <v>0</v>
      </c>
      <c r="F127" s="105" t="n">
        <v>5</v>
      </c>
      <c r="G127" s="106" t="n">
        <v>1</v>
      </c>
      <c r="H127" s="106" t="n">
        <v>1</v>
      </c>
      <c r="I127" s="106" t="n">
        <v>1</v>
      </c>
      <c r="J127" s="106" t="n">
        <v>1</v>
      </c>
      <c r="K127" s="96" t="inlineStr"/>
      <c r="L127" s="96" t="inlineStr">
        <is>
          <t>official_only 为主，其余为敏感性</t>
        </is>
      </c>
    </row>
    <row r="128">
      <c r="A128" s="97" t="inlineStr">
        <is>
          <t>office0</t>
        </is>
      </c>
      <c r="B128" s="97" t="inlineStr">
        <is>
          <t>reviewed_lamp_aliases</t>
        </is>
      </c>
      <c r="C128" s="97" t="inlineStr">
        <is>
          <t>B0</t>
        </is>
      </c>
      <c r="D128" s="108" t="n">
        <v>0.0625</v>
      </c>
      <c r="E128" s="115" t="n">
        <v>1.142857142857143</v>
      </c>
      <c r="F128" s="107" t="n">
        <v>5</v>
      </c>
      <c r="G128" s="108" t="n">
        <v>0.2</v>
      </c>
      <c r="H128" s="108" t="n">
        <v>0.2</v>
      </c>
      <c r="I128" s="108" t="n">
        <v>0.2</v>
      </c>
      <c r="J128" s="108" t="n">
        <v>0.6</v>
      </c>
      <c r="K128" s="97" t="inlineStr"/>
      <c r="L128" s="97" t="inlineStr">
        <is>
          <t>official_only 为主，其余为敏感性</t>
        </is>
      </c>
    </row>
    <row r="129">
      <c r="A129" s="96" t="inlineStr">
        <is>
          <t>office0</t>
        </is>
      </c>
      <c r="B129" s="96" t="inlineStr">
        <is>
          <t>reviewed_lamp_aliases</t>
        </is>
      </c>
      <c r="C129" s="96" t="inlineStr">
        <is>
          <t>OM_all</t>
        </is>
      </c>
      <c r="D129" s="106" t="n">
        <v>0.2051282051282051</v>
      </c>
      <c r="E129" s="114" t="n">
        <v>2.636363636363636</v>
      </c>
      <c r="F129" s="105" t="n">
        <v>5</v>
      </c>
      <c r="G129" s="106" t="n">
        <v>0</v>
      </c>
      <c r="H129" s="106" t="n">
        <v>0.2</v>
      </c>
      <c r="I129" s="106" t="n">
        <v>0.2</v>
      </c>
      <c r="J129" s="106" t="n">
        <v>0.2</v>
      </c>
      <c r="K129" s="96" t="inlineStr"/>
      <c r="L129" s="96" t="inlineStr">
        <is>
          <t>official_only 为主，其余为敏感性</t>
        </is>
      </c>
    </row>
    <row r="130">
      <c r="A130" s="97" t="inlineStr">
        <is>
          <t>office0</t>
        </is>
      </c>
      <c r="B130" s="97" t="inlineStr">
        <is>
          <t>reviewed_lamp_aliases</t>
        </is>
      </c>
      <c r="C130" s="97" t="inlineStr">
        <is>
          <t>OG</t>
        </is>
      </c>
      <c r="D130" s="108" t="n">
        <v>1</v>
      </c>
      <c r="E130" s="115" t="n">
        <v>0</v>
      </c>
      <c r="F130" s="107" t="n">
        <v>5</v>
      </c>
      <c r="G130" s="108" t="n">
        <v>1</v>
      </c>
      <c r="H130" s="108" t="n">
        <v>1</v>
      </c>
      <c r="I130" s="108" t="n">
        <v>1</v>
      </c>
      <c r="J130" s="108" t="n">
        <v>1</v>
      </c>
      <c r="K130" s="97" t="inlineStr"/>
      <c r="L130" s="97" t="inlineStr">
        <is>
          <t>official_only 为主，其余为敏感性</t>
        </is>
      </c>
    </row>
    <row r="131"/>
    <row r="132" ht="24" customHeight="1" s="2">
      <c r="A132" s="91" t="inlineStr">
        <is>
          <t>G. GPT-5.6-terra vs LLaVA caption 消融</t>
        </is>
      </c>
      <c r="B132" s="120" t="n"/>
      <c r="C132" s="120" t="n"/>
      <c r="D132" s="120" t="n"/>
      <c r="E132" s="120" t="n"/>
      <c r="F132" s="120" t="n"/>
      <c r="G132" s="120" t="n"/>
      <c r="H132" s="120" t="n"/>
      <c r="I132" s="120" t="n"/>
      <c r="J132" s="120" t="n"/>
      <c r="K132" s="120" t="n"/>
      <c r="L132" s="120" t="n"/>
    </row>
    <row r="133" ht="30" customHeight="1" s="2">
      <c r="A133" s="92" t="inlineStr">
        <is>
          <t>场景</t>
        </is>
      </c>
      <c r="B133" s="92" t="inlineStr">
        <is>
          <t>分支</t>
        </is>
      </c>
      <c r="C133" s="92" t="inlineStr">
        <is>
          <t>任务</t>
        </is>
      </c>
      <c r="D133" s="92" t="inlineStr">
        <is>
          <t>完成</t>
        </is>
      </c>
      <c r="E133" s="92" t="inlineStr">
        <is>
          <t>失败</t>
        </is>
      </c>
      <c r="F133" s="92" t="inlineStr">
        <is>
          <t>预测数</t>
        </is>
      </c>
      <c r="G133" s="92" t="inlineStr">
        <is>
          <t>model-covered 正确/分母</t>
        </is>
      </c>
      <c r="H133" s="92" t="inlineStr">
        <is>
          <t>fallback 后正确/分母</t>
        </is>
      </c>
      <c r="I133" s="92" t="inlineStr">
        <is>
          <t>tokens</t>
        </is>
      </c>
      <c r="J133" s="92" t="inlineStr">
        <is>
          <t>墙钟时间s</t>
        </is>
      </c>
      <c r="K133" s="92" t="inlineStr">
        <is>
          <t>模型</t>
        </is>
      </c>
      <c r="L133" s="92" t="inlineStr">
        <is>
          <t>结论</t>
        </is>
      </c>
    </row>
    <row r="134" ht="36" customHeight="1" s="2">
      <c r="A134" s="97" t="inlineStr">
        <is>
          <t>room0</t>
        </is>
      </c>
      <c r="B134" s="97" t="inlineStr">
        <is>
          <t>gpt_vision</t>
        </is>
      </c>
      <c r="C134" s="107" t="n">
        <v>96</v>
      </c>
      <c r="D134" s="107" t="n">
        <v>94</v>
      </c>
      <c r="E134" s="107" t="n">
        <v>2</v>
      </c>
      <c r="F134" s="107" t="n">
        <v>48</v>
      </c>
      <c r="G134" s="97" t="inlineStr">
        <is>
          <t>0/16</t>
        </is>
      </c>
      <c r="H134" s="97" t="inlineStr">
        <is>
          <t>1/18</t>
        </is>
      </c>
      <c r="I134" s="107" t="n">
        <v>283347</v>
      </c>
      <c r="J134" s="115" t="n">
        <v>345.941</v>
      </c>
      <c r="K134" s="97" t="inlineStr">
        <is>
          <t>gpt-5.6-terra</t>
        </is>
      </c>
      <c r="L134" s="97" t="inlineStr">
        <is>
          <t>两支均无 model-covered 正确增益</t>
        </is>
      </c>
    </row>
    <row r="135" ht="36" customHeight="1" s="2">
      <c r="A135" s="96" t="inlineStr">
        <is>
          <t>room0</t>
        </is>
      </c>
      <c r="B135" s="96" t="inlineStr">
        <is>
          <t>llava_caption_gpt_text</t>
        </is>
      </c>
      <c r="C135" s="105" t="n">
        <v>96</v>
      </c>
      <c r="D135" s="105" t="n">
        <v>94</v>
      </c>
      <c r="E135" s="105" t="n">
        <v>2</v>
      </c>
      <c r="F135" s="105" t="n">
        <v>46</v>
      </c>
      <c r="G135" s="96" t="inlineStr">
        <is>
          <t>0/15</t>
        </is>
      </c>
      <c r="H135" s="96" t="inlineStr">
        <is>
          <t>1/18</t>
        </is>
      </c>
      <c r="I135" s="105" t="n">
        <v>258412</v>
      </c>
      <c r="J135" s="114" t="n">
        <v>345.941</v>
      </c>
      <c r="K135" s="96" t="inlineStr">
        <is>
          <t>gpt-5.6-terra</t>
        </is>
      </c>
      <c r="L135" s="96" t="inlineStr">
        <is>
          <t>两支均无 model-covered 正确增益</t>
        </is>
      </c>
    </row>
    <row r="136" ht="36" customHeight="1" s="2">
      <c r="A136" s="97" t="inlineStr">
        <is>
          <t>office0</t>
        </is>
      </c>
      <c r="B136" s="97" t="inlineStr">
        <is>
          <t>gpt_vision</t>
        </is>
      </c>
      <c r="C136" s="107" t="n">
        <v>62</v>
      </c>
      <c r="D136" s="107" t="n">
        <v>62</v>
      </c>
      <c r="E136" s="107" t="n">
        <v>0</v>
      </c>
      <c r="F136" s="107" t="n">
        <v>31</v>
      </c>
      <c r="G136" s="97" t="inlineStr">
        <is>
          <t>0/7</t>
        </is>
      </c>
      <c r="H136" s="97" t="inlineStr">
        <is>
          <t>0/8</t>
        </is>
      </c>
      <c r="I136" s="107" t="n">
        <v>182960</v>
      </c>
      <c r="J136" s="115" t="n">
        <v>360.306</v>
      </c>
      <c r="K136" s="97" t="inlineStr">
        <is>
          <t>gpt-5.6-terra</t>
        </is>
      </c>
      <c r="L136" s="97" t="inlineStr">
        <is>
          <t>两支均无 model-covered 正确增益</t>
        </is>
      </c>
    </row>
    <row r="137" ht="36" customHeight="1" s="2">
      <c r="A137" s="96" t="inlineStr">
        <is>
          <t>office0</t>
        </is>
      </c>
      <c r="B137" s="96" t="inlineStr">
        <is>
          <t>llava_caption_gpt_text</t>
        </is>
      </c>
      <c r="C137" s="105" t="n">
        <v>62</v>
      </c>
      <c r="D137" s="105" t="n">
        <v>62</v>
      </c>
      <c r="E137" s="105" t="n">
        <v>0</v>
      </c>
      <c r="F137" s="105" t="n">
        <v>31</v>
      </c>
      <c r="G137" s="96" t="inlineStr">
        <is>
          <t>0/7</t>
        </is>
      </c>
      <c r="H137" s="96" t="inlineStr">
        <is>
          <t>0/8</t>
        </is>
      </c>
      <c r="I137" s="105" t="n">
        <v>173857</v>
      </c>
      <c r="J137" s="114" t="n">
        <v>360.306</v>
      </c>
      <c r="K137" s="96" t="inlineStr">
        <is>
          <t>gpt-5.6-terra</t>
        </is>
      </c>
      <c r="L137" s="96" t="inlineStr">
        <is>
          <t>两支均无 model-covered 正确增益</t>
        </is>
      </c>
    </row>
    <row r="138">
      <c r="A138" s="93" t="inlineStr">
        <is>
          <t>合计</t>
        </is>
      </c>
      <c r="B138" s="93" t="inlineStr">
        <is>
          <t>formal</t>
        </is>
      </c>
      <c r="C138" s="116" t="n">
        <v>158</v>
      </c>
      <c r="D138" s="116" t="n">
        <v>156</v>
      </c>
      <c r="E138" s="116" t="n">
        <v>2</v>
      </c>
      <c r="F138" s="93" t="inlineStr"/>
      <c r="G138" s="93" t="inlineStr"/>
      <c r="H138" s="93" t="inlineStr"/>
      <c r="I138" s="116" t="n">
        <v>898576</v>
      </c>
      <c r="J138" s="93" t="inlineStr"/>
      <c r="K138" s="93" t="inlineStr">
        <is>
          <t>gpt-5.6-terra</t>
        </is>
      </c>
      <c r="L138" s="93" t="inlineStr">
        <is>
          <t>含 smoke 总 tokens=910,045；端点未提供价格，不估计金额</t>
        </is>
      </c>
    </row>
    <row r="139"/>
    <row r="140" ht="24" customHeight="1" s="2">
      <c r="A140" s="91" t="inlineStr">
        <is>
          <t>H. 真实 replay：候选挖掘、微型案例和实现缺口</t>
        </is>
      </c>
      <c r="B140" s="120" t="n"/>
      <c r="C140" s="120" t="n"/>
      <c r="D140" s="120" t="n"/>
      <c r="E140" s="120" t="n"/>
      <c r="F140" s="120" t="n"/>
      <c r="G140" s="120" t="n"/>
      <c r="H140" s="120" t="n"/>
      <c r="I140" s="120" t="n"/>
      <c r="J140" s="120" t="n"/>
      <c r="K140" s="120" t="n"/>
      <c r="L140" s="120" t="n"/>
    </row>
    <row r="141" ht="30" customHeight="1" s="2">
      <c r="A141" s="92" t="inlineStr">
        <is>
          <t>场景</t>
        </is>
      </c>
      <c r="B141" s="92" t="inlineStr">
        <is>
          <t>扫描观测</t>
        </is>
      </c>
      <c r="C141" s="92" t="inlineStr">
        <is>
          <t>阈值</t>
        </is>
      </c>
      <c r="D141" s="92" t="inlineStr">
        <is>
          <t>候选观测</t>
        </is>
      </c>
      <c r="E141" s="92" t="inlineStr">
        <is>
          <t>帧数</t>
        </is>
      </c>
      <c r="F141" s="92" t="inlineStr">
        <is>
          <t>GT对象数</t>
        </is>
      </c>
      <c r="G141" s="92" t="inlineStr">
        <is>
          <t>前景观测</t>
        </is>
      </c>
      <c r="H141" s="92" t="inlineStr">
        <is>
          <t>前景GT对象</t>
        </is>
      </c>
      <c r="I141" s="92" t="inlineStr"/>
      <c r="J141" s="92" t="inlineStr"/>
      <c r="K141" s="92" t="inlineStr"/>
      <c r="L141" s="92" t="inlineStr">
        <is>
          <t>说明</t>
        </is>
      </c>
    </row>
    <row r="142">
      <c r="A142" s="97" t="inlineStr">
        <is>
          <t>room0</t>
        </is>
      </c>
      <c r="B142" s="107" t="n">
        <v>3779</v>
      </c>
      <c r="C142" s="107" t="n">
        <v>0.3</v>
      </c>
      <c r="D142" s="107" t="n">
        <v>45</v>
      </c>
      <c r="E142" s="107" t="n">
        <v>39</v>
      </c>
      <c r="F142" s="107" t="n">
        <v>7</v>
      </c>
      <c r="G142" s="107" t="n">
        <v>11</v>
      </c>
      <c r="H142" s="107" t="n">
        <v>3</v>
      </c>
      <c r="I142" s="97" t="inlineStr"/>
      <c r="J142" s="97" t="inlineStr"/>
      <c r="K142" s="97" t="inlineStr"/>
      <c r="L142" s="97" t="inlineStr">
        <is>
          <t>0.5 是严格候选阈值</t>
        </is>
      </c>
    </row>
    <row r="143">
      <c r="A143" s="96" t="inlineStr">
        <is>
          <t>room0</t>
        </is>
      </c>
      <c r="B143" s="105" t="n">
        <v>3779</v>
      </c>
      <c r="C143" s="105" t="n">
        <v>0.5</v>
      </c>
      <c r="D143" s="105" t="n">
        <v>10</v>
      </c>
      <c r="E143" s="105" t="n">
        <v>10</v>
      </c>
      <c r="F143" s="105" t="n">
        <v>4</v>
      </c>
      <c r="G143" s="105" t="n">
        <v>10</v>
      </c>
      <c r="H143" s="105" t="n">
        <v>4</v>
      </c>
      <c r="I143" s="96" t="inlineStr"/>
      <c r="J143" s="96" t="inlineStr"/>
      <c r="K143" s="96" t="inlineStr"/>
      <c r="L143" s="96" t="inlineStr">
        <is>
          <t>0.5 是严格候选阈值</t>
        </is>
      </c>
    </row>
    <row r="144">
      <c r="A144" s="97" t="inlineStr">
        <is>
          <t>room0</t>
        </is>
      </c>
      <c r="B144" s="107" t="n">
        <v>3779</v>
      </c>
      <c r="C144" s="107" t="n">
        <v>0.7</v>
      </c>
      <c r="D144" s="107" t="n">
        <v>0</v>
      </c>
      <c r="E144" s="107" t="n">
        <v>0</v>
      </c>
      <c r="F144" s="107" t="n">
        <v>0</v>
      </c>
      <c r="G144" s="107" t="n">
        <v>0</v>
      </c>
      <c r="H144" s="107" t="n">
        <v>0</v>
      </c>
      <c r="I144" s="97" t="inlineStr"/>
      <c r="J144" s="97" t="inlineStr"/>
      <c r="K144" s="97" t="inlineStr"/>
      <c r="L144" s="97" t="inlineStr">
        <is>
          <t>0.5 是严格候选阈值</t>
        </is>
      </c>
    </row>
    <row r="145">
      <c r="A145" s="96" t="inlineStr">
        <is>
          <t>office0</t>
        </is>
      </c>
      <c r="B145" s="105" t="n">
        <v>1560</v>
      </c>
      <c r="C145" s="105" t="n">
        <v>0.3</v>
      </c>
      <c r="D145" s="105" t="n">
        <v>12</v>
      </c>
      <c r="E145" s="105" t="n">
        <v>10</v>
      </c>
      <c r="F145" s="105" t="n">
        <v>5</v>
      </c>
      <c r="G145" s="105" t="n">
        <v>10</v>
      </c>
      <c r="H145" s="105" t="n">
        <v>3</v>
      </c>
      <c r="I145" s="96" t="inlineStr"/>
      <c r="J145" s="96" t="inlineStr"/>
      <c r="K145" s="96" t="inlineStr"/>
      <c r="L145" s="96" t="inlineStr">
        <is>
          <t>0.5 是严格候选阈值</t>
        </is>
      </c>
    </row>
    <row r="146">
      <c r="A146" s="97" t="inlineStr">
        <is>
          <t>office0</t>
        </is>
      </c>
      <c r="B146" s="107" t="n">
        <v>1560</v>
      </c>
      <c r="C146" s="107" t="n">
        <v>0.5</v>
      </c>
      <c r="D146" s="107" t="n">
        <v>0</v>
      </c>
      <c r="E146" s="107" t="n">
        <v>0</v>
      </c>
      <c r="F146" s="107" t="n">
        <v>0</v>
      </c>
      <c r="G146" s="107" t="n">
        <v>0</v>
      </c>
      <c r="H146" s="107" t="n">
        <v>0</v>
      </c>
      <c r="I146" s="97" t="inlineStr"/>
      <c r="J146" s="97" t="inlineStr"/>
      <c r="K146" s="97" t="inlineStr"/>
      <c r="L146" s="97" t="inlineStr">
        <is>
          <t>0.5 是严格候选阈值</t>
        </is>
      </c>
    </row>
    <row r="147">
      <c r="A147" s="96" t="inlineStr">
        <is>
          <t>office0</t>
        </is>
      </c>
      <c r="B147" s="105" t="n">
        <v>1560</v>
      </c>
      <c r="C147" s="105" t="n">
        <v>0.7</v>
      </c>
      <c r="D147" s="105" t="n">
        <v>0</v>
      </c>
      <c r="E147" s="105" t="n">
        <v>0</v>
      </c>
      <c r="F147" s="105" t="n">
        <v>0</v>
      </c>
      <c r="G147" s="105" t="n">
        <v>0</v>
      </c>
      <c r="H147" s="105" t="n">
        <v>0</v>
      </c>
      <c r="I147" s="96" t="inlineStr"/>
      <c r="J147" s="96" t="inlineStr"/>
      <c r="K147" s="96" t="inlineStr"/>
      <c r="L147" s="96" t="inlineStr">
        <is>
          <t>0.5 是严格候选阈值</t>
        </is>
      </c>
    </row>
    <row r="148"/>
    <row r="149" ht="30" customHeight="1" s="2">
      <c r="A149" s="92" t="inlineStr">
        <is>
          <t>案例</t>
        </is>
      </c>
      <c r="B149" s="92" t="inlineStr">
        <is>
          <t>角色</t>
        </is>
      </c>
      <c r="C149" s="92" t="inlineStr">
        <is>
          <t>raw purity</t>
        </is>
      </c>
      <c r="D149" s="92" t="inlineStr">
        <is>
          <t>raw recall</t>
        </is>
      </c>
      <c r="E149" s="92" t="inlineStr">
        <is>
          <t>原点数</t>
        </is>
      </c>
      <c r="F149" s="92" t="inlineStr">
        <is>
          <t>恢复点数</t>
        </is>
      </c>
      <c r="G149" s="92" t="inlineStr">
        <is>
          <t>支持增益</t>
        </is>
      </c>
      <c r="H149" s="92" t="inlineStr">
        <is>
          <t>association改变</t>
        </is>
      </c>
      <c r="I149" s="92" t="inlineStr">
        <is>
          <t>local</t>
        </is>
      </c>
      <c r="J149" s="92" t="inlineStr">
        <is>
          <t>global parity</t>
        </is>
      </c>
      <c r="K149" s="92" t="inlineStr">
        <is>
          <t>closure</t>
        </is>
      </c>
      <c r="L149" s="92" t="inlineStr">
        <is>
          <t>结论</t>
        </is>
      </c>
    </row>
    <row r="150" ht="38" customHeight="1" s="2">
      <c r="A150" s="97" t="inlineStr">
        <is>
          <t>room0_strict</t>
        </is>
      </c>
      <c r="B150" s="97" t="inlineStr">
        <is>
          <t>严格开发</t>
        </is>
      </c>
      <c r="C150" s="108" t="n">
        <v>0.9787870159453302</v>
      </c>
      <c r="D150" s="108" t="n">
        <v>0.6831958660439232</v>
      </c>
      <c r="E150" s="107" t="n">
        <v>17</v>
      </c>
      <c r="F150" s="107" t="n">
        <v>2716</v>
      </c>
      <c r="G150" s="117" t="n">
        <v>159.7647058823529</v>
      </c>
      <c r="H150" s="97" t="inlineStr">
        <is>
          <t>否</t>
        </is>
      </c>
      <c r="I150" s="97" t="inlineStr">
        <is>
          <t>是</t>
        </is>
      </c>
      <c r="J150" s="97" t="inlineStr">
        <is>
          <t>是</t>
        </is>
      </c>
      <c r="K150" s="97" t="inlineStr">
        <is>
          <t>3779/3779 场景全覆盖</t>
        </is>
      </c>
      <c r="L150" s="97" t="inlineStr">
        <is>
          <t>机制/parity 通过，不是修复成功率证据</t>
        </is>
      </c>
    </row>
    <row r="151" ht="38" customHeight="1" s="2">
      <c r="A151" s="96" t="inlineStr">
        <is>
          <t>office0_relaxed</t>
        </is>
      </c>
      <c r="B151" s="96" t="inlineStr">
        <is>
          <t>宽松探索</t>
        </is>
      </c>
      <c r="C151" s="106" t="n">
        <v>0.516</v>
      </c>
      <c r="D151" s="106" t="n">
        <v>0.475</v>
      </c>
      <c r="E151" s="105" t="n">
        <v>168</v>
      </c>
      <c r="F151" s="105" t="n">
        <v>26223</v>
      </c>
      <c r="G151" s="118" t="n">
        <v>156.0892857142857</v>
      </c>
      <c r="H151" s="96" t="inlineStr">
        <is>
          <t>否</t>
        </is>
      </c>
      <c r="I151" s="96" t="inlineStr">
        <is>
          <t>是</t>
        </is>
      </c>
      <c r="J151" s="96" t="inlineStr">
        <is>
          <t>是</t>
        </is>
      </c>
      <c r="K151" s="96" t="inlineStr">
        <is>
          <t>1560/1560 场景全覆盖</t>
        </is>
      </c>
      <c r="L151" s="96" t="inlineStr">
        <is>
          <t>机制/parity 通过，不是修复成功率证据</t>
        </is>
      </c>
    </row>
    <row r="152"/>
    <row r="153" ht="48" customHeight="1" s="2">
      <c r="A153" s="119" t="inlineStr">
        <is>
          <t>实现缺口</t>
        </is>
      </c>
      <c r="B153" s="119" t="inlineStr">
        <is>
          <t>PARTITION_OBSERVATION</t>
        </is>
      </c>
      <c r="C153" s="119" t="inlineStr">
        <is>
          <t>是</t>
        </is>
      </c>
      <c r="D153" s="119" t="inlineStr">
        <is>
          <t>是</t>
        </is>
      </c>
      <c r="E153" s="119" t="inlineStr">
        <is>
          <t>DEFER</t>
        </is>
      </c>
      <c r="F153" s="119" t="inlineStr">
        <is>
          <t>否</t>
        </is>
      </c>
      <c r="G153" s="119" t="inlineStr"/>
      <c r="H153" s="119" t="inlineStr"/>
      <c r="I153" s="119" t="inlineStr"/>
      <c r="J153" s="119" t="inlineStr"/>
      <c r="K153" s="119" t="inlineStr"/>
      <c r="L153" s="119" t="inlineStr">
        <is>
          <t>约束契约和纯执行已有，但未集成到关联前稀疏 replay；这是当前最关键的实现阻塞。</t>
        </is>
      </c>
    </row>
    <row r="154"/>
    <row r="155" ht="24" customHeight="1" s="2">
      <c r="A155" s="91" t="inlineStr">
        <is>
          <t>I. 运行时间、资源和保留产物</t>
        </is>
      </c>
      <c r="B155" s="120" t="n"/>
      <c r="C155" s="120" t="n"/>
      <c r="D155" s="120" t="n"/>
      <c r="E155" s="120" t="n"/>
      <c r="F155" s="120" t="n"/>
      <c r="G155" s="120" t="n"/>
      <c r="H155" s="120" t="n"/>
      <c r="I155" s="120" t="n"/>
      <c r="J155" s="120" t="n"/>
      <c r="K155" s="120" t="n"/>
      <c r="L155" s="120" t="n"/>
    </row>
    <row r="156" ht="30" customHeight="1" s="2">
      <c r="A156" s="92" t="inlineStr">
        <is>
          <t>场景</t>
        </is>
      </c>
      <c r="B156" s="92" t="inlineStr">
        <is>
          <t>条件</t>
        </is>
      </c>
      <c r="C156" s="92" t="inlineStr">
        <is>
          <t>帧数</t>
        </is>
      </c>
      <c r="D156" s="92" t="inlineStr">
        <is>
          <t>观测数</t>
        </is>
      </c>
      <c r="E156" s="92" t="inlineStr">
        <is>
          <t>节点数</t>
        </is>
      </c>
      <c r="F156" s="92" t="inlineStr">
        <is>
          <t>用时s</t>
        </is>
      </c>
      <c r="G156" s="92" t="inlineStr">
        <is>
          <t>峰值RSS MB</t>
        </is>
      </c>
      <c r="H156" s="92" t="inlineStr">
        <is>
          <t>从空图</t>
        </is>
      </c>
      <c r="I156" s="92" t="inlineStr">
        <is>
          <t>未来lineage</t>
        </is>
      </c>
      <c r="J156" s="92" t="inlineStr"/>
      <c r="K156" s="92" t="inlineStr"/>
      <c r="L156" s="92" t="inlineStr">
        <is>
          <t>模式定义</t>
        </is>
      </c>
    </row>
    <row r="157" ht="54" customHeight="1" s="2">
      <c r="A157" s="96" t="inlineStr">
        <is>
          <t>room0</t>
        </is>
      </c>
      <c r="B157" s="96" t="inlineStr">
        <is>
          <t>OA_online</t>
        </is>
      </c>
      <c r="C157" s="105" t="n">
        <v>400</v>
      </c>
      <c r="D157" s="105" t="n">
        <v>7507</v>
      </c>
      <c r="E157" s="105" t="n">
        <v>65</v>
      </c>
      <c r="F157" s="114" t="n">
        <v>716.3235821546987</v>
      </c>
      <c r="G157" s="112" t="n">
        <v>25607.62890625</v>
      </c>
      <c r="H157" s="96" t="inlineStr">
        <is>
          <t>是</t>
        </is>
      </c>
      <c r="I157" s="96" t="inlineStr">
        <is>
          <t>否</t>
        </is>
      </c>
      <c r="J157" s="96" t="inlineStr"/>
      <c r="K157" s="96" t="inlineStr"/>
      <c r="L157" s="96" t="inlineStr">
        <is>
          <t>Normal filtered 3D observations; GT identity is forced only for masks whose dominant-instance purity passes the gate. Unassigned detections are associated online in an isolated native map.</t>
        </is>
      </c>
    </row>
    <row r="158" ht="54" customHeight="1" s="2">
      <c r="A158" s="97" t="inlineStr">
        <is>
          <t>room0</t>
        </is>
      </c>
      <c r="B158" s="97" t="inlineStr">
        <is>
          <t>OP_raw</t>
        </is>
      </c>
      <c r="C158" s="107" t="n">
        <v>400</v>
      </c>
      <c r="D158" s="107" t="n">
        <v>8903</v>
      </c>
      <c r="E158" s="107" t="n">
        <v>72</v>
      </c>
      <c r="F158" s="115" t="n">
        <v>875.9032171955332</v>
      </c>
      <c r="G158" s="111" t="n">
        <v>27935.8515625</v>
      </c>
      <c r="H158" s="97" t="inlineStr">
        <is>
          <t>是</t>
        </is>
      </c>
      <c r="I158" s="97" t="inlineStr">
        <is>
          <t>否</t>
        </is>
      </c>
      <c r="J158" s="97" t="inlineStr"/>
      <c r="K158" s="97" t="inlineStr"/>
      <c r="L158" s="97" t="inlineStr">
        <is>
          <t>OA plus a per-frame union of raw proposals that failed to become a valid filtered observation and whose dominant-instance purity passes the gate.</t>
        </is>
      </c>
    </row>
    <row r="159" ht="54" customHeight="1" s="2">
      <c r="A159" s="96" t="inlineStr">
        <is>
          <t>room0</t>
        </is>
      </c>
      <c r="B159" s="96" t="inlineStr">
        <is>
          <t>OM_pure</t>
        </is>
      </c>
      <c r="C159" s="105" t="n">
        <v>400</v>
      </c>
      <c r="D159" s="105" t="n">
        <v>2153</v>
      </c>
      <c r="E159" s="105" t="n">
        <v>35</v>
      </c>
      <c r="F159" s="114" t="n">
        <v>289.8451550435275</v>
      </c>
      <c r="G159" s="112" t="n">
        <v>4700.87109375</v>
      </c>
      <c r="H159" s="96" t="inlineStr">
        <is>
          <t>是</t>
        </is>
      </c>
      <c r="I159" s="96" t="inlineStr">
        <is>
          <t>否</t>
        </is>
      </c>
      <c r="J159" s="96" t="inlineStr"/>
      <c r="K159" s="96" t="inlineStr"/>
      <c r="L159" s="96" t="inlineStr">
        <is>
          <t>One GT-clipped per-frame union from owner-identifiable raw proposals. Uses only pixels present in raw masks; removes contamination and residual FPs.</t>
        </is>
      </c>
    </row>
    <row r="160" ht="54" customHeight="1" s="2">
      <c r="A160" s="97" t="inlineStr">
        <is>
          <t>room0</t>
        </is>
      </c>
      <c r="B160" s="97" t="inlineStr">
        <is>
          <t>OM_all</t>
        </is>
      </c>
      <c r="C160" s="107" t="n">
        <v>400</v>
      </c>
      <c r="D160" s="107" t="n">
        <v>10792</v>
      </c>
      <c r="E160" s="107" t="n">
        <v>91</v>
      </c>
      <c r="F160" s="115" t="n">
        <v>775.4242952819914</v>
      </c>
      <c r="G160" s="111" t="n">
        <v>19101.296875</v>
      </c>
      <c r="H160" s="97" t="inlineStr">
        <is>
          <t>是</t>
        </is>
      </c>
      <c r="I160" s="97" t="inlineStr">
        <is>
          <t>否</t>
        </is>
      </c>
      <c r="J160" s="97" t="inlineStr"/>
      <c r="K160" s="97" t="inlineStr"/>
      <c r="L160" s="97" t="inlineStr">
        <is>
          <t>One GT-clipped per-frame union from any overlapping raw proposal. Uses only raw-mask support but is a maximal partition plus FP-suppression ceiling.</t>
        </is>
      </c>
    </row>
    <row r="161" ht="54" customHeight="1" s="2">
      <c r="A161" s="96" t="inlineStr">
        <is>
          <t>office0</t>
        </is>
      </c>
      <c r="B161" s="96" t="inlineStr">
        <is>
          <t>OA_online</t>
        </is>
      </c>
      <c r="C161" s="105" t="n">
        <v>400</v>
      </c>
      <c r="D161" s="105" t="n">
        <v>3106</v>
      </c>
      <c r="E161" s="105" t="n">
        <v>34</v>
      </c>
      <c r="F161" s="114" t="n">
        <v>315.1050399113446</v>
      </c>
      <c r="G161" s="112" t="n">
        <v>11185.34375</v>
      </c>
      <c r="H161" s="96" t="inlineStr">
        <is>
          <t>是</t>
        </is>
      </c>
      <c r="I161" s="96" t="inlineStr">
        <is>
          <t>否</t>
        </is>
      </c>
      <c r="J161" s="96" t="inlineStr"/>
      <c r="K161" s="96" t="inlineStr"/>
      <c r="L161" s="96" t="inlineStr">
        <is>
          <t>Normal filtered 3D observations; GT identity is forced only for masks whose dominant-instance purity passes the gate. Unassigned detections are associated online in an isolated native map.</t>
        </is>
      </c>
    </row>
    <row r="162" ht="54" customHeight="1" s="2">
      <c r="A162" s="97" t="inlineStr">
        <is>
          <t>office0</t>
        </is>
      </c>
      <c r="B162" s="97" t="inlineStr">
        <is>
          <t>OP_raw</t>
        </is>
      </c>
      <c r="C162" s="107" t="n">
        <v>400</v>
      </c>
      <c r="D162" s="107" t="n">
        <v>4054</v>
      </c>
      <c r="E162" s="107" t="n">
        <v>37</v>
      </c>
      <c r="F162" s="115" t="n">
        <v>506.0503797316924</v>
      </c>
      <c r="G162" s="111" t="n">
        <v>12913.63671875</v>
      </c>
      <c r="H162" s="97" t="inlineStr">
        <is>
          <t>是</t>
        </is>
      </c>
      <c r="I162" s="97" t="inlineStr">
        <is>
          <t>否</t>
        </is>
      </c>
      <c r="J162" s="97" t="inlineStr"/>
      <c r="K162" s="97" t="inlineStr"/>
      <c r="L162" s="97" t="inlineStr">
        <is>
          <t>OA plus a per-frame union of raw proposals that failed to become a valid filtered observation and whose dominant-instance purity passes the gate.</t>
        </is>
      </c>
    </row>
    <row r="163" ht="54" customHeight="1" s="2">
      <c r="A163" s="96" t="inlineStr">
        <is>
          <t>office0</t>
        </is>
      </c>
      <c r="B163" s="96" t="inlineStr">
        <is>
          <t>OM_pure</t>
        </is>
      </c>
      <c r="C163" s="105" t="n">
        <v>400</v>
      </c>
      <c r="D163" s="105" t="n">
        <v>1337</v>
      </c>
      <c r="E163" s="105" t="n">
        <v>19</v>
      </c>
      <c r="F163" s="114" t="n">
        <v>198.4368459628895</v>
      </c>
      <c r="G163" s="112" t="n">
        <v>3276.48046875</v>
      </c>
      <c r="H163" s="96" t="inlineStr">
        <is>
          <t>是</t>
        </is>
      </c>
      <c r="I163" s="96" t="inlineStr">
        <is>
          <t>否</t>
        </is>
      </c>
      <c r="J163" s="96" t="inlineStr"/>
      <c r="K163" s="96" t="inlineStr"/>
      <c r="L163" s="96" t="inlineStr">
        <is>
          <t>One GT-clipped per-frame union from owner-identifiable raw proposals. Uses only pixels present in raw masks; removes contamination and residual FPs.</t>
        </is>
      </c>
    </row>
    <row r="164" ht="54" customHeight="1" s="2">
      <c r="A164" s="97" t="inlineStr">
        <is>
          <t>office0</t>
        </is>
      </c>
      <c r="B164" s="97" t="inlineStr">
        <is>
          <t>OM_all</t>
        </is>
      </c>
      <c r="C164" s="107" t="n">
        <v>400</v>
      </c>
      <c r="D164" s="107" t="n">
        <v>4440</v>
      </c>
      <c r="E164" s="107" t="n">
        <v>50</v>
      </c>
      <c r="F164" s="115" t="n">
        <v>355.0841145813465</v>
      </c>
      <c r="G164" s="111" t="n">
        <v>8435.5234375</v>
      </c>
      <c r="H164" s="97" t="inlineStr">
        <is>
          <t>是</t>
        </is>
      </c>
      <c r="I164" s="97" t="inlineStr">
        <is>
          <t>否</t>
        </is>
      </c>
      <c r="J164" s="97" t="inlineStr"/>
      <c r="K164" s="97" t="inlineStr"/>
      <c r="L164" s="97" t="inlineStr">
        <is>
          <t>One GT-clipped per-frame union from any overlapping raw proposal. Uses only raw-mask support but is a maximal partition plus FP-suppression ceiling.</t>
        </is>
      </c>
    </row>
    <row r="165"/>
    <row r="166" ht="24" customHeight="1" s="2">
      <c r="A166" s="91" t="inlineStr">
        <is>
          <t>J. 局限、失败和原始路径</t>
        </is>
      </c>
      <c r="B166" s="120" t="n"/>
      <c r="C166" s="120" t="n"/>
      <c r="D166" s="120" t="n"/>
      <c r="E166" s="120" t="n"/>
      <c r="F166" s="120" t="n"/>
      <c r="G166" s="120" t="n"/>
      <c r="H166" s="120" t="n"/>
      <c r="I166" s="120" t="n"/>
      <c r="J166" s="120" t="n"/>
      <c r="K166" s="120" t="n"/>
      <c r="L166" s="120" t="n"/>
    </row>
    <row r="167" ht="30" customHeight="1" s="2">
      <c r="A167" s="92" t="inlineStr">
        <is>
          <t>编号</t>
        </is>
      </c>
      <c r="B167" s="92" t="inlineStr">
        <is>
          <t>局限/失败</t>
        </is>
      </c>
      <c r="C167" s="92" t="inlineStr">
        <is>
          <t>影响</t>
        </is>
      </c>
      <c r="D167" s="92" t="inlineStr">
        <is>
          <t>当前处理</t>
        </is>
      </c>
      <c r="E167" s="92" t="inlineStr"/>
      <c r="F167" s="92" t="inlineStr"/>
      <c r="G167" s="92" t="inlineStr"/>
      <c r="H167" s="92" t="inlineStr"/>
      <c r="I167" s="92" t="inlineStr"/>
      <c r="J167" s="92" t="inlineStr"/>
      <c r="K167" s="92" t="inlineStr"/>
      <c r="L167" s="92" t="inlineStr">
        <is>
          <t>是否阻塞方向决策</t>
        </is>
      </c>
    </row>
    <row r="168" ht="45" customHeight="1" s="2">
      <c r="A168" s="107" t="n">
        <v>1</v>
      </c>
      <c r="B168" s="97" t="inlineStr">
        <is>
          <t>Only two scenes were run by explicit user constraint; no population confidence interval or scene bootstrap is valid.</t>
        </is>
      </c>
      <c r="C168" s="97" t="inlineStr">
        <is>
          <t>限制外推或因果强度</t>
        </is>
      </c>
      <c r="D168" s="97" t="inlineStr">
        <is>
          <t>在总结中显式保留</t>
        </is>
      </c>
      <c r="E168" s="97" t="inlineStr"/>
      <c r="F168" s="97" t="inlineStr"/>
      <c r="G168" s="97" t="inlineStr"/>
      <c r="H168" s="97" t="inlineStr"/>
      <c r="I168" s="97" t="inlineStr"/>
      <c r="J168" s="97" t="inlineStr"/>
      <c r="K168" s="97" t="inlineStr"/>
      <c r="L168" s="97" t="inlineStr">
        <is>
          <t>否</t>
        </is>
      </c>
    </row>
    <row r="169" ht="45" customHeight="1" s="2">
      <c r="A169" s="105" t="n">
        <v>2</v>
      </c>
      <c r="B169" s="96" t="inlineStr">
        <is>
          <t>room0 B0 parity against the frozen reference was verified; office0 was freshly built online from empty but has no independent frozen B0 reference for a parity claim.</t>
        </is>
      </c>
      <c r="C169" s="96" t="inlineStr">
        <is>
          <t>限制外推或因果强度</t>
        </is>
      </c>
      <c r="D169" s="96" t="inlineStr">
        <is>
          <t>在总结中显式保留</t>
        </is>
      </c>
      <c r="E169" s="96" t="inlineStr"/>
      <c r="F169" s="96" t="inlineStr"/>
      <c r="G169" s="96" t="inlineStr"/>
      <c r="H169" s="96" t="inlineStr"/>
      <c r="I169" s="96" t="inlineStr"/>
      <c r="J169" s="96" t="inlineStr"/>
      <c r="K169" s="96" t="inlineStr"/>
      <c r="L169" s="96" t="inlineStr">
        <is>
          <t>否</t>
        </is>
      </c>
    </row>
    <row r="170" ht="45" customHeight="1" s="2">
      <c r="A170" s="107" t="n">
        <v>3</v>
      </c>
      <c r="B170" s="97" t="inlineStr">
        <is>
          <t>OM_pure/OM_all/OG use GT only as Oracle capabilities and are not deployable methods.</t>
        </is>
      </c>
      <c r="C170" s="97" t="inlineStr">
        <is>
          <t>限制外推或因果强度</t>
        </is>
      </c>
      <c r="D170" s="97" t="inlineStr">
        <is>
          <t>在总结中显式保留</t>
        </is>
      </c>
      <c r="E170" s="97" t="inlineStr"/>
      <c r="F170" s="97" t="inlineStr"/>
      <c r="G170" s="97" t="inlineStr"/>
      <c r="H170" s="97" t="inlineStr"/>
      <c r="I170" s="97" t="inlineStr"/>
      <c r="J170" s="97" t="inlineStr"/>
      <c r="K170" s="97" t="inlineStr"/>
      <c r="L170" s="97" t="inlineStr">
        <is>
          <t>否</t>
        </is>
      </c>
    </row>
    <row r="171" ht="45" customHeight="1" s="2">
      <c r="A171" s="105" t="n">
        <v>4</v>
      </c>
      <c r="B171" s="96" t="inlineStr">
        <is>
          <t>The strict semantic cohort is empty in both scenes, so pure semantic benefit is unidentified.</t>
        </is>
      </c>
      <c r="C171" s="96" t="inlineStr">
        <is>
          <t>限制外推或因果强度</t>
        </is>
      </c>
      <c r="D171" s="96" t="inlineStr">
        <is>
          <t>在总结中显式保留</t>
        </is>
      </c>
      <c r="E171" s="96" t="inlineStr"/>
      <c r="F171" s="96" t="inlineStr"/>
      <c r="G171" s="96" t="inlineStr"/>
      <c r="H171" s="96" t="inlineStr"/>
      <c r="I171" s="96" t="inlineStr"/>
      <c r="J171" s="96" t="inlineStr"/>
      <c r="K171" s="96" t="inlineStr"/>
      <c r="L171" s="96" t="inlineStr">
        <is>
          <t>阻塞方法成功声称</t>
        </is>
      </c>
    </row>
    <row r="172" ht="45" customHeight="1" s="2">
      <c r="A172" s="107" t="n">
        <v>5</v>
      </c>
      <c r="B172" s="97" t="inlineStr">
        <is>
          <t>The real micro-pilot has one strict room0 positive and one relaxed office0 exploratory case, not a repair success-rate estimate.</t>
        </is>
      </c>
      <c r="C172" s="97" t="inlineStr">
        <is>
          <t>限制外推或因果强度</t>
        </is>
      </c>
      <c r="D172" s="97" t="inlineStr">
        <is>
          <t>在总结中显式保留</t>
        </is>
      </c>
      <c r="E172" s="97" t="inlineStr"/>
      <c r="F172" s="97" t="inlineStr"/>
      <c r="G172" s="97" t="inlineStr"/>
      <c r="H172" s="97" t="inlineStr"/>
      <c r="I172" s="97" t="inlineStr"/>
      <c r="J172" s="97" t="inlineStr"/>
      <c r="K172" s="97" t="inlineStr"/>
      <c r="L172" s="97" t="inlineStr">
        <is>
          <t>阻塞方法成功声称</t>
        </is>
      </c>
    </row>
    <row r="173" ht="45" customHeight="1" s="2">
      <c r="A173" s="105" t="n">
        <v>6</v>
      </c>
      <c r="B173" s="96" t="inlineStr">
        <is>
          <t>Both real micro-pilot dependency closures cover their whole scene, making outside-closure safety vacuous for both cases.</t>
        </is>
      </c>
      <c r="C173" s="96" t="inlineStr">
        <is>
          <t>限制外推或因果强度</t>
        </is>
      </c>
      <c r="D173" s="96" t="inlineStr">
        <is>
          <t>在总结中显式保留</t>
        </is>
      </c>
      <c r="E173" s="96" t="inlineStr"/>
      <c r="F173" s="96" t="inlineStr"/>
      <c r="G173" s="96" t="inlineStr"/>
      <c r="H173" s="96" t="inlineStr"/>
      <c r="I173" s="96" t="inlineStr"/>
      <c r="J173" s="96" t="inlineStr"/>
      <c r="K173" s="96" t="inlineStr"/>
      <c r="L173" s="96" t="inlineStr">
        <is>
          <t>阻塞方法成功声称</t>
        </is>
      </c>
    </row>
    <row r="174" ht="45" customHeight="1" s="2">
      <c r="A174" s="107" t="n">
        <v>7</v>
      </c>
      <c r="B174" s="97" t="inlineStr">
        <is>
          <t>Clean objects were not run through a reliable automatic diagnosis path; exact no-op executor controls pass, but diagnostic false-mutation rate remains unmeasured.</t>
        </is>
      </c>
      <c r="C174" s="97" t="inlineStr">
        <is>
          <t>限制外推或因果强度</t>
        </is>
      </c>
      <c r="D174" s="97" t="inlineStr">
        <is>
          <t>在总结中显式保留</t>
        </is>
      </c>
      <c r="E174" s="97" t="inlineStr"/>
      <c r="F174" s="97" t="inlineStr"/>
      <c r="G174" s="97" t="inlineStr"/>
      <c r="H174" s="97" t="inlineStr"/>
      <c r="I174" s="97" t="inlineStr"/>
      <c r="J174" s="97" t="inlineStr"/>
      <c r="K174" s="97" t="inlineStr"/>
      <c r="L174" s="97" t="inlineStr">
        <is>
          <t>阻塞方法成功声称</t>
        </is>
      </c>
    </row>
    <row r="175" ht="45" customHeight="1" s="2">
      <c r="A175" s="105" t="n">
        <v>8</v>
      </c>
      <c r="B175" s="96" t="inlineStr">
        <is>
          <t>Relation metrics were excluded because the prior relation comparison mixed models/candidate sets.</t>
        </is>
      </c>
      <c r="C175" s="96" t="inlineStr">
        <is>
          <t>限制外推或因果强度</t>
        </is>
      </c>
      <c r="D175" s="96" t="inlineStr">
        <is>
          <t>在总结中显式保留</t>
        </is>
      </c>
      <c r="E175" s="96" t="inlineStr"/>
      <c r="F175" s="96" t="inlineStr"/>
      <c r="G175" s="96" t="inlineStr"/>
      <c r="H175" s="96" t="inlineStr"/>
      <c r="I175" s="96" t="inlineStr"/>
      <c r="J175" s="96" t="inlineStr"/>
      <c r="K175" s="96" t="inlineStr"/>
      <c r="L175" s="96" t="inlineStr">
        <is>
          <t>否</t>
        </is>
      </c>
    </row>
    <row r="176" ht="45" customHeight="1" s="2">
      <c r="A176" s="107" t="n">
        <v>9</v>
      </c>
      <c r="B176" s="97" t="inlineStr">
        <is>
          <t>FROSS-style correspondence is a sensitivity audit adapted to dense points, not the official FROSS benchmark pipeline.</t>
        </is>
      </c>
      <c r="C176" s="97" t="inlineStr">
        <is>
          <t>限制外推或因果强度</t>
        </is>
      </c>
      <c r="D176" s="97" t="inlineStr">
        <is>
          <t>在总结中显式保留</t>
        </is>
      </c>
      <c r="E176" s="97" t="inlineStr"/>
      <c r="F176" s="97" t="inlineStr"/>
      <c r="G176" s="97" t="inlineStr"/>
      <c r="H176" s="97" t="inlineStr"/>
      <c r="I176" s="97" t="inlineStr"/>
      <c r="J176" s="97" t="inlineStr"/>
      <c r="K176" s="97" t="inlineStr"/>
      <c r="L176" s="97" t="inlineStr">
        <is>
          <t>否</t>
        </is>
      </c>
    </row>
    <row r="177" ht="45" customHeight="1" s="2">
      <c r="A177" s="105" t="n">
        <v>10</v>
      </c>
      <c r="B177" s="96" t="inlineStr">
        <is>
          <t>ReplicaSSG-to-Visual-Genome mapping intentionally collapses some classes (for example sofa to chair); expanded compound aliases are sensitivity results, not annotation truth.</t>
        </is>
      </c>
      <c r="C177" s="96" t="inlineStr">
        <is>
          <t>限制外推或因果强度</t>
        </is>
      </c>
      <c r="D177" s="96" t="inlineStr">
        <is>
          <t>在总结中显式保留</t>
        </is>
      </c>
      <c r="E177" s="96" t="inlineStr"/>
      <c r="F177" s="96" t="inlineStr"/>
      <c r="G177" s="96" t="inlineStr"/>
      <c r="H177" s="96" t="inlineStr"/>
      <c r="I177" s="96" t="inlineStr"/>
      <c r="J177" s="96" t="inlineStr"/>
      <c r="K177" s="96" t="inlineStr"/>
      <c r="L177" s="96" t="inlineStr">
        <is>
          <t>否</t>
        </is>
      </c>
    </row>
    <row r="178" ht="45" customHeight="1" s="2">
      <c r="A178" s="107" t="n">
        <v>11</v>
      </c>
      <c r="B178" s="97" t="inlineStr">
        <is>
          <t>The apparent OM_all-minus-B0 class-F1 delta is not ontology-robust: it is positive under the frozen aliases but zero/negative under official-only mapping, so it is not used as quantitative evidence for semantic benefit.</t>
        </is>
      </c>
      <c r="C178" s="97" t="inlineStr">
        <is>
          <t>限制外推或因果强度</t>
        </is>
      </c>
      <c r="D178" s="97" t="inlineStr">
        <is>
          <t>在总结中显式保留</t>
        </is>
      </c>
      <c r="E178" s="97" t="inlineStr"/>
      <c r="F178" s="97" t="inlineStr"/>
      <c r="G178" s="97" t="inlineStr"/>
      <c r="H178" s="97" t="inlineStr"/>
      <c r="I178" s="97" t="inlineStr"/>
      <c r="J178" s="97" t="inlineStr"/>
      <c r="K178" s="97" t="inlineStr"/>
      <c r="L178" s="97" t="inlineStr">
        <is>
          <t>否</t>
        </is>
      </c>
    </row>
    <row r="179" ht="45" customHeight="1" s="2">
      <c r="A179" s="105" t="n">
        <v>12</v>
      </c>
      <c r="B179" s="96" t="inlineStr">
        <is>
          <t>The frozen office0 config contains a room0 render-camera metadata path, but vis_render=false; RGB/depth/pose selection and depth alignment independently verify office0 data use.</t>
        </is>
      </c>
      <c r="C179" s="96" t="inlineStr">
        <is>
          <t>限制外推或因果强度</t>
        </is>
      </c>
      <c r="D179" s="96" t="inlineStr">
        <is>
          <t>在总结中显式保留</t>
        </is>
      </c>
      <c r="E179" s="96" t="inlineStr"/>
      <c r="F179" s="96" t="inlineStr"/>
      <c r="G179" s="96" t="inlineStr"/>
      <c r="H179" s="96" t="inlineStr"/>
      <c r="I179" s="96" t="inlineStr"/>
      <c r="J179" s="96" t="inlineStr"/>
      <c r="K179" s="96" t="inlineStr"/>
      <c r="L179" s="96" t="inlineStr">
        <is>
          <t>否</t>
        </is>
      </c>
    </row>
    <row r="180"/>
    <row r="181" ht="30" customHeight="1" s="2">
      <c r="A181" s="92" t="inlineStr">
        <is>
          <t>类型</t>
        </is>
      </c>
      <c r="B181" s="92" t="inlineStr">
        <is>
          <t>路径/链接</t>
        </is>
      </c>
      <c r="C181" s="92" t="inlineStr">
        <is>
          <t>SHA/commit</t>
        </is>
      </c>
      <c r="D181" s="92" t="inlineStr"/>
      <c r="E181" s="92" t="inlineStr"/>
      <c r="F181" s="92" t="inlineStr"/>
      <c r="G181" s="92" t="inlineStr"/>
      <c r="H181" s="92" t="inlineStr"/>
      <c r="I181" s="92" t="inlineStr"/>
      <c r="J181" s="92" t="inlineStr"/>
      <c r="K181" s="92" t="inlineStr"/>
      <c r="L181" s="92" t="inlineStr">
        <is>
          <t>说明</t>
        </is>
      </c>
    </row>
    <row r="182" ht="34" customHeight="1" s="2">
      <c r="A182" s="97" t="inlineStr">
        <is>
          <t>本地数据源</t>
        </is>
      </c>
      <c r="B182" s="97" t="inlineStr">
        <is>
          <t>D:\Users\刘雯静\Downloads\Conceptgraphs\results\repairability_validation_20260830\final_summary\repairability_decision.json</t>
        </is>
      </c>
      <c r="C182" s="97" t="inlineStr">
        <is>
          <t>8645722c7f287f3e9496ca13033ea524a412122eb182751b8ff3978948919d70</t>
        </is>
      </c>
      <c r="D182" s="97" t="inlineStr"/>
      <c r="E182" s="97" t="inlineStr"/>
      <c r="F182" s="97" t="inlineStr"/>
      <c r="G182" s="97" t="inlineStr"/>
      <c r="H182" s="97" t="inlineStr"/>
      <c r="I182" s="97" t="inlineStr"/>
      <c r="J182" s="97" t="inlineStr"/>
      <c r="K182" s="97" t="inlineStr"/>
      <c r="L182" s="97" t="inlineStr">
        <is>
          <t>本次 Excel 同步数据源</t>
        </is>
      </c>
    </row>
    <row r="183" ht="34" customHeight="1" s="2">
      <c r="A183" s="96" t="inlineStr">
        <is>
          <t>GitHub 总结</t>
        </is>
      </c>
      <c r="B183" s="104" t="inlineStr">
        <is>
          <t>https://github.com/liuwenjing613-maker/concept-graphs/blob/contrary/artifacts/repairability_validation_20260830/REPAIRABILITY_DECISION.md</t>
        </is>
      </c>
      <c r="C183" s="96" t="inlineStr">
        <is>
          <t>71fab57ef4768a6539b1e7d40485056ac9a55d1e</t>
        </is>
      </c>
      <c r="D183" s="96" t="inlineStr"/>
      <c r="E183" s="96" t="inlineStr"/>
      <c r="F183" s="96" t="inlineStr"/>
      <c r="G183" s="96" t="inlineStr"/>
      <c r="H183" s="96" t="inlineStr"/>
      <c r="I183" s="96" t="inlineStr"/>
      <c r="J183" s="96" t="inlineStr"/>
      <c r="K183" s="96" t="inlineStr"/>
      <c r="L183" s="96" t="inlineStr">
        <is>
          <t>contrary 分支</t>
        </is>
      </c>
    </row>
    <row r="184" ht="34" customHeight="1" s="2">
      <c r="A184" s="97" t="inlineStr">
        <is>
          <t>GitHub JSON</t>
        </is>
      </c>
      <c r="B184" s="103" t="inlineStr">
        <is>
          <t>https://github.com/liuwenjing613-maker/concept-graphs/blob/contrary/artifacts/repairability_validation_20260830/repairability_decision.json</t>
        </is>
      </c>
      <c r="C184" s="97" t="inlineStr">
        <is>
          <t>71fab57ef4768a6539b1e7d40485056ac9a55d1e</t>
        </is>
      </c>
      <c r="D184" s="97" t="inlineStr"/>
      <c r="E184" s="97" t="inlineStr"/>
      <c r="F184" s="97" t="inlineStr"/>
      <c r="G184" s="97" t="inlineStr"/>
      <c r="H184" s="97" t="inlineStr"/>
      <c r="I184" s="97" t="inlineStr"/>
      <c r="J184" s="97" t="inlineStr"/>
      <c r="K184" s="97" t="inlineStr"/>
      <c r="L184" s="97" t="inlineStr">
        <is>
          <t>机读副本</t>
        </is>
      </c>
    </row>
    <row r="185" ht="34" customHeight="1" s="2">
      <c r="A185" s="96" t="inlineStr">
        <is>
          <t>服务器原始产物</t>
        </is>
      </c>
      <c r="B185" s="96" t="inlineStr">
        <is>
          <t>/home/chenkejun/beauty/conceptgraphs/results/experiments/repairability_validation_20260830</t>
        </is>
      </c>
      <c r="C185" s="96" t="inlineStr"/>
      <c r="D185" s="96" t="inlineStr"/>
      <c r="E185" s="96" t="inlineStr"/>
      <c r="F185" s="96" t="inlineStr"/>
      <c r="G185" s="96" t="inlineStr"/>
      <c r="H185" s="96" t="inlineStr"/>
      <c r="I185" s="96" t="inlineStr"/>
      <c r="J185" s="96" t="inlineStr"/>
      <c r="K185" s="96" t="inlineStr"/>
      <c r="L185" s="96" t="inlineStr">
        <is>
          <t>含 manifest/raw metrics/timing/failures</t>
        </is>
      </c>
    </row>
  </sheetData>
  <mergeCells count="12">
    <mergeCell ref="A78:L78"/>
    <mergeCell ref="A2:L2"/>
    <mergeCell ref="A15:L15"/>
    <mergeCell ref="A166:L166"/>
    <mergeCell ref="A98:L98"/>
    <mergeCell ref="A107:L107"/>
    <mergeCell ref="A1:L1"/>
    <mergeCell ref="A132:L132"/>
    <mergeCell ref="A155:L155"/>
    <mergeCell ref="A140:L140"/>
    <mergeCell ref="A83:L83"/>
    <mergeCell ref="A4:L4"/>
  </mergeCells>
  <hyperlinks>
    <hyperlink xmlns:r="http://schemas.openxmlformats.org/officeDocument/2006/relationships" ref="B183" r:id="rId1"/>
    <hyperlink xmlns:r="http://schemas.openxmlformats.org/officeDocument/2006/relationships" ref="B184" r:id="rId2"/>
  </hyperlinks>
  <pageMargins left="0.75" right="0.75" top="1" bottom="1" header="0.5" footer="0.5"/>
  <pageSetup orientation="landscape" fitToHeight="0" fitToWidth="1"/>
</worksheet>
</file>

<file path=xl/worksheets/sheet15.xml><?xml version="1.0" encoding="utf-8"?>
<worksheet xmlns="http://schemas.openxmlformats.org/spreadsheetml/2006/main">
  <sheetPr>
    <tabColor rgb="0070AD47"/>
    <outlinePr summaryBelow="1" summaryRight="1"/>
    <pageSetUpPr fitToPage="1"/>
  </sheetPr>
  <dimension ref="A1:J4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style="2" min="1" max="1"/>
    <col width="38" customWidth="1" style="2" min="2" max="2"/>
    <col width="14" customWidth="1" style="2" min="3" max="3"/>
    <col width="14" customWidth="1" style="2" min="4" max="4"/>
    <col width="14" customWidth="1" style="2" min="5" max="5"/>
    <col width="14" customWidth="1" style="2" min="6" max="6"/>
    <col width="14" customWidth="1" style="2" min="7" max="7"/>
    <col width="14" customWidth="1" style="2" min="8" max="8"/>
    <col width="15" customWidth="1" style="2" min="9" max="9"/>
    <col width="48" customWidth="1" style="2" min="10" max="10"/>
  </cols>
  <sheetData>
    <row r="1" ht="30" customHeight="1" s="2">
      <c r="A1" s="121" t="inlineStr">
        <is>
          <t>Mask 前置累积顺序实验：最终方向判断</t>
        </is>
      </c>
      <c r="B1" s="158" t="n"/>
      <c r="C1" s="158" t="n"/>
      <c r="D1" s="158" t="n"/>
      <c r="E1" s="158" t="n"/>
      <c r="F1" s="158" t="n"/>
      <c r="G1" s="158" t="n"/>
      <c r="H1" s="158" t="n"/>
      <c r="I1" s="158" t="n"/>
      <c r="J1" s="159" t="n"/>
    </row>
    <row r="2" ht="36" customHeight="1" s="2">
      <c r="A2" s="122" t="inlineStr">
        <is>
          <t>2026-08-30；Replica room0 + office0；每场景 400 帧；新建图均从空图按时间在线构建。主结论使用类别无关结构指标，不受 desk lamp/lamp 别名影响。</t>
        </is>
      </c>
      <c r="B2" s="158" t="n"/>
      <c r="C2" s="158" t="n"/>
      <c r="D2" s="158" t="n"/>
      <c r="E2" s="158" t="n"/>
      <c r="F2" s="158" t="n"/>
      <c r="G2" s="158" t="n"/>
      <c r="H2" s="158" t="n"/>
      <c r="I2" s="158" t="n"/>
      <c r="J2" s="159" t="n"/>
    </row>
    <row r="3"/>
    <row r="4" ht="24" customHeight="1" s="2">
      <c r="A4" s="123" t="inlineStr">
        <is>
          <t>A. 结论先行</t>
        </is>
      </c>
      <c r="B4" s="158" t="n"/>
      <c r="C4" s="158" t="n"/>
      <c r="D4" s="158" t="n"/>
      <c r="E4" s="158" t="n"/>
      <c r="F4" s="158" t="n"/>
      <c r="G4" s="158" t="n"/>
      <c r="H4" s="158" t="n"/>
      <c r="I4" s="158" t="n"/>
      <c r="J4" s="159" t="n"/>
    </row>
    <row r="5" ht="30" customHeight="1" s="2">
      <c r="A5" s="92" t="inlineStr">
        <is>
          <t>问题</t>
        </is>
      </c>
      <c r="B5" s="92" t="inlineStr">
        <is>
          <t>回答</t>
        </is>
      </c>
      <c r="C5" s="92" t="inlineStr">
        <is>
          <t>两场景平均核心数据</t>
        </is>
      </c>
      <c r="D5" s="92" t="inlineStr">
        <is>
          <t>room0</t>
        </is>
      </c>
      <c r="E5" s="92" t="inlineStr">
        <is>
          <t>office0</t>
        </is>
      </c>
      <c r="F5" s="92" t="inlineStr">
        <is>
          <t>证据</t>
        </is>
      </c>
      <c r="G5" s="92" t="inlineStr"/>
      <c r="H5" s="92" t="inlineStr"/>
      <c r="I5" s="92" t="inlineStr"/>
      <c r="J5" s="92" t="inlineStr">
        <is>
          <t>边界</t>
        </is>
      </c>
    </row>
    <row r="6" ht="52" customHeight="1" s="2">
      <c r="A6" s="124" t="inlineStr">
        <is>
          <t>Mask 应不应该放在关联前？</t>
        </is>
      </c>
      <c r="B6" s="124" t="inlineStr">
        <is>
          <t>应该先做完整 partition/去污染，但不能只修 mask</t>
        </is>
      </c>
      <c r="C6" s="124" t="inlineStr">
        <is>
          <t>5cm AP：B0 0.013 → OM_all(native) 0.149</t>
        </is>
      </c>
      <c r="D6" s="124" t="inlineStr">
        <is>
          <t>0.022→0.190</t>
        </is>
      </c>
      <c r="E6" s="124" t="inlineStr">
        <is>
          <t>0.005→0.107</t>
        </is>
      </c>
      <c r="F6" s="124" t="inlineStr">
        <is>
          <t>2.5/5/10cm 同方向</t>
        </is>
      </c>
      <c r="G6" s="124" t="inlineStr"/>
      <c r="H6" s="124" t="inlineStr"/>
      <c r="I6" s="124" t="inlineStr"/>
      <c r="J6" s="124" t="inlineStr">
        <is>
          <t>OM_all 使用 GT Oracle，只测上限，不是已实现方法。</t>
        </is>
      </c>
    </row>
    <row r="7" ht="52" customHeight="1" s="2">
      <c r="A7" s="125" t="inlineStr">
        <is>
          <t>高质量 mask 后 OA 还有没有价值？</t>
        </is>
      </c>
      <c r="B7" s="125" t="inlineStr">
        <is>
          <t>有，而且是最大单步增量；关联仍是主要限制</t>
        </is>
      </c>
      <c r="C7" s="125" t="inlineStr">
        <is>
          <t>OM_all(native)→+OA：AP +0.508</t>
        </is>
      </c>
      <c r="D7" s="125" t="inlineStr">
        <is>
          <t>0.190→0.677</t>
        </is>
      </c>
      <c r="E7" s="125" t="inlineStr">
        <is>
          <t>0.107→0.636</t>
        </is>
      </c>
      <c r="F7" s="125" t="inlineStr">
        <is>
          <t>两场景 + FROSS 同方向</t>
        </is>
      </c>
      <c r="G7" s="125" t="inlineStr"/>
      <c r="H7" s="125" t="inlineStr"/>
      <c r="I7" s="125" t="inlineStr"/>
      <c r="J7" s="125" t="inlineStr">
        <is>
          <t>mask 与关联存在强交互，不能解释为独立可加主效应。</t>
        </is>
      </c>
    </row>
    <row r="8" ht="52" customHeight="1" s="2">
      <c r="A8" s="126" t="inlineStr">
        <is>
          <t>OP 单独恢复 rejected mask 是否可靠？</t>
        </is>
      </c>
      <c r="B8" s="126" t="inlineStr">
        <is>
          <t>不稳定，不能成为独立主方向</t>
        </is>
      </c>
      <c r="C8" s="126" t="inlineStr">
        <is>
          <t>5cm 平均略升，但 FROSS room0 0.184→0.147</t>
        </is>
      </c>
      <c r="D8" s="126" t="inlineStr">
        <is>
          <t>FROSS 退化</t>
        </is>
      </c>
      <c r="E8" s="126" t="inlineStr">
        <is>
          <t>FROSS 改善</t>
        </is>
      </c>
      <c r="F8" s="126" t="inlineStr">
        <is>
          <t>明确保留反例</t>
        </is>
      </c>
      <c r="G8" s="126" t="inlineStr"/>
      <c r="H8" s="126" t="inlineStr"/>
      <c r="I8" s="126" t="inlineStr"/>
      <c r="J8" s="126" t="inlineStr">
        <is>
          <t>恢复更多观测可能同时增加污染/错误关联。</t>
        </is>
      </c>
    </row>
    <row r="9" ht="52" customHeight="1" s="2">
      <c r="A9" s="127" t="inlineStr">
        <is>
          <t>推荐修复顺序</t>
        </is>
      </c>
      <c r="B9" s="127" t="inlineStr">
        <is>
          <t>mask partition/去污染 → association/replay → semantic verification</t>
        </is>
      </c>
      <c r="C9" s="127" t="inlineStr">
        <is>
          <t>OM_all(native) 仅恢复 13.7% AP 差距；+OA 后累计 65.2%</t>
        </is>
      </c>
      <c r="D9" s="127" t="inlineStr"/>
      <c r="E9" s="127" t="inlineStr"/>
      <c r="F9" s="127" t="inlineStr">
        <is>
          <t>正式方向</t>
        </is>
      </c>
      <c r="G9" s="127" t="inlineStr"/>
      <c r="H9" s="127" t="inlineStr"/>
      <c r="I9" s="127" t="inlineStr"/>
      <c r="J9" s="127" t="inlineStr">
        <is>
          <t>语义分母小且本体敏感，本轮不以语义数值决定顺序。</t>
        </is>
      </c>
    </row>
    <row r="10"/>
    <row r="11" ht="24" customHeight="1" s="2">
      <c r="A11" s="123" t="inlineStr">
        <is>
          <t>B. 5 cm 主评测（类别无关）</t>
        </is>
      </c>
      <c r="B11" s="158" t="n"/>
      <c r="C11" s="158" t="n"/>
      <c r="D11" s="158" t="n"/>
      <c r="E11" s="158" t="n"/>
      <c r="F11" s="158" t="n"/>
      <c r="G11" s="158" t="n"/>
      <c r="H11" s="158" t="n"/>
      <c r="I11" s="158" t="n"/>
      <c r="J11" s="159" t="n"/>
    </row>
    <row r="12" ht="30" customHeight="1" s="2">
      <c r="A12" s="92" t="inlineStr">
        <is>
          <t>阶段</t>
        </is>
      </c>
      <c r="B12" s="92" t="inlineStr">
        <is>
          <t>实现含义</t>
        </is>
      </c>
      <c r="C12" s="92" t="inlineStr">
        <is>
          <t>room AP</t>
        </is>
      </c>
      <c r="D12" s="92" t="inlineStr">
        <is>
          <t>office AP</t>
        </is>
      </c>
      <c r="E12" s="92" t="inlineStr">
        <is>
          <t>平均 AP</t>
        </is>
      </c>
      <c r="F12" s="92" t="inlineStr">
        <is>
          <t>room F1</t>
        </is>
      </c>
      <c r="G12" s="92" t="inlineStr">
        <is>
          <t>office F1</t>
        </is>
      </c>
      <c r="H12" s="92" t="inlineStr">
        <is>
          <t>平均 F1</t>
        </is>
      </c>
      <c r="I12" s="92" t="inlineStr">
        <is>
          <t>B0→OG差距恢复</t>
        </is>
      </c>
      <c r="J12" s="92" t="inlineStr">
        <is>
          <t>说明</t>
        </is>
      </c>
    </row>
    <row r="13" ht="40" customHeight="1" s="2">
      <c r="A13" s="128" t="inlineStr">
        <is>
          <t>B0</t>
        </is>
      </c>
      <c r="B13" s="128" t="inlineStr">
        <is>
          <t>当前基线</t>
        </is>
      </c>
      <c r="C13" s="114" t="n">
        <v>0.02232953862187838</v>
      </c>
      <c r="D13" s="114" t="n">
        <v>0.004530453045304531</v>
      </c>
      <c r="E13" s="114" t="n">
        <v>0.01342999583359146</v>
      </c>
      <c r="F13" s="114" t="n">
        <v>0.1104294478527607</v>
      </c>
      <c r="G13" s="114" t="n">
        <v>0.06896551724137931</v>
      </c>
      <c r="H13" s="114" t="n">
        <v>0.08969748254707002</v>
      </c>
      <c r="I13" s="129" t="n"/>
      <c r="J13" s="128" t="inlineStr">
        <is>
          <t>冻结基线</t>
        </is>
      </c>
    </row>
    <row r="14" ht="40" customHeight="1" s="2">
      <c r="A14" s="130" t="inlineStr">
        <is>
          <t>MF_OP</t>
        </is>
      </c>
      <c r="B14" s="130" t="inlineStr">
        <is>
          <t>先恢复可确定 owner 的 rejected mask；原生关联</t>
        </is>
      </c>
      <c r="C14" s="115" t="n">
        <v>0.02569428665973462</v>
      </c>
      <c r="D14" s="115" t="n">
        <v>0.01725601131541726</v>
      </c>
      <c r="E14" s="115" t="n">
        <v>0.02147514898757594</v>
      </c>
      <c r="F14" s="115" t="n">
        <v>0.1349693251533742</v>
      </c>
      <c r="G14" s="115" t="n">
        <v>0.1333333333333333</v>
      </c>
      <c r="H14" s="115" t="n">
        <v>0.1341513292433538</v>
      </c>
      <c r="I14" s="98" t="n">
        <v>0.008154670342711411</v>
      </c>
      <c r="J14" s="130" t="inlineStr">
        <is>
          <t>结构主指标均值小幅上升；敏感性有退化</t>
        </is>
      </c>
    </row>
    <row r="15" ht="40" customHeight="1" s="2">
      <c r="A15" s="128" t="inlineStr">
        <is>
          <t>MF_OM_pure</t>
        </is>
      </c>
      <c r="B15" s="128" t="inlineStr">
        <is>
          <t>OP 被吸收；按 owner 合成干净 mask；原生关联</t>
        </is>
      </c>
      <c r="C15" s="114" t="n">
        <v>0.04232863757516488</v>
      </c>
      <c r="D15" s="114" t="n">
        <v>0.01224023501251224</v>
      </c>
      <c r="E15" s="114" t="n">
        <v>0.02728443629383856</v>
      </c>
      <c r="F15" s="114" t="n">
        <v>0.2040816326530612</v>
      </c>
      <c r="G15" s="114" t="n">
        <v>0.08602150537634409</v>
      </c>
      <c r="H15" s="114" t="n">
        <v>0.1450515690147027</v>
      </c>
      <c r="I15" s="99" t="n">
        <v>0.01404303840755149</v>
      </c>
      <c r="J15" s="128" t="inlineStr">
        <is>
          <t>相对 B0 改善，但相对 OP 的增量不稳定</t>
        </is>
      </c>
    </row>
    <row r="16" ht="40" customHeight="1" s="2">
      <c r="A16" s="131" t="inlineStr">
        <is>
          <t>MF_OM_all_native</t>
        </is>
      </c>
      <c r="B16" s="131" t="inlineStr">
        <is>
          <t>完整 partition/去污染/FP 抑制；原生关联</t>
        </is>
      </c>
      <c r="C16" s="132" t="n">
        <v>0.1900532712639555</v>
      </c>
      <c r="D16" s="132" t="n">
        <v>0.1072669885584384</v>
      </c>
      <c r="E16" s="132" t="n">
        <v>0.1486601299111969</v>
      </c>
      <c r="F16" s="132" t="n">
        <v>0.4204545454545455</v>
      </c>
      <c r="G16" s="132" t="n">
        <v>0.2692307692307692</v>
      </c>
      <c r="H16" s="132" t="n">
        <v>0.3448426573426573</v>
      </c>
      <c r="I16" s="133" t="n">
        <v>0.1370709969961703</v>
      </c>
      <c r="J16" s="131" t="inlineStr">
        <is>
          <t>首次出现跨场景、跨尺度的大幅稳定提升</t>
        </is>
      </c>
    </row>
    <row r="17" ht="40" customHeight="1" s="2">
      <c r="A17" s="124" t="inlineStr">
        <is>
          <t>MF_OM_all_OA</t>
        </is>
      </c>
      <c r="B17" s="124" t="inlineStr">
        <is>
          <t>与上一步同一 mask 流；改为 GT identity 关联</t>
        </is>
      </c>
      <c r="C17" s="134" t="n">
        <v>0.6769744267843866</v>
      </c>
      <c r="D17" s="134" t="n">
        <v>0.6358061076922576</v>
      </c>
      <c r="E17" s="134" t="n">
        <v>0.6563902672383222</v>
      </c>
      <c r="F17" s="134" t="n">
        <v>0.8351648351648352</v>
      </c>
      <c r="G17" s="134" t="n">
        <v>0.8627450980392157</v>
      </c>
      <c r="H17" s="134" t="n">
        <v>0.8489549666020255</v>
      </c>
      <c r="I17" s="135" t="n">
        <v>0.6517127712067355</v>
      </c>
      <c r="J17" s="124" t="inlineStr">
        <is>
          <t>最大单步提升，表明关联仍是主要限制</t>
        </is>
      </c>
    </row>
    <row r="18" ht="40" customHeight="1" s="2">
      <c r="A18" s="130" t="inlineStr">
        <is>
          <t>OG</t>
        </is>
      </c>
      <c r="B18" s="130" t="inlineStr">
        <is>
          <t>可观测 GT 上限</t>
        </is>
      </c>
      <c r="C18" s="115" t="n">
        <v>1</v>
      </c>
      <c r="D18" s="115" t="n">
        <v>1</v>
      </c>
      <c r="E18" s="115" t="n">
        <v>1</v>
      </c>
      <c r="F18" s="115" t="n">
        <v>1</v>
      </c>
      <c r="G18" s="115" t="n">
        <v>1</v>
      </c>
      <c r="H18" s="115" t="n">
        <v>1</v>
      </c>
      <c r="I18" s="136" t="n"/>
      <c r="J18" s="130" t="inlineStr">
        <is>
          <t>定义上限，不是模型性能</t>
        </is>
      </c>
    </row>
    <row r="19"/>
    <row r="20" ht="24" customHeight="1" s="2">
      <c r="A20" s="123" t="inlineStr">
        <is>
          <t>C. FROSS-style 敏感性（5 mm 去重、0.1 m 对应）</t>
        </is>
      </c>
      <c r="B20" s="158" t="n"/>
      <c r="C20" s="158" t="n"/>
      <c r="D20" s="158" t="n"/>
      <c r="E20" s="158" t="n"/>
      <c r="F20" s="158" t="n"/>
      <c r="G20" s="158" t="n"/>
      <c r="H20" s="158" t="n"/>
      <c r="I20" s="158" t="n"/>
      <c r="J20" s="159" t="n"/>
    </row>
    <row r="21" ht="30" customHeight="1" s="2">
      <c r="A21" s="92" t="inlineStr">
        <is>
          <t>阶段</t>
        </is>
      </c>
      <c r="B21" s="92" t="inlineStr">
        <is>
          <t>room0 F1</t>
        </is>
      </c>
      <c r="C21" s="92" t="inlineStr">
        <is>
          <t>office0 F1</t>
        </is>
      </c>
      <c r="D21" s="92" t="inlineStr">
        <is>
          <t>平均 F1</t>
        </is>
      </c>
      <c r="E21" s="92" t="inlineStr">
        <is>
          <t>判断</t>
        </is>
      </c>
      <c r="F21" s="92" t="inlineStr"/>
      <c r="G21" s="92" t="inlineStr"/>
      <c r="H21" s="92" t="inlineStr"/>
      <c r="I21" s="92" t="inlineStr"/>
      <c r="J21" s="92" t="inlineStr">
        <is>
          <t>说明</t>
        </is>
      </c>
    </row>
    <row r="22">
      <c r="A22" s="130" t="inlineStr">
        <is>
          <t>B0</t>
        </is>
      </c>
      <c r="B22" s="115" t="n">
        <v>0.1840490797546012</v>
      </c>
      <c r="C22" s="115" t="n">
        <v>0.1379310344827586</v>
      </c>
      <c r="D22" s="115" t="n">
        <v>0.1609900571186799</v>
      </c>
      <c r="E22" s="130" t="inlineStr">
        <is>
          <t>参考</t>
        </is>
      </c>
      <c r="F22" s="130" t="inlineStr"/>
      <c r="G22" s="130" t="inlineStr"/>
      <c r="H22" s="130" t="inlineStr"/>
      <c r="I22" s="130" t="inlineStr"/>
      <c r="J22" s="130" t="inlineStr">
        <is>
          <t>非官方 FROSS benchmark；仅作指标敏感性。</t>
        </is>
      </c>
    </row>
    <row r="23">
      <c r="A23" s="137" t="inlineStr">
        <is>
          <t>MF_OP</t>
        </is>
      </c>
      <c r="B23" s="138" t="n">
        <v>0.147239263803681</v>
      </c>
      <c r="C23" s="138" t="n">
        <v>0.1777777777777778</v>
      </c>
      <c r="D23" s="138" t="n">
        <v>0.1625085207907294</v>
      </c>
      <c r="E23" s="137" t="inlineStr">
        <is>
          <t>退化反例</t>
        </is>
      </c>
      <c r="F23" s="137" t="inlineStr"/>
      <c r="G23" s="137" t="inlineStr"/>
      <c r="H23" s="137" t="inlineStr"/>
      <c r="I23" s="137" t="inlineStr"/>
      <c r="J23" s="137" t="inlineStr">
        <is>
          <t>非官方 FROSS benchmark；仅作指标敏感性。</t>
        </is>
      </c>
    </row>
    <row r="24">
      <c r="A24" s="130" t="inlineStr">
        <is>
          <t>MF_OM_pure</t>
        </is>
      </c>
      <c r="B24" s="115" t="n">
        <v>0.2448979591836735</v>
      </c>
      <c r="C24" s="115" t="n">
        <v>0.2580645161290323</v>
      </c>
      <c r="D24" s="115" t="n">
        <v>0.2514812376563529</v>
      </c>
      <c r="E24" s="130" t="inlineStr">
        <is>
          <t>参考</t>
        </is>
      </c>
      <c r="F24" s="130" t="inlineStr"/>
      <c r="G24" s="130" t="inlineStr"/>
      <c r="H24" s="130" t="inlineStr"/>
      <c r="I24" s="130" t="inlineStr"/>
      <c r="J24" s="130" t="inlineStr">
        <is>
          <t>非官方 FROSS benchmark；仅作指标敏感性。</t>
        </is>
      </c>
    </row>
    <row r="25">
      <c r="A25" s="128" t="inlineStr">
        <is>
          <t>MF_OM_all_native</t>
        </is>
      </c>
      <c r="B25" s="114" t="n">
        <v>0.3636363636363636</v>
      </c>
      <c r="C25" s="114" t="n">
        <v>0.3461538461538461</v>
      </c>
      <c r="D25" s="114" t="n">
        <v>0.3548951048951049</v>
      </c>
      <c r="E25" s="128" t="inlineStr">
        <is>
          <t>稳定大幅改善</t>
        </is>
      </c>
      <c r="F25" s="128" t="inlineStr"/>
      <c r="G25" s="128" t="inlineStr"/>
      <c r="H25" s="128" t="inlineStr"/>
      <c r="I25" s="128" t="inlineStr"/>
      <c r="J25" s="128" t="inlineStr">
        <is>
          <t>非官方 FROSS benchmark；仅作指标敏感性。</t>
        </is>
      </c>
    </row>
    <row r="26">
      <c r="A26" s="139" t="inlineStr">
        <is>
          <t>MF_OM_all_OA</t>
        </is>
      </c>
      <c r="B26" s="140" t="n">
        <v>0.6043956043956044</v>
      </c>
      <c r="C26" s="140" t="n">
        <v>0.5882352941176471</v>
      </c>
      <c r="D26" s="140" t="n">
        <v>0.5963154492566257</v>
      </c>
      <c r="E26" s="139" t="inlineStr">
        <is>
          <t>稳定大幅改善</t>
        </is>
      </c>
      <c r="F26" s="139" t="inlineStr"/>
      <c r="G26" s="139" t="inlineStr"/>
      <c r="H26" s="139" t="inlineStr"/>
      <c r="I26" s="139" t="inlineStr"/>
      <c r="J26" s="139" t="inlineStr">
        <is>
          <t>非官方 FROSS benchmark；仅作指标敏感性。</t>
        </is>
      </c>
    </row>
    <row r="27">
      <c r="A27" s="128" t="inlineStr">
        <is>
          <t>OG</t>
        </is>
      </c>
      <c r="B27" s="114" t="n">
        <v>0.9890109890109891</v>
      </c>
      <c r="C27" s="114" t="n">
        <v>1</v>
      </c>
      <c r="D27" s="114" t="n">
        <v>0.9945054945054945</v>
      </c>
      <c r="E27" s="128" t="inlineStr">
        <is>
          <t>参考</t>
        </is>
      </c>
      <c r="F27" s="128" t="inlineStr"/>
      <c r="G27" s="128" t="inlineStr"/>
      <c r="H27" s="128" t="inlineStr"/>
      <c r="I27" s="128" t="inlineStr"/>
      <c r="J27" s="128" t="inlineStr">
        <is>
          <t>非官方 FROSS benchmark；仅作指标敏感性。</t>
        </is>
      </c>
    </row>
    <row r="28"/>
    <row r="29" ht="24" customHeight="1" s="2">
      <c r="A29" s="123" t="inlineStr">
        <is>
          <t>D. 质量门、标签控制与产物</t>
        </is>
      </c>
      <c r="B29" s="158" t="n"/>
      <c r="C29" s="158" t="n"/>
      <c r="D29" s="158" t="n"/>
      <c r="E29" s="158" t="n"/>
      <c r="F29" s="158" t="n"/>
      <c r="G29" s="158" t="n"/>
      <c r="H29" s="158" t="n"/>
      <c r="I29" s="158" t="n"/>
      <c r="J29" s="159" t="n"/>
    </row>
    <row r="30" ht="30" customHeight="1" s="2">
      <c r="A30" s="92" t="inlineStr">
        <is>
          <t>检查项</t>
        </is>
      </c>
      <c r="B30" s="92" t="inlineStr">
        <is>
          <t>结果</t>
        </is>
      </c>
      <c r="C30" s="92" t="inlineStr">
        <is>
          <t>细节</t>
        </is>
      </c>
      <c r="D30" s="92" t="inlineStr"/>
      <c r="E30" s="92" t="inlineStr"/>
      <c r="F30" s="92" t="inlineStr"/>
      <c r="G30" s="92" t="inlineStr"/>
      <c r="H30" s="92" t="inlineStr"/>
      <c r="I30" s="92" t="inlineStr"/>
      <c r="J30" s="92" t="inlineStr">
        <is>
          <t>结论</t>
        </is>
      </c>
    </row>
    <row r="31" ht="34" customHeight="1" s="2">
      <c r="A31" s="139" t="inlineStr">
        <is>
          <t>在线重建</t>
        </is>
      </c>
      <c r="B31" s="139" t="inlineStr">
        <is>
          <t>通过</t>
        </is>
      </c>
      <c r="C31" s="139" t="inlineStr">
        <is>
          <t>6/6 READY；INCOMPLETE=0</t>
        </is>
      </c>
      <c r="D31" s="139" t="inlineStr"/>
      <c r="E31" s="139" t="inlineStr"/>
      <c r="F31" s="139" t="inlineStr"/>
      <c r="G31" s="139" t="inlineStr"/>
      <c r="H31" s="139" t="inlineStr"/>
      <c r="I31" s="139" t="inlineStr"/>
      <c r="J31" s="139" t="inlineStr">
        <is>
          <t>无未来图泄露</t>
        </is>
      </c>
    </row>
    <row r="32" ht="34" customHeight="1" s="2">
      <c r="A32" s="139" t="inlineStr">
        <is>
          <t>OP 溯源</t>
        </is>
      </c>
      <c r="B32" s="139" t="inlineStr">
        <is>
          <t>通过</t>
        </is>
      </c>
      <c r="C32" s="139" t="inlineStr">
        <is>
          <t>missing=0；unexpected=0</t>
        </is>
      </c>
      <c r="D32" s="139" t="inlineStr"/>
      <c r="E32" s="139" t="inlineStr"/>
      <c r="F32" s="139" t="inlineStr"/>
      <c r="G32" s="139" t="inlineStr"/>
      <c r="H32" s="139" t="inlineStr"/>
      <c r="I32" s="139" t="inlineStr"/>
      <c r="J32" s="139" t="inlineStr">
        <is>
          <t>观测集合一致</t>
        </is>
      </c>
    </row>
    <row r="33" ht="34" customHeight="1" s="2">
      <c r="A33" s="139" t="inlineStr">
        <is>
          <t>最终 +OA 复用</t>
        </is>
      </c>
      <c r="B33" s="139" t="inlineStr">
        <is>
          <t>通过</t>
        </is>
      </c>
      <c r="C33" s="139" t="inlineStr">
        <is>
          <t>room0/office0 均通过 10 帧 geometry/object/observation 精确 parity</t>
        </is>
      </c>
      <c r="D33" s="139" t="inlineStr"/>
      <c r="E33" s="139" t="inlineStr"/>
      <c r="F33" s="139" t="inlineStr"/>
      <c r="G33" s="139" t="inlineStr"/>
      <c r="H33" s="139" t="inlineStr"/>
      <c r="I33" s="139" t="inlineStr"/>
      <c r="J33" s="139" t="inlineStr">
        <is>
          <t>避免重复全量计算</t>
        </is>
      </c>
    </row>
    <row r="34" ht="34" customHeight="1" s="2">
      <c r="A34" s="139" t="inlineStr">
        <is>
          <t>数据集配对</t>
        </is>
      </c>
      <c r="B34" s="139" t="inlineStr">
        <is>
          <t>通过</t>
        </is>
      </c>
      <c r="C34" s="139" t="inlineStr">
        <is>
          <t>Replica/ReplicaSSG pairing audit pass</t>
        </is>
      </c>
      <c r="D34" s="139" t="inlineStr"/>
      <c r="E34" s="139" t="inlineStr"/>
      <c r="F34" s="139" t="inlineStr"/>
      <c r="G34" s="139" t="inlineStr"/>
      <c r="H34" s="139" t="inlineStr"/>
      <c r="I34" s="139" t="inlineStr"/>
      <c r="J34" s="139" t="inlineStr">
        <is>
          <t>room0 与 office0 数据未混用</t>
        </is>
      </c>
    </row>
    <row r="35" ht="34" customHeight="1" s="2">
      <c r="A35" s="141" t="inlineStr">
        <is>
          <t>标签本体</t>
        </is>
      </c>
      <c r="B35" s="141" t="inlineStr">
        <is>
          <t>隔离</t>
        </is>
      </c>
      <c r="C35" s="141" t="inlineStr">
        <is>
          <t>主结论类别无关；desk lamp 本轮未出现；ceiling light 仅 room0 出现</t>
        </is>
      </c>
      <c r="D35" s="141" t="inlineStr"/>
      <c r="E35" s="141" t="inlineStr"/>
      <c r="F35" s="141" t="inlineStr"/>
      <c r="G35" s="141" t="inlineStr"/>
      <c r="H35" s="141" t="inlineStr"/>
      <c r="I35" s="141" t="inlineStr"/>
      <c r="J35" s="141" t="inlineStr">
        <is>
          <t>语义不用于顺序定量判断</t>
        </is>
      </c>
    </row>
    <row r="36" ht="34" customHeight="1" s="2">
      <c r="A36" s="142" t="inlineStr">
        <is>
          <t>样本范围</t>
        </is>
      </c>
      <c r="B36" s="142" t="inlineStr">
        <is>
          <t>局限</t>
        </is>
      </c>
      <c r="C36" s="142" t="inlineStr">
        <is>
          <t>仅 2 场景</t>
        </is>
      </c>
      <c r="D36" s="142" t="inlineStr"/>
      <c r="E36" s="142" t="inlineStr"/>
      <c r="F36" s="142" t="inlineStr"/>
      <c r="G36" s="142" t="inlineStr"/>
      <c r="H36" s="142" t="inlineStr"/>
      <c r="I36" s="142" t="inlineStr"/>
      <c r="J36" s="142" t="inlineStr">
        <is>
          <t>不报告总体置信区间</t>
        </is>
      </c>
    </row>
    <row r="37"/>
    <row r="38">
      <c r="A38" s="130" t="inlineStr">
        <is>
          <t>GitHub</t>
        </is>
      </c>
      <c r="B38" s="130" t="inlineStr">
        <is>
          <t>contrary</t>
        </is>
      </c>
      <c r="C38" s="130" t="inlineStr">
        <is>
          <t>21cf3d6acb8db140b7953a0e7e60831874706a40</t>
        </is>
      </c>
      <c r="D38" s="130" t="inlineStr"/>
      <c r="E38" s="130" t="inlineStr"/>
      <c r="F38" s="130" t="inlineStr"/>
      <c r="G38" s="130" t="inlineStr"/>
      <c r="H38" s="130" t="inlineStr"/>
      <c r="I38" s="130" t="inlineStr"/>
      <c r="J38" s="143" t="inlineStr">
        <is>
          <t>https://github.com/liuwenjing613-maker/concept-graphs/blob/contrary/experiments/mask_first_order_20260830/README.md</t>
        </is>
      </c>
    </row>
    <row r="39" ht="38" customHeight="1" s="2">
      <c r="A39" s="130" t="inlineStr">
        <is>
          <t>服务器</t>
        </is>
      </c>
      <c r="B39" s="130" t="inlineStr">
        <is>
          <t>/home/chenkejun/beauty/conceptgraphs/results/experiments/mask_first_order_20260830</t>
        </is>
      </c>
      <c r="C39" s="130" t="inlineStr"/>
      <c r="D39" s="130" t="inlineStr"/>
      <c r="E39" s="130" t="inlineStr"/>
      <c r="F39" s="130" t="inlineStr"/>
      <c r="G39" s="130" t="inlineStr"/>
      <c r="H39" s="130" t="inlineStr"/>
      <c r="I39" s="130" t="inlineStr"/>
      <c r="J39" s="130" t="inlineStr">
        <is>
          <t>完整 maps 仅保留服务器；GitHub 保存指标、manifest、脚本和哈希。</t>
        </is>
      </c>
    </row>
    <row r="40"/>
    <row r="41" ht="24" customHeight="1" s="2">
      <c r="A41" s="152" t="inlineStr">
        <is>
          <t>E. OVI-MAP 同名 AP25/AP50 协议对照</t>
        </is>
      </c>
      <c r="B41" s="158" t="n"/>
      <c r="C41" s="158" t="n"/>
      <c r="D41" s="158" t="n"/>
      <c r="E41" s="158" t="n"/>
      <c r="F41" s="158" t="n"/>
      <c r="G41" s="158" t="n"/>
      <c r="H41" s="158" t="n"/>
      <c r="I41" s="158" t="n"/>
      <c r="J41" s="159" t="n"/>
    </row>
    <row r="42" ht="42" customHeight="1" s="2">
      <c r="A42" s="122" t="inlineStr">
        <is>
          <t>AP25/AP50 的阈值名称相同，但评测协议不同：本地为两场景可观测 O3 点图、5cm 体素 IoU、101-point AP；OVI-MAP 为 8 个 Replica 场景、每序列均匀 200 帧、重建图经固定距离 kNN 投影到 GT mesh 后逐顶点评测。只做量级参考，不允许直接排名。</t>
        </is>
      </c>
      <c r="B42" s="158" t="n"/>
      <c r="C42" s="158" t="n"/>
      <c r="D42" s="158" t="n"/>
      <c r="E42" s="158" t="n"/>
      <c r="F42" s="158" t="n"/>
      <c r="G42" s="158" t="n"/>
      <c r="H42" s="158" t="n"/>
      <c r="I42" s="158" t="n"/>
      <c r="J42" s="159" t="n"/>
    </row>
    <row r="43" ht="32" customHeight="1" s="2">
      <c r="A43" s="92" t="inlineStr">
        <is>
          <t>来源</t>
        </is>
      </c>
      <c r="B43" s="158" t="n"/>
      <c r="C43" s="158" t="n"/>
      <c r="D43" s="158" t="n"/>
      <c r="E43" s="158" t="n"/>
      <c r="F43" s="158" t="n"/>
      <c r="G43" s="158" t="n"/>
      <c r="H43" s="158" t="n"/>
      <c r="I43" s="158" t="n"/>
      <c r="J43" s="159" t="n"/>
    </row>
    <row r="44" ht="40" customHeight="1" s="2">
      <c r="A44" s="130" t="inlineStr">
        <is>
          <t>本地修复实验</t>
        </is>
      </c>
      <c r="B44" s="130" t="inlineStr">
        <is>
          <t>room0+office0</t>
        </is>
      </c>
      <c r="C44" s="130" t="inlineStr">
        <is>
          <t>B0</t>
        </is>
      </c>
      <c r="D44" s="98" t="n">
        <v>0.02630993666168237</v>
      </c>
      <c r="E44" s="98" t="n">
        <v>0.00055005500550055</v>
      </c>
      <c r="F44" s="130" t="inlineStr">
        <is>
          <t>是</t>
        </is>
      </c>
      <c r="G44" s="130" t="inlineStr">
        <is>
          <t>否</t>
        </is>
      </c>
      <c r="H44" s="130" t="inlineStr">
        <is>
          <t>否</t>
        </is>
      </c>
      <c r="I44" s="130" t="inlineStr">
        <is>
          <t>本工作簿正式 metrics</t>
        </is>
      </c>
      <c r="J44" s="130" t="inlineStr">
        <is>
          <t>相同 IoU 阈值名称；GT 表面、体素化、聚合范围均不同。</t>
        </is>
      </c>
    </row>
    <row r="45" ht="40" customHeight="1" s="2">
      <c r="A45" s="128" t="inlineStr">
        <is>
          <t>本地修复实验</t>
        </is>
      </c>
      <c r="B45" s="128" t="inlineStr">
        <is>
          <t>room0+office0</t>
        </is>
      </c>
      <c r="C45" s="128" t="inlineStr">
        <is>
          <t>MF_OM_all_native</t>
        </is>
      </c>
      <c r="D45" s="99" t="n">
        <v>0.1949651489560799</v>
      </c>
      <c r="E45" s="99" t="n">
        <v>0.102355110866314</v>
      </c>
      <c r="F45" s="128" t="inlineStr">
        <is>
          <t>是</t>
        </is>
      </c>
      <c r="G45" s="128" t="inlineStr">
        <is>
          <t>否</t>
        </is>
      </c>
      <c r="H45" s="128" t="inlineStr">
        <is>
          <t>否</t>
        </is>
      </c>
      <c r="I45" s="128" t="inlineStr">
        <is>
          <t>本工作簿正式 metrics</t>
        </is>
      </c>
      <c r="J45" s="128" t="inlineStr">
        <is>
          <t>相同 IoU 阈值名称；GT 表面、体素化、聚合范围均不同。</t>
        </is>
      </c>
    </row>
    <row r="46" ht="40" customHeight="1" s="2">
      <c r="A46" s="130" t="inlineStr">
        <is>
          <t>本地修复实验</t>
        </is>
      </c>
      <c r="B46" s="130" t="inlineStr">
        <is>
          <t>room0+office0</t>
        </is>
      </c>
      <c r="C46" s="130" t="inlineStr">
        <is>
          <t>MF_OM_all_OA</t>
        </is>
      </c>
      <c r="D46" s="98" t="n">
        <v>0.7453087373292983</v>
      </c>
      <c r="E46" s="98" t="n">
        <v>0.567471797147346</v>
      </c>
      <c r="F46" s="130" t="inlineStr">
        <is>
          <t>是</t>
        </is>
      </c>
      <c r="G46" s="130" t="inlineStr">
        <is>
          <t>否</t>
        </is>
      </c>
      <c r="H46" s="130" t="inlineStr">
        <is>
          <t>否</t>
        </is>
      </c>
      <c r="I46" s="130" t="inlineStr">
        <is>
          <t>本工作簿正式 metrics</t>
        </is>
      </c>
      <c r="J46" s="130" t="inlineStr">
        <is>
          <t>相同 IoU 阈值名称；GT 表面、体素化、聚合范围均不同。</t>
        </is>
      </c>
    </row>
    <row r="47" ht="40" customHeight="1" s="2">
      <c r="A47" s="125" t="inlineStr">
        <is>
          <t>OVI-MAP Table 2</t>
        </is>
      </c>
      <c r="B47" s="125" t="inlineStr">
        <is>
          <t>Replica 8 scenes</t>
        </is>
      </c>
      <c r="C47" s="125" t="inlineStr">
        <is>
          <t>在线完整处理</t>
        </is>
      </c>
      <c r="D47" s="160" t="n">
        <v>0.767</v>
      </c>
      <c r="E47" s="160" t="n">
        <v>0.508</v>
      </c>
      <c r="F47" s="125" t="inlineStr">
        <is>
          <t>是</t>
        </is>
      </c>
      <c r="G47" s="125" t="inlineStr">
        <is>
          <t>否</t>
        </is>
      </c>
      <c r="H47" s="125" t="inlineStr">
        <is>
          <t>否</t>
        </is>
      </c>
      <c r="I47" s="161" t="inlineStr">
        <is>
          <t>论文 Table 2</t>
        </is>
      </c>
      <c r="J47" s="125" t="inlineStr">
        <is>
          <t>OVI-MAP 自身结果，不是 ConceptGraphs 结果。</t>
        </is>
      </c>
    </row>
    <row r="48" ht="44" customHeight="1" s="2">
      <c r="A48" s="126" t="inlineStr">
        <is>
          <t>判断</t>
        </is>
      </c>
      <c r="B48" s="126" t="inlineStr"/>
      <c r="C48" s="126" t="inlineStr"/>
      <c r="D48" s="126" t="n"/>
      <c r="E48" s="126" t="n"/>
      <c r="F48" s="126" t="inlineStr">
        <is>
          <t>概念层同名</t>
        </is>
      </c>
      <c r="G48" s="126" t="inlineStr">
        <is>
          <t>不一致</t>
        </is>
      </c>
      <c r="H48" s="126" t="inlineStr">
        <is>
          <t>不可</t>
        </is>
      </c>
      <c r="I48" s="126" t="inlineStr"/>
      <c r="J48" s="126" t="inlineStr">
        <is>
          <t>如需论文级横向对比，必须按 OVI-MAP/Segment3D 的 GT-mesh 投影协议重跑本方法。</t>
        </is>
      </c>
    </row>
    <row r="49" ht="44" customHeight="1" s="2"/>
  </sheetData>
  <autoFilter ref="A12:J18"/>
  <mergeCells count="9">
    <mergeCell ref="A1:J1"/>
    <mergeCell ref="A29:J29"/>
    <mergeCell ref="A4:J4"/>
    <mergeCell ref="A20:J20"/>
    <mergeCell ref="A43:J43"/>
    <mergeCell ref="A2:J2"/>
    <mergeCell ref="A42:J42"/>
    <mergeCell ref="A41:J41"/>
    <mergeCell ref="A11:J11"/>
  </mergeCells>
  <conditionalFormatting sqref="C13:H18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hyperlinks>
    <hyperlink xmlns:r="http://schemas.openxmlformats.org/officeDocument/2006/relationships" ref="J38" r:id="rId1"/>
    <hyperlink xmlns:r="http://schemas.openxmlformats.org/officeDocument/2006/relationships" ref="I47" r:id="rId2"/>
  </hyperlinks>
  <pageMargins left="0.75" right="0.75" top="1" bottom="1" header="0.5" footer="0.5"/>
  <pageSetup orientation="landscape" fitToHeight="0" fitToWidth="1"/>
</worksheet>
</file>

<file path=xl/worksheets/sheet16.xml><?xml version="1.0" encoding="utf-8"?>
<worksheet xmlns="http://schemas.openxmlformats.org/spreadsheetml/2006/main">
  <sheetPr>
    <tabColor rgb="002F75B5"/>
    <outlinePr summaryBelow="1" summaryRight="1"/>
    <pageSetUpPr fitToPage="1"/>
  </sheetPr>
  <dimension ref="A1:L6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style="2" min="1" max="1"/>
    <col width="11" customWidth="1" style="2" min="2" max="2"/>
    <col width="20" customWidth="1" style="2" min="3" max="3"/>
    <col width="12" customWidth="1" style="2" min="4" max="4"/>
    <col width="12" customWidth="1" style="2" min="5" max="5"/>
    <col width="12" customWidth="1" style="2" min="6" max="6"/>
    <col width="12" customWidth="1" style="2" min="7" max="7"/>
    <col width="12" customWidth="1" style="2" min="8" max="8"/>
    <col width="12" customWidth="1" style="2" min="9" max="9"/>
    <col width="14" customWidth="1" style="2" min="10" max="10"/>
    <col width="14" customWidth="1" style="2" min="11" max="11"/>
    <col width="42" customWidth="1" style="2" min="12" max="12"/>
  </cols>
  <sheetData>
    <row r="1" ht="30" customHeight="1" s="2">
      <c r="A1" s="121" t="inlineStr">
        <is>
          <t>Mask 前置累积顺序实验：完整明细</t>
        </is>
      </c>
      <c r="B1" s="158" t="n"/>
      <c r="C1" s="158" t="n"/>
      <c r="D1" s="158" t="n"/>
      <c r="E1" s="158" t="n"/>
      <c r="F1" s="158" t="n"/>
      <c r="G1" s="158" t="n"/>
      <c r="H1" s="158" t="n"/>
      <c r="I1" s="158" t="n"/>
      <c r="J1" s="158" t="n"/>
      <c r="K1" s="158" t="n"/>
      <c r="L1" s="159" t="n"/>
    </row>
    <row r="2" ht="36" customHeight="1" s="2">
      <c r="A2" s="122" t="inlineStr">
        <is>
          <t>每一行来自服务器正式 metrics.json；结构指标为主，semantic 仅保留原始分母供审计。</t>
        </is>
      </c>
      <c r="B2" s="158" t="n"/>
      <c r="C2" s="158" t="n"/>
      <c r="D2" s="158" t="n"/>
      <c r="E2" s="158" t="n"/>
      <c r="F2" s="158" t="n"/>
      <c r="G2" s="158" t="n"/>
      <c r="H2" s="158" t="n"/>
      <c r="I2" s="158" t="n"/>
      <c r="J2" s="158" t="n"/>
      <c r="K2" s="158" t="n"/>
      <c r="L2" s="159" t="n"/>
    </row>
    <row r="3"/>
    <row r="4" ht="24" customHeight="1" s="2">
      <c r="A4" s="123" t="inlineStr">
        <is>
          <t>A. 三尺度结构与语义原始数值</t>
        </is>
      </c>
      <c r="B4" s="158" t="n"/>
      <c r="C4" s="158" t="n"/>
      <c r="D4" s="158" t="n"/>
      <c r="E4" s="158" t="n"/>
      <c r="F4" s="158" t="n"/>
      <c r="G4" s="158" t="n"/>
      <c r="H4" s="158" t="n"/>
      <c r="I4" s="158" t="n"/>
      <c r="J4" s="158" t="n"/>
      <c r="K4" s="158" t="n"/>
      <c r="L4" s="159" t="n"/>
    </row>
    <row r="5" ht="30" customHeight="1" s="2">
      <c r="A5" s="92" t="inlineStr">
        <is>
          <t>场景</t>
        </is>
      </c>
      <c r="B5" s="92" t="inlineStr">
        <is>
          <t>体素(m)</t>
        </is>
      </c>
      <c r="C5" s="92" t="inlineStr">
        <is>
          <t>阶段</t>
        </is>
      </c>
      <c r="D5" s="92" t="inlineStr">
        <is>
          <t>AP25</t>
        </is>
      </c>
      <c r="E5" s="92" t="inlineStr">
        <is>
          <t>AP50</t>
        </is>
      </c>
      <c r="F5" s="92" t="inlineStr">
        <is>
          <t>AP均值</t>
        </is>
      </c>
      <c r="G5" s="92" t="inlineStr">
        <is>
          <t>Node F1</t>
        </is>
      </c>
      <c r="H5" s="92" t="inlineStr">
        <is>
          <t>语义准确率</t>
        </is>
      </c>
      <c r="I5" s="92" t="inlineStr">
        <is>
          <t>语义分母</t>
        </is>
      </c>
      <c r="J5" s="92" t="inlineStr">
        <is>
          <t>预测节点</t>
        </is>
      </c>
      <c r="K5" s="92" t="inlineStr">
        <is>
          <t>Map SHA前12位</t>
        </is>
      </c>
      <c r="L5" s="92" t="inlineStr">
        <is>
          <t>备注</t>
        </is>
      </c>
    </row>
    <row r="6">
      <c r="A6" s="130" t="inlineStr">
        <is>
          <t>room0</t>
        </is>
      </c>
      <c r="B6" s="115" t="n">
        <v>0.025</v>
      </c>
      <c r="C6" s="130" t="inlineStr">
        <is>
          <t>B0</t>
        </is>
      </c>
      <c r="D6" s="144" t="n">
        <v>0.03319968491933056</v>
      </c>
      <c r="E6" s="144" t="n">
        <v>0.0011001100110011</v>
      </c>
      <c r="F6" s="144" t="n">
        <v>0.01714989746516583</v>
      </c>
      <c r="G6" s="144" t="n">
        <v>0.09815950920245399</v>
      </c>
      <c r="H6" s="144" t="n">
        <v>0.1428571428571428</v>
      </c>
      <c r="I6" s="107" t="n">
        <v>7</v>
      </c>
      <c r="J6" s="107" t="n">
        <v>72</v>
      </c>
      <c r="K6" s="130" t="inlineStr">
        <is>
          <t>ab33d37eb3e8</t>
        </is>
      </c>
      <c r="L6" s="130" t="inlineStr">
        <is>
          <t>当前基线</t>
        </is>
      </c>
    </row>
    <row r="7">
      <c r="A7" s="128" t="inlineStr">
        <is>
          <t>room0</t>
        </is>
      </c>
      <c r="B7" s="114" t="n">
        <v>0.025</v>
      </c>
      <c r="C7" s="128" t="inlineStr">
        <is>
          <t>MF_OP</t>
        </is>
      </c>
      <c r="D7" s="145" t="n">
        <v>0.04540545500010507</v>
      </c>
      <c r="E7" s="145" t="n">
        <v>0.00165016501650165</v>
      </c>
      <c r="F7" s="145" t="n">
        <v>0.02352781000830336</v>
      </c>
      <c r="G7" s="145" t="n">
        <v>0.1226993865030675</v>
      </c>
      <c r="H7" s="145" t="n">
        <v>0.2857142857142857</v>
      </c>
      <c r="I7" s="105" t="n">
        <v>7</v>
      </c>
      <c r="J7" s="105" t="n">
        <v>72</v>
      </c>
      <c r="K7" s="128" t="inlineStr">
        <is>
          <t>9ef5c0f706f1</t>
        </is>
      </c>
      <c r="L7" s="128" t="inlineStr">
        <is>
          <t>先恢复可确定 owner 的 rejected mask；原生关联</t>
        </is>
      </c>
    </row>
    <row r="8">
      <c r="A8" s="130" t="inlineStr">
        <is>
          <t>room0</t>
        </is>
      </c>
      <c r="B8" s="115" t="n">
        <v>0.025</v>
      </c>
      <c r="C8" s="130" t="inlineStr">
        <is>
          <t>MF_OM_pure</t>
        </is>
      </c>
      <c r="D8" s="144" t="n">
        <v>0.06693549736734013</v>
      </c>
      <c r="E8" s="144" t="n">
        <v>0.01323288850624193</v>
      </c>
      <c r="F8" s="144" t="n">
        <v>0.04008419293679103</v>
      </c>
      <c r="G8" s="144" t="n">
        <v>0.1904761904761905</v>
      </c>
      <c r="H8" s="144" t="n">
        <v>0.125</v>
      </c>
      <c r="I8" s="107" t="n">
        <v>8</v>
      </c>
      <c r="J8" s="107" t="n">
        <v>56</v>
      </c>
      <c r="K8" s="130" t="inlineStr">
        <is>
          <t>92147f5265bc</t>
        </is>
      </c>
      <c r="L8" s="130" t="inlineStr">
        <is>
          <t>OP 被吸收；按 owner 合成干净 mask；原生关联</t>
        </is>
      </c>
    </row>
    <row r="9">
      <c r="A9" s="128" t="inlineStr">
        <is>
          <t>room0</t>
        </is>
      </c>
      <c r="B9" s="114" t="n">
        <v>0.025</v>
      </c>
      <c r="C9" s="128" t="inlineStr">
        <is>
          <t>MF_OM_all_native</t>
        </is>
      </c>
      <c r="D9" s="145" t="n">
        <v>0.2455925385599236</v>
      </c>
      <c r="E9" s="145" t="n">
        <v>0.1150234131926163</v>
      </c>
      <c r="F9" s="145" t="n">
        <v>0.1803079758762699</v>
      </c>
      <c r="G9" s="145" t="n">
        <v>0.4318181818181818</v>
      </c>
      <c r="H9" s="145" t="n">
        <v>0.1153846153846154</v>
      </c>
      <c r="I9" s="105" t="n">
        <v>26</v>
      </c>
      <c r="J9" s="105" t="n">
        <v>85</v>
      </c>
      <c r="K9" s="128" t="inlineStr">
        <is>
          <t>6e805e78822e</t>
        </is>
      </c>
      <c r="L9" s="128" t="inlineStr">
        <is>
          <t>完整 partition/去污染/FP 抑制；原生关联</t>
        </is>
      </c>
    </row>
    <row r="10">
      <c r="A10" s="130" t="inlineStr">
        <is>
          <t>room0</t>
        </is>
      </c>
      <c r="B10" s="115" t="n">
        <v>0.025</v>
      </c>
      <c r="C10" s="130" t="inlineStr">
        <is>
          <t>MF_OM_all_OA</t>
        </is>
      </c>
      <c r="D10" s="144" t="n">
        <v>0.7222672669736259</v>
      </c>
      <c r="E10" s="144" t="n">
        <v>0.6057620125680937</v>
      </c>
      <c r="F10" s="144" t="n">
        <v>0.6640146397708597</v>
      </c>
      <c r="G10" s="144" t="n">
        <v>0.8351648351648352</v>
      </c>
      <c r="H10" s="144" t="n">
        <v>0.0625</v>
      </c>
      <c r="I10" s="107" t="n">
        <v>48</v>
      </c>
      <c r="J10" s="107" t="n">
        <v>91</v>
      </c>
      <c r="K10" s="130" t="inlineStr">
        <is>
          <t>bf2c8b4081f8</t>
        </is>
      </c>
      <c r="L10" s="130" t="inlineStr">
        <is>
          <t>与上一步同一 mask 流；改为 GT identity 关联</t>
        </is>
      </c>
    </row>
    <row r="11">
      <c r="A11" s="128" t="inlineStr">
        <is>
          <t>room0</t>
        </is>
      </c>
      <c r="B11" s="114" t="n">
        <v>0.025</v>
      </c>
      <c r="C11" s="128" t="inlineStr">
        <is>
          <t>OG</t>
        </is>
      </c>
      <c r="D11" s="145" t="n">
        <v>1</v>
      </c>
      <c r="E11" s="145" t="n">
        <v>1</v>
      </c>
      <c r="F11" s="145" t="n">
        <v>1</v>
      </c>
      <c r="G11" s="145" t="n">
        <v>1</v>
      </c>
      <c r="H11" s="145" t="n">
        <v>1</v>
      </c>
      <c r="I11" s="105" t="n">
        <v>58</v>
      </c>
      <c r="J11" s="105" t="n">
        <v>91</v>
      </c>
      <c r="K11" s="128" t="inlineStr">
        <is>
          <t>f60a35694814</t>
        </is>
      </c>
      <c r="L11" s="128" t="inlineStr">
        <is>
          <t>可观测 GT 上限</t>
        </is>
      </c>
    </row>
    <row r="12">
      <c r="A12" s="130" t="inlineStr">
        <is>
          <t>room0</t>
        </is>
      </c>
      <c r="B12" s="115" t="n">
        <v>0.05</v>
      </c>
      <c r="C12" s="130" t="inlineStr">
        <is>
          <t>B0</t>
        </is>
      </c>
      <c r="D12" s="144" t="n">
        <v>0.04355896723275567</v>
      </c>
      <c r="E12" s="144" t="n">
        <v>0.0011001100110011</v>
      </c>
      <c r="F12" s="144" t="n">
        <v>0.02232953862187838</v>
      </c>
      <c r="G12" s="144" t="n">
        <v>0.1104294478527607</v>
      </c>
      <c r="H12" s="144" t="n">
        <v>0.25</v>
      </c>
      <c r="I12" s="107" t="n">
        <v>8</v>
      </c>
      <c r="J12" s="107" t="n">
        <v>72</v>
      </c>
      <c r="K12" s="130" t="inlineStr">
        <is>
          <t>ab33d37eb3e8</t>
        </is>
      </c>
      <c r="L12" s="130" t="inlineStr">
        <is>
          <t>当前基线</t>
        </is>
      </c>
    </row>
    <row r="13">
      <c r="A13" s="128" t="inlineStr">
        <is>
          <t>room0</t>
        </is>
      </c>
      <c r="B13" s="114" t="n">
        <v>0.05</v>
      </c>
      <c r="C13" s="128" t="inlineStr">
        <is>
          <t>MF_OP</t>
        </is>
      </c>
      <c r="D13" s="145" t="n">
        <v>0.0497384083029676</v>
      </c>
      <c r="E13" s="145" t="n">
        <v>0.00165016501650165</v>
      </c>
      <c r="F13" s="145" t="n">
        <v>0.02569428665973462</v>
      </c>
      <c r="G13" s="145" t="n">
        <v>0.1349693251533742</v>
      </c>
      <c r="H13" s="145" t="n">
        <v>0.2857142857142857</v>
      </c>
      <c r="I13" s="105" t="n">
        <v>7</v>
      </c>
      <c r="J13" s="105" t="n">
        <v>72</v>
      </c>
      <c r="K13" s="128" t="inlineStr">
        <is>
          <t>9ef5c0f706f1</t>
        </is>
      </c>
      <c r="L13" s="128" t="inlineStr">
        <is>
          <t>先恢复可确定 owner 的 rejected mask；原生关联</t>
        </is>
      </c>
    </row>
    <row r="14">
      <c r="A14" s="130" t="inlineStr">
        <is>
          <t>room0</t>
        </is>
      </c>
      <c r="B14" s="115" t="n">
        <v>0.05</v>
      </c>
      <c r="C14" s="130" t="inlineStr">
        <is>
          <t>MF_OM_pure</t>
        </is>
      </c>
      <c r="D14" s="144" t="n">
        <v>0.07142438664408783</v>
      </c>
      <c r="E14" s="144" t="n">
        <v>0.01323288850624193</v>
      </c>
      <c r="F14" s="144" t="n">
        <v>0.04232863757516488</v>
      </c>
      <c r="G14" s="144" t="n">
        <v>0.2040816326530612</v>
      </c>
      <c r="H14" s="144" t="n">
        <v>0.1111111111111111</v>
      </c>
      <c r="I14" s="107" t="n">
        <v>9</v>
      </c>
      <c r="J14" s="107" t="n">
        <v>56</v>
      </c>
      <c r="K14" s="130" t="inlineStr">
        <is>
          <t>92147f5265bc</t>
        </is>
      </c>
      <c r="L14" s="130" t="inlineStr">
        <is>
          <t>OP 被吸收；按 owner 合成干净 mask；原生关联</t>
        </is>
      </c>
    </row>
    <row r="15">
      <c r="A15" s="128" t="inlineStr">
        <is>
          <t>room0</t>
        </is>
      </c>
      <c r="B15" s="114" t="n">
        <v>0.05</v>
      </c>
      <c r="C15" s="128" t="inlineStr">
        <is>
          <t>MF_OM_all_native</t>
        </is>
      </c>
      <c r="D15" s="145" t="n">
        <v>0.2461937231161603</v>
      </c>
      <c r="E15" s="145" t="n">
        <v>0.1339128194117507</v>
      </c>
      <c r="F15" s="145" t="n">
        <v>0.1900532712639555</v>
      </c>
      <c r="G15" s="145" t="n">
        <v>0.4204545454545455</v>
      </c>
      <c r="H15" s="145" t="n">
        <v>0.1111111111111111</v>
      </c>
      <c r="I15" s="105" t="n">
        <v>27</v>
      </c>
      <c r="J15" s="105" t="n">
        <v>85</v>
      </c>
      <c r="K15" s="128" t="inlineStr">
        <is>
          <t>6e805e78822e</t>
        </is>
      </c>
      <c r="L15" s="128" t="inlineStr">
        <is>
          <t>完整 partition/去污染/FP 抑制；原生关联</t>
        </is>
      </c>
    </row>
    <row r="16">
      <c r="A16" s="130" t="inlineStr">
        <is>
          <t>room0</t>
        </is>
      </c>
      <c r="B16" s="115" t="n">
        <v>0.05</v>
      </c>
      <c r="C16" s="130" t="inlineStr">
        <is>
          <t>MF_OM_all_OA</t>
        </is>
      </c>
      <c r="D16" s="144" t="n">
        <v>0.7349092507749837</v>
      </c>
      <c r="E16" s="144" t="n">
        <v>0.6190396027937894</v>
      </c>
      <c r="F16" s="144" t="n">
        <v>0.6769744267843866</v>
      </c>
      <c r="G16" s="144" t="n">
        <v>0.8351648351648352</v>
      </c>
      <c r="H16" s="144" t="n">
        <v>0.06122448979591837</v>
      </c>
      <c r="I16" s="107" t="n">
        <v>49</v>
      </c>
      <c r="J16" s="107" t="n">
        <v>91</v>
      </c>
      <c r="K16" s="130" t="inlineStr">
        <is>
          <t>bf2c8b4081f8</t>
        </is>
      </c>
      <c r="L16" s="130" t="inlineStr">
        <is>
          <t>与上一步同一 mask 流；改为 GT identity 关联</t>
        </is>
      </c>
    </row>
    <row r="17">
      <c r="A17" s="128" t="inlineStr">
        <is>
          <t>room0</t>
        </is>
      </c>
      <c r="B17" s="114" t="n">
        <v>0.05</v>
      </c>
      <c r="C17" s="128" t="inlineStr">
        <is>
          <t>OG</t>
        </is>
      </c>
      <c r="D17" s="145" t="n">
        <v>1</v>
      </c>
      <c r="E17" s="145" t="n">
        <v>1</v>
      </c>
      <c r="F17" s="145" t="n">
        <v>1</v>
      </c>
      <c r="G17" s="145" t="n">
        <v>1</v>
      </c>
      <c r="H17" s="145" t="n">
        <v>1</v>
      </c>
      <c r="I17" s="105" t="n">
        <v>58</v>
      </c>
      <c r="J17" s="105" t="n">
        <v>91</v>
      </c>
      <c r="K17" s="128" t="inlineStr">
        <is>
          <t>f60a35694814</t>
        </is>
      </c>
      <c r="L17" s="128" t="inlineStr">
        <is>
          <t>可观测 GT 上限</t>
        </is>
      </c>
    </row>
    <row r="18">
      <c r="A18" s="130" t="inlineStr">
        <is>
          <t>room0</t>
        </is>
      </c>
      <c r="B18" s="115" t="n">
        <v>0.1</v>
      </c>
      <c r="C18" s="130" t="inlineStr">
        <is>
          <t>B0</t>
        </is>
      </c>
      <c r="D18" s="144" t="n">
        <v>0.06229882012535241</v>
      </c>
      <c r="E18" s="144" t="n">
        <v>0.0066006600660066</v>
      </c>
      <c r="F18" s="144" t="n">
        <v>0.03444974009567951</v>
      </c>
      <c r="G18" s="144" t="n">
        <v>0.1595092024539877</v>
      </c>
      <c r="H18" s="144" t="n">
        <v>0.1818181818181818</v>
      </c>
      <c r="I18" s="107" t="n">
        <v>11</v>
      </c>
      <c r="J18" s="107" t="n">
        <v>72</v>
      </c>
      <c r="K18" s="130" t="inlineStr">
        <is>
          <t>ab33d37eb3e8</t>
        </is>
      </c>
      <c r="L18" s="130" t="inlineStr">
        <is>
          <t>当前基线</t>
        </is>
      </c>
    </row>
    <row r="19">
      <c r="A19" s="128" t="inlineStr">
        <is>
          <t>room0</t>
        </is>
      </c>
      <c r="B19" s="114" t="n">
        <v>0.1</v>
      </c>
      <c r="C19" s="128" t="inlineStr">
        <is>
          <t>MF_OP</t>
        </is>
      </c>
      <c r="D19" s="145" t="n">
        <v>0.07156411967147351</v>
      </c>
      <c r="E19" s="145" t="n">
        <v>0.008486562942008486</v>
      </c>
      <c r="F19" s="145" t="n">
        <v>0.040025341306741</v>
      </c>
      <c r="G19" s="145" t="n">
        <v>0.1717791411042945</v>
      </c>
      <c r="H19" s="145" t="n">
        <v>0.2222222222222222</v>
      </c>
      <c r="I19" s="105" t="n">
        <v>9</v>
      </c>
      <c r="J19" s="105" t="n">
        <v>72</v>
      </c>
      <c r="K19" s="128" t="inlineStr">
        <is>
          <t>9ef5c0f706f1</t>
        </is>
      </c>
      <c r="L19" s="128" t="inlineStr">
        <is>
          <t>先恢复可确定 owner 的 rejected mask；原生关联</t>
        </is>
      </c>
    </row>
    <row r="20">
      <c r="A20" s="130" t="inlineStr">
        <is>
          <t>room0</t>
        </is>
      </c>
      <c r="B20" s="115" t="n">
        <v>0.1</v>
      </c>
      <c r="C20" s="130" t="inlineStr">
        <is>
          <t>MF_OM_pure</t>
        </is>
      </c>
      <c r="D20" s="144" t="n">
        <v>0.08868458274398869</v>
      </c>
      <c r="E20" s="144" t="n">
        <v>0.01323288850624193</v>
      </c>
      <c r="F20" s="144" t="n">
        <v>0.05095873562511531</v>
      </c>
      <c r="G20" s="144" t="n">
        <v>0.2448979591836735</v>
      </c>
      <c r="H20" s="144" t="n">
        <v>0.09090909090909091</v>
      </c>
      <c r="I20" s="107" t="n">
        <v>11</v>
      </c>
      <c r="J20" s="107" t="n">
        <v>56</v>
      </c>
      <c r="K20" s="130" t="inlineStr">
        <is>
          <t>92147f5265bc</t>
        </is>
      </c>
      <c r="L20" s="130" t="inlineStr">
        <is>
          <t>OP 被吸收；按 owner 合成干净 mask；原生关联</t>
        </is>
      </c>
    </row>
    <row r="21">
      <c r="A21" s="128" t="inlineStr">
        <is>
          <t>room0</t>
        </is>
      </c>
      <c r="B21" s="114" t="n">
        <v>0.1</v>
      </c>
      <c r="C21" s="128" t="inlineStr">
        <is>
          <t>MF_OM_all_native</t>
        </is>
      </c>
      <c r="D21" s="145" t="n">
        <v>0.2631642462565916</v>
      </c>
      <c r="E21" s="145" t="n">
        <v>0.1375253428262543</v>
      </c>
      <c r="F21" s="145" t="n">
        <v>0.200344794541423</v>
      </c>
      <c r="G21" s="145" t="n">
        <v>0.4204545454545455</v>
      </c>
      <c r="H21" s="145" t="n">
        <v>0.1153846153846154</v>
      </c>
      <c r="I21" s="105" t="n">
        <v>26</v>
      </c>
      <c r="J21" s="105" t="n">
        <v>85</v>
      </c>
      <c r="K21" s="128" t="inlineStr">
        <is>
          <t>6e805e78822e</t>
        </is>
      </c>
      <c r="L21" s="128" t="inlineStr">
        <is>
          <t>完整 partition/去污染/FP 抑制；原生关联</t>
        </is>
      </c>
    </row>
    <row r="22">
      <c r="A22" s="130" t="inlineStr">
        <is>
          <t>room0</t>
        </is>
      </c>
      <c r="B22" s="115" t="n">
        <v>0.1</v>
      </c>
      <c r="C22" s="130" t="inlineStr">
        <is>
          <t>MF_OM_all_OA</t>
        </is>
      </c>
      <c r="D22" s="144" t="n">
        <v>0.7350277241607838</v>
      </c>
      <c r="E22" s="144" t="n">
        <v>0.6190396027937894</v>
      </c>
      <c r="F22" s="144" t="n">
        <v>0.6770336634772867</v>
      </c>
      <c r="G22" s="144" t="n">
        <v>0.8351648351648352</v>
      </c>
      <c r="H22" s="144" t="n">
        <v>0.06122448979591837</v>
      </c>
      <c r="I22" s="107" t="n">
        <v>49</v>
      </c>
      <c r="J22" s="107" t="n">
        <v>91</v>
      </c>
      <c r="K22" s="130" t="inlineStr">
        <is>
          <t>bf2c8b4081f8</t>
        </is>
      </c>
      <c r="L22" s="130" t="inlineStr">
        <is>
          <t>与上一步同一 mask 流；改为 GT identity 关联</t>
        </is>
      </c>
    </row>
    <row r="23">
      <c r="A23" s="128" t="inlineStr">
        <is>
          <t>room0</t>
        </is>
      </c>
      <c r="B23" s="114" t="n">
        <v>0.1</v>
      </c>
      <c r="C23" s="128" t="inlineStr">
        <is>
          <t>OG</t>
        </is>
      </c>
      <c r="D23" s="145" t="n">
        <v>1</v>
      </c>
      <c r="E23" s="145" t="n">
        <v>1</v>
      </c>
      <c r="F23" s="145" t="n">
        <v>1</v>
      </c>
      <c r="G23" s="145" t="n">
        <v>1</v>
      </c>
      <c r="H23" s="145" t="n">
        <v>1</v>
      </c>
      <c r="I23" s="105" t="n">
        <v>58</v>
      </c>
      <c r="J23" s="105" t="n">
        <v>91</v>
      </c>
      <c r="K23" s="128" t="inlineStr">
        <is>
          <t>f60a35694814</t>
        </is>
      </c>
      <c r="L23" s="128" t="inlineStr">
        <is>
          <t>可观测 GT 上限</t>
        </is>
      </c>
    </row>
    <row r="24">
      <c r="A24" s="130" t="inlineStr">
        <is>
          <t>office0</t>
        </is>
      </c>
      <c r="B24" s="115" t="n">
        <v>0.025</v>
      </c>
      <c r="C24" s="130" t="inlineStr">
        <is>
          <t>B0</t>
        </is>
      </c>
      <c r="D24" s="144" t="n">
        <v>0.009060906090609062</v>
      </c>
      <c r="E24" s="144" t="n">
        <v>0</v>
      </c>
      <c r="F24" s="144" t="n">
        <v>0.004530453045304531</v>
      </c>
      <c r="G24" s="144" t="n">
        <v>0.04597701149425287</v>
      </c>
      <c r="H24" s="146" t="n"/>
      <c r="I24" s="107" t="n">
        <v>0</v>
      </c>
      <c r="J24" s="107" t="n">
        <v>35</v>
      </c>
      <c r="K24" s="130" t="inlineStr">
        <is>
          <t>f1d37190041f</t>
        </is>
      </c>
      <c r="L24" s="130" t="inlineStr">
        <is>
          <t>当前基线</t>
        </is>
      </c>
    </row>
    <row r="25">
      <c r="A25" s="128" t="inlineStr">
        <is>
          <t>office0</t>
        </is>
      </c>
      <c r="B25" s="114" t="n">
        <v>0.025</v>
      </c>
      <c r="C25" s="128" t="inlineStr">
        <is>
          <t>MF_OP</t>
        </is>
      </c>
      <c r="D25" s="145" t="n">
        <v>0.02217821782178218</v>
      </c>
      <c r="E25" s="145" t="n">
        <v>0</v>
      </c>
      <c r="F25" s="145" t="n">
        <v>0.01108910891089109</v>
      </c>
      <c r="G25" s="145" t="n">
        <v>0.04444444444444445</v>
      </c>
      <c r="H25" s="145" t="n">
        <v>0</v>
      </c>
      <c r="I25" s="105" t="n">
        <v>1</v>
      </c>
      <c r="J25" s="105" t="n">
        <v>38</v>
      </c>
      <c r="K25" s="128" t="inlineStr">
        <is>
          <t>ef8cd2740db3</t>
        </is>
      </c>
      <c r="L25" s="128" t="inlineStr">
        <is>
          <t>先恢复可确定 owner 的 rejected mask；原生关联</t>
        </is>
      </c>
    </row>
    <row r="26">
      <c r="A26" s="130" t="inlineStr">
        <is>
          <t>office0</t>
        </is>
      </c>
      <c r="B26" s="115" t="n">
        <v>0.025</v>
      </c>
      <c r="C26" s="130" t="inlineStr">
        <is>
          <t>MF_OM_pure</t>
        </is>
      </c>
      <c r="D26" s="144" t="n">
        <v>0.02165161571102165</v>
      </c>
      <c r="E26" s="144" t="n">
        <v>0.002828854314002829</v>
      </c>
      <c r="F26" s="144" t="n">
        <v>0.01224023501251224</v>
      </c>
      <c r="G26" s="144" t="n">
        <v>0.08602150537634409</v>
      </c>
      <c r="H26" s="144" t="n">
        <v>0</v>
      </c>
      <c r="I26" s="107" t="n">
        <v>2</v>
      </c>
      <c r="J26" s="107" t="n">
        <v>41</v>
      </c>
      <c r="K26" s="130" t="inlineStr">
        <is>
          <t>1663917e21ea</t>
        </is>
      </c>
      <c r="L26" s="130" t="inlineStr">
        <is>
          <t>OP 被吸收；按 owner 合成干净 mask；原生关联</t>
        </is>
      </c>
    </row>
    <row r="27">
      <c r="A27" s="128" t="inlineStr">
        <is>
          <t>office0</t>
        </is>
      </c>
      <c r="B27" s="114" t="n">
        <v>0.025</v>
      </c>
      <c r="C27" s="128" t="inlineStr">
        <is>
          <t>MF_OM_all_native</t>
        </is>
      </c>
      <c r="D27" s="145" t="n">
        <v>0.1361652294261684</v>
      </c>
      <c r="E27" s="145" t="n">
        <v>0.03672947939955286</v>
      </c>
      <c r="F27" s="145" t="n">
        <v>0.08644735441286064</v>
      </c>
      <c r="G27" s="145" t="n">
        <v>0.25</v>
      </c>
      <c r="H27" s="145" t="n">
        <v>0.1428571428571428</v>
      </c>
      <c r="I27" s="105" t="n">
        <v>7</v>
      </c>
      <c r="J27" s="105" t="n">
        <v>52</v>
      </c>
      <c r="K27" s="128" t="inlineStr">
        <is>
          <t>1e76d509b39f</t>
        </is>
      </c>
      <c r="L27" s="128" t="inlineStr">
        <is>
          <t>完整 partition/去污染/FP 抑制；原生关联</t>
        </is>
      </c>
    </row>
    <row r="28">
      <c r="A28" s="130" t="inlineStr">
        <is>
          <t>office0</t>
        </is>
      </c>
      <c r="B28" s="115" t="n">
        <v>0.025</v>
      </c>
      <c r="C28" s="130" t="inlineStr">
        <is>
          <t>MF_OM_all_OA</t>
        </is>
      </c>
      <c r="D28" s="144" t="n">
        <v>0.7557082238836128</v>
      </c>
      <c r="E28" s="144" t="n">
        <v>0.5304523851157742</v>
      </c>
      <c r="F28" s="144" t="n">
        <v>0.6430803044996936</v>
      </c>
      <c r="G28" s="144" t="n">
        <v>0.8627450980392157</v>
      </c>
      <c r="H28" s="144" t="n">
        <v>0.2857142857142857</v>
      </c>
      <c r="I28" s="107" t="n">
        <v>14</v>
      </c>
      <c r="J28" s="107" t="n">
        <v>50</v>
      </c>
      <c r="K28" s="130" t="inlineStr">
        <is>
          <t>b4b033a10cb2</t>
        </is>
      </c>
      <c r="L28" s="130" t="inlineStr">
        <is>
          <t>与上一步同一 mask 流；改为 GT identity 关联</t>
        </is>
      </c>
    </row>
    <row r="29">
      <c r="A29" s="128" t="inlineStr">
        <is>
          <t>office0</t>
        </is>
      </c>
      <c r="B29" s="114" t="n">
        <v>0.025</v>
      </c>
      <c r="C29" s="128" t="inlineStr">
        <is>
          <t>OG</t>
        </is>
      </c>
      <c r="D29" s="145" t="n">
        <v>1</v>
      </c>
      <c r="E29" s="145" t="n">
        <v>1</v>
      </c>
      <c r="F29" s="145" t="n">
        <v>1</v>
      </c>
      <c r="G29" s="145" t="n">
        <v>1</v>
      </c>
      <c r="H29" s="145" t="n">
        <v>1</v>
      </c>
      <c r="I29" s="105" t="n">
        <v>15</v>
      </c>
      <c r="J29" s="105" t="n">
        <v>52</v>
      </c>
      <c r="K29" s="128" t="inlineStr">
        <is>
          <t>1c0a2e13f6c2</t>
        </is>
      </c>
      <c r="L29" s="128" t="inlineStr">
        <is>
          <t>可观测 GT 上限</t>
        </is>
      </c>
    </row>
    <row r="30">
      <c r="A30" s="130" t="inlineStr">
        <is>
          <t>office0</t>
        </is>
      </c>
      <c r="B30" s="115" t="n">
        <v>0.05</v>
      </c>
      <c r="C30" s="130" t="inlineStr">
        <is>
          <t>B0</t>
        </is>
      </c>
      <c r="D30" s="144" t="n">
        <v>0.009060906090609062</v>
      </c>
      <c r="E30" s="144" t="n">
        <v>0</v>
      </c>
      <c r="F30" s="144" t="n">
        <v>0.004530453045304531</v>
      </c>
      <c r="G30" s="144" t="n">
        <v>0.06896551724137931</v>
      </c>
      <c r="H30" s="144" t="n">
        <v>1</v>
      </c>
      <c r="I30" s="107" t="n">
        <v>1</v>
      </c>
      <c r="J30" s="107" t="n">
        <v>35</v>
      </c>
      <c r="K30" s="130" t="inlineStr">
        <is>
          <t>f1d37190041f</t>
        </is>
      </c>
      <c r="L30" s="130" t="inlineStr">
        <is>
          <t>当前基线</t>
        </is>
      </c>
    </row>
    <row r="31">
      <c r="A31" s="128" t="inlineStr">
        <is>
          <t>office0</t>
        </is>
      </c>
      <c r="B31" s="114" t="n">
        <v>0.05</v>
      </c>
      <c r="C31" s="128" t="inlineStr">
        <is>
          <t>MF_OP</t>
        </is>
      </c>
      <c r="D31" s="145" t="n">
        <v>0.03451202263083451</v>
      </c>
      <c r="E31" s="145" t="n">
        <v>0</v>
      </c>
      <c r="F31" s="145" t="n">
        <v>0.01725601131541726</v>
      </c>
      <c r="G31" s="145" t="n">
        <v>0.1333333333333333</v>
      </c>
      <c r="H31" s="145" t="n">
        <v>0.25</v>
      </c>
      <c r="I31" s="105" t="n">
        <v>4</v>
      </c>
      <c r="J31" s="105" t="n">
        <v>38</v>
      </c>
      <c r="K31" s="128" t="inlineStr">
        <is>
          <t>ef8cd2740db3</t>
        </is>
      </c>
      <c r="L31" s="128" t="inlineStr">
        <is>
          <t>先恢复可确定 owner 的 rejected mask；原生关联</t>
        </is>
      </c>
    </row>
    <row r="32">
      <c r="A32" s="130" t="inlineStr">
        <is>
          <t>office0</t>
        </is>
      </c>
      <c r="B32" s="115" t="n">
        <v>0.05</v>
      </c>
      <c r="C32" s="130" t="inlineStr">
        <is>
          <t>MF_OM_pure</t>
        </is>
      </c>
      <c r="D32" s="144" t="n">
        <v>0.02165161571102165</v>
      </c>
      <c r="E32" s="144" t="n">
        <v>0.002828854314002829</v>
      </c>
      <c r="F32" s="144" t="n">
        <v>0.01224023501251224</v>
      </c>
      <c r="G32" s="144" t="n">
        <v>0.08602150537634409</v>
      </c>
      <c r="H32" s="144" t="n">
        <v>0</v>
      </c>
      <c r="I32" s="107" t="n">
        <v>2</v>
      </c>
      <c r="J32" s="107" t="n">
        <v>41</v>
      </c>
      <c r="K32" s="130" t="inlineStr">
        <is>
          <t>1663917e21ea</t>
        </is>
      </c>
      <c r="L32" s="130" t="inlineStr">
        <is>
          <t>OP 被吸收；按 owner 合成干净 mask；原生关联</t>
        </is>
      </c>
    </row>
    <row r="33">
      <c r="A33" s="128" t="inlineStr">
        <is>
          <t>office0</t>
        </is>
      </c>
      <c r="B33" s="114" t="n">
        <v>0.05</v>
      </c>
      <c r="C33" s="128" t="inlineStr">
        <is>
          <t>MF_OM_all_native</t>
        </is>
      </c>
      <c r="D33" s="145" t="n">
        <v>0.1437365747959995</v>
      </c>
      <c r="E33" s="145" t="n">
        <v>0.07079740232087725</v>
      </c>
      <c r="F33" s="145" t="n">
        <v>0.1072669885584384</v>
      </c>
      <c r="G33" s="145" t="n">
        <v>0.2692307692307692</v>
      </c>
      <c r="H33" s="145" t="n">
        <v>0.1428571428571428</v>
      </c>
      <c r="I33" s="105" t="n">
        <v>7</v>
      </c>
      <c r="J33" s="105" t="n">
        <v>52</v>
      </c>
      <c r="K33" s="128" t="inlineStr">
        <is>
          <t>1e76d509b39f</t>
        </is>
      </c>
      <c r="L33" s="128" t="inlineStr">
        <is>
          <t>完整 partition/去污染/FP 抑制；原生关联</t>
        </is>
      </c>
    </row>
    <row r="34">
      <c r="A34" s="130" t="inlineStr">
        <is>
          <t>office0</t>
        </is>
      </c>
      <c r="B34" s="115" t="n">
        <v>0.05</v>
      </c>
      <c r="C34" s="130" t="inlineStr">
        <is>
          <t>MF_OM_all_OA</t>
        </is>
      </c>
      <c r="D34" s="144" t="n">
        <v>0.7557082238836128</v>
      </c>
      <c r="E34" s="144" t="n">
        <v>0.5159039915009025</v>
      </c>
      <c r="F34" s="144" t="n">
        <v>0.6358061076922576</v>
      </c>
      <c r="G34" s="144" t="n">
        <v>0.8627450980392157</v>
      </c>
      <c r="H34" s="144" t="n">
        <v>0.2857142857142857</v>
      </c>
      <c r="I34" s="107" t="n">
        <v>14</v>
      </c>
      <c r="J34" s="107" t="n">
        <v>50</v>
      </c>
      <c r="K34" s="130" t="inlineStr">
        <is>
          <t>b4b033a10cb2</t>
        </is>
      </c>
      <c r="L34" s="130" t="inlineStr">
        <is>
          <t>与上一步同一 mask 流；改为 GT identity 关联</t>
        </is>
      </c>
    </row>
    <row r="35">
      <c r="A35" s="128" t="inlineStr">
        <is>
          <t>office0</t>
        </is>
      </c>
      <c r="B35" s="114" t="n">
        <v>0.05</v>
      </c>
      <c r="C35" s="128" t="inlineStr">
        <is>
          <t>OG</t>
        </is>
      </c>
      <c r="D35" s="145" t="n">
        <v>1</v>
      </c>
      <c r="E35" s="145" t="n">
        <v>1</v>
      </c>
      <c r="F35" s="145" t="n">
        <v>1</v>
      </c>
      <c r="G35" s="145" t="n">
        <v>1</v>
      </c>
      <c r="H35" s="145" t="n">
        <v>1</v>
      </c>
      <c r="I35" s="105" t="n">
        <v>15</v>
      </c>
      <c r="J35" s="105" t="n">
        <v>52</v>
      </c>
      <c r="K35" s="128" t="inlineStr">
        <is>
          <t>1c0a2e13f6c2</t>
        </is>
      </c>
      <c r="L35" s="128" t="inlineStr">
        <is>
          <t>可观测 GT 上限</t>
        </is>
      </c>
    </row>
    <row r="36">
      <c r="A36" s="130" t="inlineStr">
        <is>
          <t>office0</t>
        </is>
      </c>
      <c r="B36" s="115" t="n">
        <v>0.1</v>
      </c>
      <c r="C36" s="130" t="inlineStr">
        <is>
          <t>B0</t>
        </is>
      </c>
      <c r="D36" s="144" t="n">
        <v>0.01206120612061206</v>
      </c>
      <c r="E36" s="144" t="n">
        <v>0</v>
      </c>
      <c r="F36" s="144" t="n">
        <v>0.006030603060306031</v>
      </c>
      <c r="G36" s="144" t="n">
        <v>0.09195402298850575</v>
      </c>
      <c r="H36" s="144" t="n">
        <v>1</v>
      </c>
      <c r="I36" s="107" t="n">
        <v>1</v>
      </c>
      <c r="J36" s="107" t="n">
        <v>35</v>
      </c>
      <c r="K36" s="130" t="inlineStr">
        <is>
          <t>f1d37190041f</t>
        </is>
      </c>
      <c r="L36" s="130" t="inlineStr">
        <is>
          <t>当前基线</t>
        </is>
      </c>
    </row>
    <row r="37">
      <c r="A37" s="128" t="inlineStr">
        <is>
          <t>office0</t>
        </is>
      </c>
      <c r="B37" s="114" t="n">
        <v>0.1</v>
      </c>
      <c r="C37" s="128" t="inlineStr">
        <is>
          <t>MF_OP</t>
        </is>
      </c>
      <c r="D37" s="145" t="n">
        <v>0.04158415841584159</v>
      </c>
      <c r="E37" s="145" t="n">
        <v>0</v>
      </c>
      <c r="F37" s="145" t="n">
        <v>0.02079207920792079</v>
      </c>
      <c r="G37" s="145" t="n">
        <v>0.1333333333333333</v>
      </c>
      <c r="H37" s="145" t="n">
        <v>0.3333333333333333</v>
      </c>
      <c r="I37" s="105" t="n">
        <v>3</v>
      </c>
      <c r="J37" s="105" t="n">
        <v>38</v>
      </c>
      <c r="K37" s="128" t="inlineStr">
        <is>
          <t>ef8cd2740db3</t>
        </is>
      </c>
      <c r="L37" s="128" t="inlineStr">
        <is>
          <t>先恢复可确定 owner 的 rejected mask；原生关联</t>
        </is>
      </c>
    </row>
    <row r="38">
      <c r="A38" s="130" t="inlineStr">
        <is>
          <t>office0</t>
        </is>
      </c>
      <c r="B38" s="115" t="n">
        <v>0.1</v>
      </c>
      <c r="C38" s="130" t="inlineStr">
        <is>
          <t>MF_OM_pure</t>
        </is>
      </c>
      <c r="D38" s="144" t="n">
        <v>0.03253182461103254</v>
      </c>
      <c r="E38" s="144" t="n">
        <v>0.002828854314002829</v>
      </c>
      <c r="F38" s="144" t="n">
        <v>0.01768033946251768</v>
      </c>
      <c r="G38" s="144" t="n">
        <v>0.1290322580645161</v>
      </c>
      <c r="H38" s="144" t="n">
        <v>0</v>
      </c>
      <c r="I38" s="107" t="n">
        <v>3</v>
      </c>
      <c r="J38" s="107" t="n">
        <v>41</v>
      </c>
      <c r="K38" s="130" t="inlineStr">
        <is>
          <t>1663917e21ea</t>
        </is>
      </c>
      <c r="L38" s="130" t="inlineStr">
        <is>
          <t>OP 被吸收；按 owner 合成干净 mask；原生关联</t>
        </is>
      </c>
    </row>
    <row r="39">
      <c r="A39" s="128" t="inlineStr">
        <is>
          <t>office0</t>
        </is>
      </c>
      <c r="B39" s="114" t="n">
        <v>0.1</v>
      </c>
      <c r="C39" s="128" t="inlineStr">
        <is>
          <t>MF_OM_all_native</t>
        </is>
      </c>
      <c r="D39" s="145" t="n">
        <v>0.1437365747959995</v>
      </c>
      <c r="E39" s="145" t="n">
        <v>0.08101777919727457</v>
      </c>
      <c r="F39" s="145" t="n">
        <v>0.112377176996637</v>
      </c>
      <c r="G39" s="145" t="n">
        <v>0.2692307692307692</v>
      </c>
      <c r="H39" s="145" t="n">
        <v>0.1428571428571428</v>
      </c>
      <c r="I39" s="105" t="n">
        <v>7</v>
      </c>
      <c r="J39" s="105" t="n">
        <v>52</v>
      </c>
      <c r="K39" s="128" t="inlineStr">
        <is>
          <t>1e76d509b39f</t>
        </is>
      </c>
      <c r="L39" s="128" t="inlineStr">
        <is>
          <t>完整 partition/去污染/FP 抑制；原生关联</t>
        </is>
      </c>
    </row>
    <row r="40">
      <c r="A40" s="130" t="inlineStr">
        <is>
          <t>office0</t>
        </is>
      </c>
      <c r="B40" s="115" t="n">
        <v>0.1</v>
      </c>
      <c r="C40" s="130" t="inlineStr">
        <is>
          <t>MF_OM_all_OA</t>
        </is>
      </c>
      <c r="D40" s="144" t="n">
        <v>0.7557082238836128</v>
      </c>
      <c r="E40" s="144" t="n">
        <v>0.5810904614961312</v>
      </c>
      <c r="F40" s="144" t="n">
        <v>0.668399342689872</v>
      </c>
      <c r="G40" s="144" t="n">
        <v>0.8627450980392157</v>
      </c>
      <c r="H40" s="144" t="n">
        <v>0.2857142857142857</v>
      </c>
      <c r="I40" s="107" t="n">
        <v>14</v>
      </c>
      <c r="J40" s="107" t="n">
        <v>50</v>
      </c>
      <c r="K40" s="130" t="inlineStr">
        <is>
          <t>b4b033a10cb2</t>
        </is>
      </c>
      <c r="L40" s="130" t="inlineStr">
        <is>
          <t>与上一步同一 mask 流；改为 GT identity 关联</t>
        </is>
      </c>
    </row>
    <row r="41">
      <c r="A41" s="128" t="inlineStr">
        <is>
          <t>office0</t>
        </is>
      </c>
      <c r="B41" s="114" t="n">
        <v>0.1</v>
      </c>
      <c r="C41" s="128" t="inlineStr">
        <is>
          <t>OG</t>
        </is>
      </c>
      <c r="D41" s="145" t="n">
        <v>1</v>
      </c>
      <c r="E41" s="145" t="n">
        <v>1</v>
      </c>
      <c r="F41" s="145" t="n">
        <v>1</v>
      </c>
      <c r="G41" s="145" t="n">
        <v>1</v>
      </c>
      <c r="H41" s="145" t="n">
        <v>1</v>
      </c>
      <c r="I41" s="105" t="n">
        <v>15</v>
      </c>
      <c r="J41" s="105" t="n">
        <v>52</v>
      </c>
      <c r="K41" s="128" t="inlineStr">
        <is>
          <t>1c0a2e13f6c2</t>
        </is>
      </c>
      <c r="L41" s="128" t="inlineStr">
        <is>
          <t>可观测 GT 上限</t>
        </is>
      </c>
    </row>
    <row r="42"/>
    <row r="43" ht="24" customHeight="1" s="2">
      <c r="A43" s="123" t="inlineStr">
        <is>
          <t>B. 在线构图资源记录</t>
        </is>
      </c>
      <c r="B43" s="158" t="n"/>
      <c r="C43" s="158" t="n"/>
      <c r="D43" s="158" t="n"/>
      <c r="E43" s="158" t="n"/>
      <c r="F43" s="158" t="n"/>
      <c r="G43" s="158" t="n"/>
      <c r="H43" s="158" t="n"/>
      <c r="I43" s="158" t="n"/>
      <c r="J43" s="158" t="n"/>
      <c r="K43" s="158" t="n"/>
      <c r="L43" s="159" t="n"/>
    </row>
    <row r="44" ht="30" customHeight="1" s="2">
      <c r="A44" s="92" t="inlineStr">
        <is>
          <t>场景</t>
        </is>
      </c>
      <c r="B44" s="92" t="inlineStr">
        <is>
          <t>阶段</t>
        </is>
      </c>
      <c r="C44" s="92" t="inlineStr">
        <is>
          <t>帧数</t>
        </is>
      </c>
      <c r="D44" s="92" t="inlineStr">
        <is>
          <t>对象数</t>
        </is>
      </c>
      <c r="E44" s="92" t="inlineStr">
        <is>
          <t>观测数</t>
        </is>
      </c>
      <c r="F44" s="92" t="inlineStr">
        <is>
          <t>耗时(s)</t>
        </is>
      </c>
      <c r="G44" s="92" t="inlineStr">
        <is>
          <t>峰值RSS(MB)</t>
        </is>
      </c>
      <c r="H44" s="92" t="inlineStr">
        <is>
          <t>复用</t>
        </is>
      </c>
      <c r="I44" s="92" t="inlineStr"/>
      <c r="J44" s="92" t="inlineStr"/>
      <c r="K44" s="92" t="inlineStr"/>
      <c r="L44" s="92" t="inlineStr">
        <is>
          <t>说明</t>
        </is>
      </c>
    </row>
    <row r="45">
      <c r="A45" s="128" t="inlineStr">
        <is>
          <t>room0</t>
        </is>
      </c>
      <c r="B45" s="128" t="inlineStr">
        <is>
          <t>MF_OP</t>
        </is>
      </c>
      <c r="C45" s="105" t="n">
        <v>400</v>
      </c>
      <c r="D45" s="105" t="n">
        <v>72</v>
      </c>
      <c r="E45" s="105" t="n">
        <v>9063</v>
      </c>
      <c r="F45" s="112" t="n">
        <v>905.3444442823529</v>
      </c>
      <c r="G45" s="112" t="n">
        <v>28004.17578125</v>
      </c>
      <c r="H45" s="128" t="inlineStr">
        <is>
          <t>否</t>
        </is>
      </c>
      <c r="I45" s="128" t="inlineStr"/>
      <c r="J45" s="128" t="inlineStr"/>
      <c r="K45" s="128" t="inlineStr"/>
      <c r="L45" s="128" t="inlineStr">
        <is>
          <t>在线从空图构建</t>
        </is>
      </c>
    </row>
    <row r="46">
      <c r="A46" s="130" t="inlineStr">
        <is>
          <t>room0</t>
        </is>
      </c>
      <c r="B46" s="130" t="inlineStr">
        <is>
          <t>MF_OM_pure</t>
        </is>
      </c>
      <c r="C46" s="107" t="n">
        <v>400</v>
      </c>
      <c r="D46" s="107" t="n">
        <v>56</v>
      </c>
      <c r="E46" s="107" t="n">
        <v>2231</v>
      </c>
      <c r="F46" s="111" t="n">
        <v>373.1617103060707</v>
      </c>
      <c r="G46" s="111" t="n">
        <v>4769.5703125</v>
      </c>
      <c r="H46" s="130" t="inlineStr">
        <is>
          <t>否</t>
        </is>
      </c>
      <c r="I46" s="130" t="inlineStr"/>
      <c r="J46" s="130" t="inlineStr"/>
      <c r="K46" s="130" t="inlineStr"/>
      <c r="L46" s="130" t="inlineStr">
        <is>
          <t>在线从空图构建</t>
        </is>
      </c>
    </row>
    <row r="47">
      <c r="A47" s="128" t="inlineStr">
        <is>
          <t>room0</t>
        </is>
      </c>
      <c r="B47" s="128" t="inlineStr">
        <is>
          <t>MF_OM_all_native</t>
        </is>
      </c>
      <c r="C47" s="105" t="n">
        <v>400</v>
      </c>
      <c r="D47" s="105" t="n">
        <v>85</v>
      </c>
      <c r="E47" s="105" t="n">
        <v>11577</v>
      </c>
      <c r="F47" s="112" t="n">
        <v>1078.142860009335</v>
      </c>
      <c r="G47" s="112" t="n">
        <v>19133.40625</v>
      </c>
      <c r="H47" s="128" t="inlineStr">
        <is>
          <t>否</t>
        </is>
      </c>
      <c r="I47" s="128" t="inlineStr"/>
      <c r="J47" s="128" t="inlineStr"/>
      <c r="K47" s="128" t="inlineStr"/>
      <c r="L47" s="128" t="inlineStr">
        <is>
          <t>在线从空图构建</t>
        </is>
      </c>
    </row>
    <row r="48">
      <c r="A48" s="147" t="inlineStr">
        <is>
          <t>room0</t>
        </is>
      </c>
      <c r="B48" s="147" t="inlineStr">
        <is>
          <t>MF_OM_all_OA</t>
        </is>
      </c>
      <c r="C48" s="147" t="n"/>
      <c r="D48" s="147" t="n"/>
      <c r="E48" s="147" t="n"/>
      <c r="F48" s="148" t="n"/>
      <c r="G48" s="148" t="n"/>
      <c r="H48" s="147" t="inlineStr">
        <is>
          <t>是</t>
        </is>
      </c>
      <c r="I48" s="147" t="inlineStr"/>
      <c r="J48" s="147" t="inlineStr"/>
      <c r="K48" s="147" t="inlineStr"/>
      <c r="L48" s="147" t="inlineStr">
        <is>
          <t>same maximal-partition stream plus GT-identity association; exact 10-frame geometry/object/observation parity passed in both scenes</t>
        </is>
      </c>
    </row>
    <row r="49">
      <c r="A49" s="128" t="inlineStr">
        <is>
          <t>office0</t>
        </is>
      </c>
      <c r="B49" s="128" t="inlineStr">
        <is>
          <t>MF_OP</t>
        </is>
      </c>
      <c r="C49" s="105" t="n">
        <v>400</v>
      </c>
      <c r="D49" s="105" t="n">
        <v>38</v>
      </c>
      <c r="E49" s="105" t="n">
        <v>4067</v>
      </c>
      <c r="F49" s="112" t="n">
        <v>472.4382209228352</v>
      </c>
      <c r="G49" s="112" t="n">
        <v>12864.30078125</v>
      </c>
      <c r="H49" s="128" t="inlineStr">
        <is>
          <t>否</t>
        </is>
      </c>
      <c r="I49" s="128" t="inlineStr"/>
      <c r="J49" s="128" t="inlineStr"/>
      <c r="K49" s="128" t="inlineStr"/>
      <c r="L49" s="128" t="inlineStr">
        <is>
          <t>在线从空图构建</t>
        </is>
      </c>
    </row>
    <row r="50">
      <c r="A50" s="130" t="inlineStr">
        <is>
          <t>office0</t>
        </is>
      </c>
      <c r="B50" s="130" t="inlineStr">
        <is>
          <t>MF_OM_pure</t>
        </is>
      </c>
      <c r="C50" s="107" t="n">
        <v>400</v>
      </c>
      <c r="D50" s="107" t="n">
        <v>41</v>
      </c>
      <c r="E50" s="107" t="n">
        <v>1340</v>
      </c>
      <c r="F50" s="111" t="n">
        <v>247.2343862261623</v>
      </c>
      <c r="G50" s="111" t="n">
        <v>3380.01953125</v>
      </c>
      <c r="H50" s="130" t="inlineStr">
        <is>
          <t>否</t>
        </is>
      </c>
      <c r="I50" s="130" t="inlineStr"/>
      <c r="J50" s="130" t="inlineStr"/>
      <c r="K50" s="130" t="inlineStr"/>
      <c r="L50" s="130" t="inlineStr">
        <is>
          <t>在线从空图构建</t>
        </is>
      </c>
    </row>
    <row r="51">
      <c r="A51" s="128" t="inlineStr">
        <is>
          <t>office0</t>
        </is>
      </c>
      <c r="B51" s="128" t="inlineStr">
        <is>
          <t>MF_OM_all_native</t>
        </is>
      </c>
      <c r="C51" s="105" t="n">
        <v>400</v>
      </c>
      <c r="D51" s="105" t="n">
        <v>52</v>
      </c>
      <c r="E51" s="105" t="n">
        <v>7372</v>
      </c>
      <c r="F51" s="112" t="n">
        <v>543.2644646763802</v>
      </c>
      <c r="G51" s="112" t="n">
        <v>8591.421875</v>
      </c>
      <c r="H51" s="128" t="inlineStr">
        <is>
          <t>否</t>
        </is>
      </c>
      <c r="I51" s="128" t="inlineStr"/>
      <c r="J51" s="128" t="inlineStr"/>
      <c r="K51" s="128" t="inlineStr"/>
      <c r="L51" s="128" t="inlineStr">
        <is>
          <t>在线从空图构建</t>
        </is>
      </c>
    </row>
    <row r="52">
      <c r="A52" s="147" t="inlineStr">
        <is>
          <t>office0</t>
        </is>
      </c>
      <c r="B52" s="147" t="inlineStr">
        <is>
          <t>MF_OM_all_OA</t>
        </is>
      </c>
      <c r="C52" s="147" t="n"/>
      <c r="D52" s="147" t="n"/>
      <c r="E52" s="147" t="n"/>
      <c r="F52" s="148" t="n"/>
      <c r="G52" s="148" t="n"/>
      <c r="H52" s="147" t="inlineStr">
        <is>
          <t>是</t>
        </is>
      </c>
      <c r="I52" s="147" t="inlineStr"/>
      <c r="J52" s="147" t="inlineStr"/>
      <c r="K52" s="147" t="inlineStr"/>
      <c r="L52" s="147" t="inlineStr">
        <is>
          <t>same maximal-partition stream plus GT-identity association; exact 10-frame geometry/object/observation parity passed in both scenes</t>
        </is>
      </c>
    </row>
    <row r="53"/>
    <row r="54" ht="24" customHeight="1" s="2">
      <c r="A54" s="123" t="inlineStr">
        <is>
          <t>C. 两场景平均单步增量</t>
        </is>
      </c>
      <c r="B54" s="158" t="n"/>
      <c r="C54" s="158" t="n"/>
      <c r="D54" s="158" t="n"/>
      <c r="E54" s="158" t="n"/>
      <c r="F54" s="158" t="n"/>
      <c r="G54" s="158" t="n"/>
      <c r="H54" s="158" t="n"/>
      <c r="I54" s="158" t="n"/>
      <c r="J54" s="158" t="n"/>
      <c r="K54" s="158" t="n"/>
      <c r="L54" s="159" t="n"/>
    </row>
    <row r="55" ht="30" customHeight="1" s="2">
      <c r="A55" s="92" t="inlineStr">
        <is>
          <t>阶段变化</t>
        </is>
      </c>
      <c r="B55" s="92" t="inlineStr">
        <is>
          <t>AP 增量</t>
        </is>
      </c>
      <c r="C55" s="92" t="inlineStr">
        <is>
          <t>Node F1 增量</t>
        </is>
      </c>
      <c r="D55" s="92" t="inlineStr"/>
      <c r="E55" s="92" t="inlineStr"/>
      <c r="F55" s="92" t="inlineStr"/>
      <c r="G55" s="92" t="inlineStr"/>
      <c r="H55" s="92" t="inlineStr"/>
      <c r="I55" s="92" t="inlineStr"/>
      <c r="J55" s="92" t="inlineStr"/>
      <c r="K55" s="92" t="inlineStr"/>
      <c r="L55" s="92" t="inlineStr">
        <is>
          <t>解释</t>
        </is>
      </c>
    </row>
    <row r="56">
      <c r="A56" s="130" t="inlineStr">
        <is>
          <t>B0-&gt;MF_OP</t>
        </is>
      </c>
      <c r="B56" s="149" t="n">
        <v>0.008045153153984484</v>
      </c>
      <c r="C56" s="149" t="n">
        <v>0.04445384669628374</v>
      </c>
      <c r="D56" s="130" t="inlineStr"/>
      <c r="E56" s="130" t="inlineStr"/>
      <c r="F56" s="130" t="inlineStr"/>
      <c r="G56" s="130" t="inlineStr"/>
      <c r="H56" s="130" t="inlineStr"/>
      <c r="I56" s="130" t="inlineStr"/>
      <c r="J56" s="130" t="inlineStr"/>
      <c r="K56" s="130" t="inlineStr"/>
      <c r="L56" s="130" t="inlineStr"/>
    </row>
    <row r="57">
      <c r="A57" s="128" t="inlineStr">
        <is>
          <t>MF_OP-&gt;MF_OM_pure</t>
        </is>
      </c>
      <c r="B57" s="150" t="n">
        <v>0.005809287306262623</v>
      </c>
      <c r="C57" s="150" t="n">
        <v>0.01090023977134891</v>
      </c>
      <c r="D57" s="128" t="inlineStr"/>
      <c r="E57" s="128" t="inlineStr"/>
      <c r="F57" s="128" t="inlineStr"/>
      <c r="G57" s="128" t="inlineStr"/>
      <c r="H57" s="128" t="inlineStr"/>
      <c r="I57" s="128" t="inlineStr"/>
      <c r="J57" s="128" t="inlineStr"/>
      <c r="K57" s="128" t="inlineStr"/>
      <c r="L57" s="128" t="inlineStr"/>
    </row>
    <row r="58">
      <c r="A58" s="130" t="inlineStr">
        <is>
          <t>MF_OM_pure-&gt;MF_OM_all_native</t>
        </is>
      </c>
      <c r="B58" s="149" t="n">
        <v>0.1213756936173584</v>
      </c>
      <c r="C58" s="149" t="n">
        <v>0.1997910883279547</v>
      </c>
      <c r="D58" s="130" t="inlineStr"/>
      <c r="E58" s="130" t="inlineStr"/>
      <c r="F58" s="130" t="inlineStr"/>
      <c r="G58" s="130" t="inlineStr"/>
      <c r="H58" s="130" t="inlineStr"/>
      <c r="I58" s="130" t="inlineStr"/>
      <c r="J58" s="130" t="inlineStr"/>
      <c r="K58" s="130" t="inlineStr"/>
      <c r="L58" s="130" t="inlineStr"/>
    </row>
    <row r="59">
      <c r="A59" s="139" t="inlineStr">
        <is>
          <t>MF_OM_all_native-&gt;MF_OM_all_OA</t>
        </is>
      </c>
      <c r="B59" s="151" t="n">
        <v>0.5077301373271252</v>
      </c>
      <c r="C59" s="151" t="n">
        <v>0.5041123092593682</v>
      </c>
      <c r="D59" s="139" t="inlineStr"/>
      <c r="E59" s="139" t="inlineStr"/>
      <c r="F59" s="139" t="inlineStr"/>
      <c r="G59" s="139" t="inlineStr"/>
      <c r="H59" s="139" t="inlineStr"/>
      <c r="I59" s="139" t="inlineStr"/>
      <c r="J59" s="139" t="inlineStr"/>
      <c r="K59" s="139" t="inlineStr"/>
      <c r="L59" s="139" t="inlineStr">
        <is>
          <t>最大值为完整 mask 后再加 OA</t>
        </is>
      </c>
    </row>
    <row r="60">
      <c r="A60" s="130" t="inlineStr">
        <is>
          <t>MF_OM_all_OA-&gt;OG</t>
        </is>
      </c>
      <c r="B60" s="149" t="n">
        <v>0.3436097327616778</v>
      </c>
      <c r="C60" s="149" t="n">
        <v>0.1510450333979745</v>
      </c>
      <c r="D60" s="130" t="inlineStr"/>
      <c r="E60" s="130" t="inlineStr"/>
      <c r="F60" s="130" t="inlineStr"/>
      <c r="G60" s="130" t="inlineStr"/>
      <c r="H60" s="130" t="inlineStr"/>
      <c r="I60" s="130" t="inlineStr"/>
      <c r="J60" s="130" t="inlineStr"/>
      <c r="K60" s="130" t="inlineStr"/>
      <c r="L60" s="130" t="inlineStr"/>
    </row>
  </sheetData>
  <autoFilter ref="A5:L41"/>
  <mergeCells count="5">
    <mergeCell ref="A2:L2"/>
    <mergeCell ref="A54:L54"/>
    <mergeCell ref="A43:L43"/>
    <mergeCell ref="A1:L1"/>
    <mergeCell ref="A4:L4"/>
  </mergeCells>
  <pageMargins left="0.75" right="0.75" top="1" bottom="1" header="0.5" footer="0.5"/>
  <pageSetup orientation="landscape" fitToHeight="0" fitToWidth="1"/>
  <legacyDrawing xmlns:r="http://schemas.openxmlformats.org/officeDocument/2006/relationships" r:id="anysvml"/>
</worksheet>
</file>

<file path=xl/worksheets/sheet17.xml><?xml version="1.0" encoding="utf-8"?>
<worksheet xmlns="http://schemas.openxmlformats.org/spreadsheetml/2006/main">
  <sheetPr>
    <tabColor rgb="00ED7D31"/>
    <outlinePr summaryBelow="1" summaryRight="1"/>
    <pageSetUpPr fitToPage="1"/>
  </sheetPr>
  <dimension ref="A1:L72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1" customWidth="1" style="2" min="1" max="1"/>
    <col width="18" customWidth="1" style="2" min="2" max="2"/>
    <col width="18" customWidth="1" style="2" min="3" max="3"/>
    <col width="14" customWidth="1" style="2" min="4" max="4"/>
    <col width="14" customWidth="1" style="2" min="5" max="5"/>
    <col width="14" customWidth="1" style="2" min="6" max="6"/>
    <col width="14" customWidth="1" style="2" min="7" max="7"/>
    <col width="14" customWidth="1" style="2" min="8" max="8"/>
    <col width="14" customWidth="1" style="2" min="9" max="9"/>
    <col width="16" customWidth="1" style="2" min="10" max="10"/>
    <col width="30" customWidth="1" style="2" min="11" max="11"/>
    <col width="50" customWidth="1" style="2" min="12" max="12"/>
  </cols>
  <sheetData>
    <row r="1" ht="30" customHeight="1" s="2">
      <c r="A1" s="121" t="inlineStr">
        <is>
          <t>OVI-MAP 官方指标、消融与效率</t>
        </is>
      </c>
      <c r="B1" s="158" t="n"/>
      <c r="C1" s="158" t="n"/>
      <c r="D1" s="158" t="n"/>
      <c r="E1" s="158" t="n"/>
      <c r="F1" s="158" t="n"/>
      <c r="G1" s="158" t="n"/>
      <c r="H1" s="158" t="n"/>
      <c r="I1" s="158" t="n"/>
      <c r="J1" s="158" t="n"/>
      <c r="K1" s="158" t="n"/>
      <c r="L1" s="159" t="n"/>
    </row>
    <row r="2" ht="42" customHeight="1" s="2">
      <c r="A2" s="157" t="inlineStr">
        <is>
          <t>来源：OVI-MAP arXiv:2603.26541v1（2026-03-27）。论文没有报告 ConceptGraphs 数值，也未出现 ConceptGraphs；出现的是 ConceptFusion，两者不可混淆。</t>
        </is>
      </c>
      <c r="B2" s="158" t="n"/>
      <c r="C2" s="158" t="n"/>
      <c r="D2" s="158" t="n"/>
      <c r="E2" s="158" t="n"/>
      <c r="F2" s="158" t="n"/>
      <c r="G2" s="158" t="n"/>
      <c r="H2" s="158" t="n"/>
      <c r="I2" s="158" t="n"/>
      <c r="J2" s="158" t="n"/>
      <c r="K2" s="158" t="n"/>
      <c r="L2" s="159" t="n"/>
    </row>
    <row r="3"/>
    <row r="4" ht="24" customHeight="1" s="2">
      <c r="A4" s="123" t="inlineStr">
        <is>
          <t>A. 指标口径与是否能复用</t>
        </is>
      </c>
      <c r="B4" s="158" t="n"/>
      <c r="C4" s="158" t="n"/>
      <c r="D4" s="158" t="n"/>
      <c r="E4" s="158" t="n"/>
      <c r="F4" s="158" t="n"/>
      <c r="G4" s="158" t="n"/>
      <c r="H4" s="158" t="n"/>
      <c r="I4" s="158" t="n"/>
      <c r="J4" s="158" t="n"/>
      <c r="K4" s="158" t="n"/>
      <c r="L4" s="159" t="n"/>
    </row>
    <row r="5" ht="32" customHeight="1" s="2">
      <c r="A5" s="92" t="inlineStr">
        <is>
          <t>层级</t>
        </is>
      </c>
      <c r="B5" s="92" t="inlineStr">
        <is>
          <t>指标</t>
        </is>
      </c>
      <c r="C5" s="92" t="inlineStr">
        <is>
          <t>方向</t>
        </is>
      </c>
      <c r="D5" s="92" t="inlineStr">
        <is>
          <t>OVI-MAP定义</t>
        </is>
      </c>
      <c r="E5" s="92" t="inlineStr">
        <is>
          <t>本地是否已有</t>
        </is>
      </c>
      <c r="F5" s="92" t="inlineStr">
        <is>
          <t>关系</t>
        </is>
      </c>
      <c r="G5" s="92" t="inlineStr">
        <is>
          <t>可直接比较</t>
        </is>
      </c>
      <c r="H5" s="92" t="inlineStr">
        <is>
          <t>建议</t>
        </is>
      </c>
      <c r="I5" s="92" t="inlineStr"/>
      <c r="J5" s="92" t="inlineStr"/>
      <c r="K5" s="92" t="inlineStr"/>
      <c r="L5" s="92" t="inlineStr">
        <is>
          <t>风险</t>
        </is>
      </c>
    </row>
    <row r="6" ht="38" customHeight="1" s="2">
      <c r="A6" s="130" t="inlineStr">
        <is>
          <t>类别无关实例</t>
        </is>
      </c>
      <c r="B6" s="130" t="inlineStr">
        <is>
          <t>Instance mIoU</t>
        </is>
      </c>
      <c r="C6" s="130" t="inlineStr">
        <is>
          <t>↑</t>
        </is>
      </c>
      <c r="D6" s="130" t="inlineStr">
        <is>
          <t>GT mesh逐顶点实例重叠均值</t>
        </is>
      </c>
      <c r="E6" s="130" t="inlineStr">
        <is>
          <t>无</t>
        </is>
      </c>
      <c r="F6" s="130" t="inlineStr">
        <is>
          <t>新指标</t>
        </is>
      </c>
      <c r="G6" s="130" t="inlineStr">
        <is>
          <t>否</t>
        </is>
      </c>
      <c r="H6" s="130" t="inlineStr">
        <is>
          <t>新增实现</t>
        </is>
      </c>
      <c r="I6" s="130" t="inlineStr"/>
      <c r="J6" s="130" t="inlineStr"/>
      <c r="K6" s="130" t="inlineStr"/>
      <c r="L6" s="130" t="inlineStr">
        <is>
          <t>衡量边界/覆盖</t>
        </is>
      </c>
    </row>
    <row r="7" ht="38" customHeight="1" s="2">
      <c r="A7" s="139" t="inlineStr">
        <is>
          <t>类别无关实例</t>
        </is>
      </c>
      <c r="B7" s="139" t="inlineStr">
        <is>
          <t>AP25/AP50</t>
        </is>
      </c>
      <c r="C7" s="139" t="inlineStr">
        <is>
          <t>↑</t>
        </is>
      </c>
      <c r="D7" s="139" t="inlineStr">
        <is>
          <t>实例IoU阈值AP</t>
        </is>
      </c>
      <c r="E7" s="139" t="inlineStr">
        <is>
          <t>有</t>
        </is>
      </c>
      <c r="F7" s="139" t="inlineStr">
        <is>
          <t>同名</t>
        </is>
      </c>
      <c r="G7" s="139" t="inlineStr">
        <is>
          <t>否</t>
        </is>
      </c>
      <c r="H7" s="139" t="inlineStr">
        <is>
          <t>按论文协议重跑后再比较</t>
        </is>
      </c>
      <c r="I7" s="139" t="inlineStr"/>
      <c r="J7" s="139" t="inlineStr"/>
      <c r="K7" s="139" t="inlineStr"/>
      <c r="L7" s="139" t="inlineStr">
        <is>
          <t>当前体素点图协议不同</t>
        </is>
      </c>
    </row>
    <row r="8" ht="38" customHeight="1" s="2">
      <c r="A8" s="130" t="inlineStr">
        <is>
          <t>类别无关实例</t>
        </is>
      </c>
      <c r="B8" s="130" t="inlineStr">
        <is>
          <t>AP75</t>
        </is>
      </c>
      <c r="C8" s="130" t="inlineStr">
        <is>
          <t>↑</t>
        </is>
      </c>
      <c r="D8" s="130" t="inlineStr">
        <is>
          <t>严格实例IoU阈值AP</t>
        </is>
      </c>
      <c r="E8" s="130" t="inlineStr">
        <is>
          <t>无</t>
        </is>
      </c>
      <c r="F8" s="130" t="inlineStr">
        <is>
          <t>新指标</t>
        </is>
      </c>
      <c r="G8" s="130" t="inlineStr">
        <is>
          <t>否</t>
        </is>
      </c>
      <c r="H8" s="130" t="inlineStr">
        <is>
          <t>新增实现</t>
        </is>
      </c>
      <c r="I8" s="130" t="inlineStr"/>
      <c r="J8" s="130" t="inlineStr"/>
      <c r="K8" s="130" t="inlineStr"/>
      <c r="L8" s="130" t="inlineStr">
        <is>
          <t>对边界更敏感</t>
        </is>
      </c>
    </row>
    <row r="9" ht="38" customHeight="1" s="2">
      <c r="A9" s="141" t="inlineStr">
        <is>
          <t>开放词汇语义</t>
        </is>
      </c>
      <c r="B9" s="141" t="inlineStr">
        <is>
          <t>Semantic mIoU</t>
        </is>
      </c>
      <c r="C9" s="141" t="inlineStr">
        <is>
          <t>↑</t>
        </is>
      </c>
      <c r="D9" s="141" t="inlineStr">
        <is>
          <t>51/200类逐类IoU均值</t>
        </is>
      </c>
      <c r="E9" s="141" t="inlineStr">
        <is>
          <t>无同口径</t>
        </is>
      </c>
      <c r="F9" s="141" t="inlineStr">
        <is>
          <t>近似名</t>
        </is>
      </c>
      <c r="G9" s="141" t="inlineStr">
        <is>
          <t>否</t>
        </is>
      </c>
      <c r="H9" s="141" t="inlineStr">
        <is>
          <t>单独实现</t>
        </is>
      </c>
      <c r="I9" s="141" t="inlineStr"/>
      <c r="J9" s="141" t="inlineStr"/>
      <c r="K9" s="141" t="inlineStr"/>
      <c r="L9" s="141" t="inlineStr">
        <is>
          <t>不是F-mIoU</t>
        </is>
      </c>
    </row>
    <row r="10" ht="38" customHeight="1" s="2">
      <c r="A10" s="139" t="inlineStr">
        <is>
          <t>开放词汇语义</t>
        </is>
      </c>
      <c r="B10" s="139" t="inlineStr">
        <is>
          <t>mAcc</t>
        </is>
      </c>
      <c r="C10" s="139" t="inlineStr">
        <is>
          <t>↑</t>
        </is>
      </c>
      <c r="D10" s="139" t="inlineStr">
        <is>
          <t>逐类准确率均值</t>
        </is>
      </c>
      <c r="E10" s="139" t="inlineStr">
        <is>
          <t>论文官方指标有</t>
        </is>
      </c>
      <c r="F10" s="139" t="inlineStr">
        <is>
          <t>同名</t>
        </is>
      </c>
      <c r="G10" s="139" t="inlineStr">
        <is>
          <t>否</t>
        </is>
      </c>
      <c r="H10" s="139" t="inlineStr">
        <is>
          <t>统一标签集后比较</t>
        </is>
      </c>
      <c r="I10" s="139" t="inlineStr"/>
      <c r="J10" s="139" t="inlineStr"/>
      <c r="K10" s="139" t="inlineStr"/>
      <c r="L10" s="139" t="inlineStr">
        <is>
          <t>标签本体敏感</t>
        </is>
      </c>
    </row>
    <row r="11" ht="38" customHeight="1" s="2">
      <c r="A11" s="128" t="inlineStr">
        <is>
          <t>语义实例</t>
        </is>
      </c>
      <c r="B11" s="128" t="inlineStr">
        <is>
          <t>Sem-AP25/AP50</t>
        </is>
      </c>
      <c r="C11" s="128" t="inlineStr">
        <is>
          <t>↑</t>
        </is>
      </c>
      <c r="D11" s="128" t="inlineStr">
        <is>
          <t>实例IoU且语义类别正确</t>
        </is>
      </c>
      <c r="E11" s="128" t="inlineStr">
        <is>
          <t>无</t>
        </is>
      </c>
      <c r="F11" s="128" t="inlineStr">
        <is>
          <t>新指标</t>
        </is>
      </c>
      <c r="G11" s="128" t="inlineStr">
        <is>
          <t>否</t>
        </is>
      </c>
      <c r="H11" s="128" t="inlineStr">
        <is>
          <t>新增实现</t>
        </is>
      </c>
      <c r="I11" s="128" t="inlineStr"/>
      <c r="J11" s="128" t="inlineStr"/>
      <c r="K11" s="128" t="inlineStr"/>
      <c r="L11" s="128" t="inlineStr">
        <is>
          <t>不能与类别无关AP混用</t>
        </is>
      </c>
    </row>
    <row r="12" ht="38" customHeight="1" s="2">
      <c r="A12" s="130" t="inlineStr">
        <is>
          <t>语义实例</t>
        </is>
      </c>
      <c r="B12" s="130" t="inlineStr">
        <is>
          <t>APall</t>
        </is>
      </c>
      <c r="C12" s="130" t="inlineStr">
        <is>
          <t>↑</t>
        </is>
      </c>
      <c r="D12" s="130" t="inlineStr">
        <is>
          <t>OpenMask3D综合AP</t>
        </is>
      </c>
      <c r="E12" s="130" t="inlineStr">
        <is>
          <t>无</t>
        </is>
      </c>
      <c r="F12" s="130" t="inlineStr">
        <is>
          <t>新指标</t>
        </is>
      </c>
      <c r="G12" s="130" t="inlineStr">
        <is>
          <t>否</t>
        </is>
      </c>
      <c r="H12" s="130" t="inlineStr">
        <is>
          <t>新增实现</t>
        </is>
      </c>
      <c r="I12" s="130" t="inlineStr"/>
      <c r="J12" s="130" t="inlineStr"/>
      <c r="K12" s="130" t="inlineStr"/>
      <c r="L12" s="130" t="inlineStr">
        <is>
          <t>需锁定OpenMask3D协议</t>
        </is>
      </c>
    </row>
    <row r="13" ht="38" customHeight="1" s="2">
      <c r="A13" s="128" t="inlineStr">
        <is>
          <t>VLM效率</t>
        </is>
      </c>
      <c r="B13" s="128" t="inlineStr">
        <is>
          <t>AQ</t>
        </is>
      </c>
      <c r="C13" s="128" t="inlineStr">
        <is>
          <t>↓</t>
        </is>
      </c>
      <c r="D13" s="128" t="inlineStr">
        <is>
          <t>每实例平均VLM查询数</t>
        </is>
      </c>
      <c r="E13" s="128" t="inlineStr">
        <is>
          <t>无</t>
        </is>
      </c>
      <c r="F13" s="128" t="inlineStr">
        <is>
          <t>新指标</t>
        </is>
      </c>
      <c r="G13" s="128" t="inlineStr">
        <is>
          <t>否</t>
        </is>
      </c>
      <c r="H13" s="128" t="inlineStr">
        <is>
          <t>推荐加入</t>
        </is>
      </c>
      <c r="I13" s="128" t="inlineStr"/>
      <c r="J13" s="128" t="inlineStr"/>
      <c r="K13" s="128" t="inlineStr"/>
      <c r="L13" s="128" t="inlineStr">
        <is>
          <t>需定义一次query</t>
        </is>
      </c>
    </row>
    <row r="14" ht="38" customHeight="1" s="2">
      <c r="A14" s="141" t="inlineStr">
        <is>
          <t>在线效率</t>
        </is>
      </c>
      <c r="B14" s="141" t="inlineStr">
        <is>
          <t>Runtime/Frame</t>
        </is>
      </c>
      <c r="C14" s="141" t="inlineStr">
        <is>
          <t>↓</t>
        </is>
      </c>
      <c r="D14" s="141" t="inlineStr">
        <is>
          <t>关键帧模块耗时</t>
        </is>
      </c>
      <c r="E14" s="141" t="inlineStr">
        <is>
          <t>有运行耗时但非同口径</t>
        </is>
      </c>
      <c r="F14" s="141" t="inlineStr">
        <is>
          <t>近似名</t>
        </is>
      </c>
      <c r="G14" s="141" t="inlineStr">
        <is>
          <t>否</t>
        </is>
      </c>
      <c r="H14" s="141" t="inlineStr">
        <is>
          <t>分模块计时</t>
        </is>
      </c>
      <c r="I14" s="141" t="inlineStr"/>
      <c r="J14" s="141" t="inlineStr"/>
      <c r="K14" s="141" t="inlineStr"/>
      <c r="L14" s="141" t="inlineStr">
        <is>
          <t>并行模块不能直接求和</t>
        </is>
      </c>
    </row>
    <row r="15"/>
    <row r="16" ht="24" customHeight="1" s="2">
      <c r="A16" s="123" t="inlineStr">
        <is>
          <t>B. 类别无关实例地图主结果（Table 2）</t>
        </is>
      </c>
      <c r="B16" s="158" t="n"/>
      <c r="C16" s="158" t="n"/>
      <c r="D16" s="158" t="n"/>
      <c r="E16" s="158" t="n"/>
      <c r="F16" s="158" t="n"/>
      <c r="G16" s="158" t="n"/>
      <c r="H16" s="158" t="n"/>
      <c r="I16" s="158" t="n"/>
      <c r="J16" s="158" t="n"/>
      <c r="K16" s="158" t="n"/>
      <c r="L16" s="159" t="n"/>
    </row>
    <row r="17" ht="32" customHeight="1" s="2">
      <c r="A17" s="92" t="inlineStr">
        <is>
          <t>数据集</t>
        </is>
      </c>
      <c r="B17" s="92" t="inlineStr">
        <is>
          <t>方法</t>
        </is>
      </c>
      <c r="C17" s="92" t="inlineStr">
        <is>
          <t>Online</t>
        </is>
      </c>
      <c r="D17" s="92" t="inlineStr">
        <is>
          <t>Instance mIoU</t>
        </is>
      </c>
      <c r="E17" s="92" t="inlineStr">
        <is>
          <t>AP75</t>
        </is>
      </c>
      <c r="F17" s="92" t="inlineStr">
        <is>
          <t>AP50</t>
        </is>
      </c>
      <c r="G17" s="92" t="inlineStr">
        <is>
          <t>AP25</t>
        </is>
      </c>
      <c r="H17" s="92" t="inlineStr">
        <is>
          <t>场景数</t>
        </is>
      </c>
      <c r="I17" s="92" t="inlineStr">
        <is>
          <t>每序列帧数</t>
        </is>
      </c>
      <c r="J17" s="92" t="inlineStr">
        <is>
          <t>体素</t>
        </is>
      </c>
      <c r="K17" s="92" t="inlineStr">
        <is>
          <t>来源</t>
        </is>
      </c>
      <c r="L17" s="92" t="inlineStr">
        <is>
          <t>说明</t>
        </is>
      </c>
    </row>
    <row r="18">
      <c r="A18" s="141" t="inlineStr">
        <is>
          <t>Replica</t>
        </is>
      </c>
      <c r="B18" s="141" t="inlineStr">
        <is>
          <t>OVI-MAP</t>
        </is>
      </c>
      <c r="C18" s="141" t="inlineStr">
        <is>
          <t>是</t>
        </is>
      </c>
      <c r="D18" s="155" t="n">
        <v>0.363</v>
      </c>
      <c r="E18" s="155" t="n">
        <v>0.22</v>
      </c>
      <c r="F18" s="155" t="n">
        <v>0.508</v>
      </c>
      <c r="G18" s="155" t="n">
        <v>0.767</v>
      </c>
      <c r="H18" s="162" t="n">
        <v>8</v>
      </c>
      <c r="I18" s="162" t="n">
        <v>200</v>
      </c>
      <c r="J18" s="141" t="inlineStr">
        <is>
          <t>0.1m TSDF</t>
        </is>
      </c>
      <c r="K18" s="161" t="inlineStr">
        <is>
          <t>Table 2</t>
        </is>
      </c>
      <c r="L18" s="141" t="inlineStr">
        <is>
          <t>经固定距离kNN映射到GT mesh后逐顶点评测</t>
        </is>
      </c>
    </row>
    <row r="19">
      <c r="A19" s="128" t="inlineStr">
        <is>
          <t>ScanNet</t>
        </is>
      </c>
      <c r="B19" s="128" t="inlineStr">
        <is>
          <t>OVI-MAP</t>
        </is>
      </c>
      <c r="C19" s="128" t="inlineStr">
        <is>
          <t>是</t>
        </is>
      </c>
      <c r="D19" s="99" t="n">
        <v>0.412</v>
      </c>
      <c r="E19" s="99" t="n">
        <v>0.098</v>
      </c>
      <c r="F19" s="99" t="n">
        <v>0.24</v>
      </c>
      <c r="G19" s="99" t="n">
        <v>0.374</v>
      </c>
      <c r="H19" s="105" t="n">
        <v>18</v>
      </c>
      <c r="I19" s="105" t="n">
        <v>200</v>
      </c>
      <c r="J19" s="128" t="inlineStr">
        <is>
          <t>0.1m TSDF</t>
        </is>
      </c>
      <c r="K19" s="163" t="inlineStr">
        <is>
          <t>Table 2</t>
        </is>
      </c>
      <c r="L19" s="128" t="inlineStr">
        <is>
          <t>经固定距离kNN映射到GT mesh后逐顶点评测</t>
        </is>
      </c>
    </row>
    <row r="20"/>
    <row r="21" ht="24" customHeight="1" s="2">
      <c r="A21" s="123" t="inlineStr">
        <is>
          <t>C. 开放词汇语义实例地图主结果（Table 3）</t>
        </is>
      </c>
      <c r="B21" s="158" t="n"/>
      <c r="C21" s="158" t="n"/>
      <c r="D21" s="158" t="n"/>
      <c r="E21" s="158" t="n"/>
      <c r="F21" s="158" t="n"/>
      <c r="G21" s="158" t="n"/>
      <c r="H21" s="158" t="n"/>
      <c r="I21" s="158" t="n"/>
      <c r="J21" s="158" t="n"/>
      <c r="K21" s="158" t="n"/>
      <c r="L21" s="159" t="n"/>
    </row>
    <row r="22" ht="32" customHeight="1" s="2">
      <c r="A22" s="92" t="inlineStr">
        <is>
          <t>数据集</t>
        </is>
      </c>
      <c r="B22" s="92" t="inlineStr">
        <is>
          <t>设置</t>
        </is>
      </c>
      <c r="C22" s="92" t="inlineStr">
        <is>
          <t>Semantic mIoU</t>
        </is>
      </c>
      <c r="D22" s="92" t="inlineStr">
        <is>
          <t>mAcc</t>
        </is>
      </c>
      <c r="E22" s="92" t="inlineStr">
        <is>
          <t>Sem-AP25</t>
        </is>
      </c>
      <c r="F22" s="92" t="inlineStr">
        <is>
          <t>Sem-AP50</t>
        </is>
      </c>
      <c r="G22" s="92" t="inlineStr">
        <is>
          <t>APall</t>
        </is>
      </c>
      <c r="H22" s="92" t="inlineStr">
        <is>
          <t>Online</t>
        </is>
      </c>
      <c r="I22" s="92" t="inlineStr">
        <is>
          <t>标签集</t>
        </is>
      </c>
      <c r="J22" s="92" t="inlineStr">
        <is>
          <t>语义步长</t>
        </is>
      </c>
      <c r="K22" s="92" t="inlineStr">
        <is>
          <t>来源</t>
        </is>
      </c>
      <c r="L22" s="92" t="inlineStr">
        <is>
          <t>说明</t>
        </is>
      </c>
    </row>
    <row r="23">
      <c r="A23" s="141" t="inlineStr">
        <is>
          <t>Replica</t>
        </is>
      </c>
      <c r="B23" s="141" t="inlineStr">
        <is>
          <t>完整处理</t>
        </is>
      </c>
      <c r="C23" s="155" t="n">
        <v>0.265</v>
      </c>
      <c r="D23" s="155" t="n">
        <v>0.322</v>
      </c>
      <c r="E23" s="155" t="n">
        <v>0.345</v>
      </c>
      <c r="F23" s="155" t="n">
        <v>0.212</v>
      </c>
      <c r="G23" s="155" t="n">
        <v>0.08500000000000001</v>
      </c>
      <c r="H23" s="141" t="inlineStr">
        <is>
          <t>是</t>
        </is>
      </c>
      <c r="I23" s="141" t="inlineStr">
        <is>
          <t>Replica 51</t>
        </is>
      </c>
      <c r="J23" s="141" t="inlineStr">
        <is>
          <t>完整处理</t>
        </is>
      </c>
      <c r="K23" s="161" t="inlineStr">
        <is>
          <t>Table 3</t>
        </is>
      </c>
      <c r="L23" s="141" t="inlineStr">
        <is>
          <t>AP同时要求实例范围与语义类别正确</t>
        </is>
      </c>
    </row>
    <row r="24">
      <c r="A24" s="130" t="inlineStr">
        <is>
          <t>Replica</t>
        </is>
      </c>
      <c r="B24" s="130" t="inlineStr">
        <is>
          <t>30 FPS</t>
        </is>
      </c>
      <c r="C24" s="98" t="n">
        <v>0.27</v>
      </c>
      <c r="D24" s="98" t="n">
        <v>0.325</v>
      </c>
      <c r="E24" s="98" t="n">
        <v>0.318</v>
      </c>
      <c r="F24" s="98" t="n">
        <v>0.177</v>
      </c>
      <c r="G24" s="98" t="n">
        <v>0.08</v>
      </c>
      <c r="H24" s="130" t="inlineStr">
        <is>
          <t>是</t>
        </is>
      </c>
      <c r="I24" s="130" t="inlineStr">
        <is>
          <t>Replica 51</t>
        </is>
      </c>
      <c r="J24" s="130" t="inlineStr">
        <is>
          <t>每10帧</t>
        </is>
      </c>
      <c r="K24" s="157" t="inlineStr">
        <is>
          <t>Table 3</t>
        </is>
      </c>
      <c r="L24" s="130" t="inlineStr">
        <is>
          <t>AP同时要求实例范围与语义类别正确</t>
        </is>
      </c>
    </row>
    <row r="25">
      <c r="A25" s="128" t="inlineStr">
        <is>
          <t>ScanNet</t>
        </is>
      </c>
      <c r="B25" s="128" t="inlineStr">
        <is>
          <t>完整处理</t>
        </is>
      </c>
      <c r="C25" s="99" t="n">
        <v>0.175</v>
      </c>
      <c r="D25" s="99" t="n">
        <v>0.276</v>
      </c>
      <c r="E25" s="99" t="n">
        <v>0.234</v>
      </c>
      <c r="F25" s="99" t="n">
        <v>0.157</v>
      </c>
      <c r="G25" s="99" t="n">
        <v>0.07199999999999999</v>
      </c>
      <c r="H25" s="128" t="inlineStr">
        <is>
          <t>是</t>
        </is>
      </c>
      <c r="I25" s="128" t="inlineStr">
        <is>
          <t>ScanNet200</t>
        </is>
      </c>
      <c r="J25" s="128" t="inlineStr">
        <is>
          <t>完整处理</t>
        </is>
      </c>
      <c r="K25" s="163" t="inlineStr">
        <is>
          <t>Table 3</t>
        </is>
      </c>
      <c r="L25" s="128" t="inlineStr">
        <is>
          <t>AP同时要求实例范围与语义类别正确</t>
        </is>
      </c>
    </row>
    <row r="26">
      <c r="A26" s="130" t="inlineStr">
        <is>
          <t>ScanNet</t>
        </is>
      </c>
      <c r="B26" s="130" t="inlineStr">
        <is>
          <t>30 FPS</t>
        </is>
      </c>
      <c r="C26" s="98" t="n">
        <v>0.163</v>
      </c>
      <c r="D26" s="98" t="n">
        <v>0.254</v>
      </c>
      <c r="E26" s="98" t="n">
        <v>0.211</v>
      </c>
      <c r="F26" s="98" t="n">
        <v>0.144</v>
      </c>
      <c r="G26" s="98" t="n">
        <v>0.07000000000000001</v>
      </c>
      <c r="H26" s="130" t="inlineStr">
        <is>
          <t>是</t>
        </is>
      </c>
      <c r="I26" s="130" t="inlineStr">
        <is>
          <t>ScanNet200</t>
        </is>
      </c>
      <c r="J26" s="130" t="inlineStr">
        <is>
          <t>每10帧</t>
        </is>
      </c>
      <c r="K26" s="157" t="inlineStr">
        <is>
          <t>Table 3</t>
        </is>
      </c>
      <c r="L26" s="130" t="inlineStr">
        <is>
          <t>AP同时要求实例范围与语义类别正确</t>
        </is>
      </c>
    </row>
    <row r="27"/>
    <row r="28" ht="24" customHeight="1" s="2">
      <c r="A28" s="123" t="inlineStr">
        <is>
          <t>D. View Coverage 与查询效率（Table 4）</t>
        </is>
      </c>
      <c r="B28" s="158" t="n"/>
      <c r="C28" s="158" t="n"/>
      <c r="D28" s="158" t="n"/>
      <c r="E28" s="158" t="n"/>
      <c r="F28" s="158" t="n"/>
      <c r="G28" s="158" t="n"/>
      <c r="H28" s="158" t="n"/>
      <c r="I28" s="158" t="n"/>
      <c r="J28" s="158" t="n"/>
      <c r="K28" s="158" t="n"/>
      <c r="L28" s="159" t="n"/>
    </row>
    <row r="29" ht="32" customHeight="1" s="2">
      <c r="A29" s="92" t="inlineStr">
        <is>
          <t>数据集</t>
        </is>
      </c>
      <c r="B29" s="92" t="inlineStr">
        <is>
          <t>配置</t>
        </is>
      </c>
      <c r="C29" s="92" t="inlineStr">
        <is>
          <t>mIoU</t>
        </is>
      </c>
      <c r="D29" s="92" t="inlineStr">
        <is>
          <t>mAcc</t>
        </is>
      </c>
      <c r="E29" s="92" t="inlineStr">
        <is>
          <t>Sem-AP25</t>
        </is>
      </c>
      <c r="F29" s="92" t="inlineStr">
        <is>
          <t>Sem-AP50</t>
        </is>
      </c>
      <c r="G29" s="92" t="inlineStr">
        <is>
          <t>AQ↓</t>
        </is>
      </c>
      <c r="H29" s="92" t="inlineStr"/>
      <c r="I29" s="92" t="inlineStr"/>
      <c r="J29" s="92" t="inlineStr"/>
      <c r="K29" s="92" t="inlineStr">
        <is>
          <t>来源</t>
        </is>
      </c>
      <c r="L29" s="92" t="inlineStr">
        <is>
          <t>解释</t>
        </is>
      </c>
    </row>
    <row r="30">
      <c r="A30" s="130" t="inlineStr">
        <is>
          <t>Replica</t>
        </is>
      </c>
      <c r="B30" s="130" t="inlineStr">
        <is>
          <t>View Coverage (Ours)</t>
        </is>
      </c>
      <c r="C30" s="98" t="n">
        <v>0.265</v>
      </c>
      <c r="D30" s="98" t="n">
        <v>0.322</v>
      </c>
      <c r="E30" s="98" t="n">
        <v>0.345</v>
      </c>
      <c r="F30" s="98" t="n">
        <v>0.212</v>
      </c>
      <c r="G30" s="111" t="n">
        <v>8.6</v>
      </c>
      <c r="H30" s="130" t="inlineStr"/>
      <c r="I30" s="130" t="inlineStr"/>
      <c r="J30" s="130" t="inlineStr"/>
      <c r="K30" s="157" t="inlineStr">
        <is>
          <t>Table 4</t>
        </is>
      </c>
      <c r="L30" s="130" t="inlineStr">
        <is>
          <t>AQ为每实例平均VLM查询数</t>
        </is>
      </c>
    </row>
    <row r="31">
      <c r="A31" s="128" t="inlineStr">
        <is>
          <t>ScanNet</t>
        </is>
      </c>
      <c r="B31" s="128" t="inlineStr">
        <is>
          <t>View Coverage (Ours)</t>
        </is>
      </c>
      <c r="C31" s="99" t="n">
        <v>0.175</v>
      </c>
      <c r="D31" s="99" t="n">
        <v>0.272</v>
      </c>
      <c r="E31" s="99" t="n">
        <v>0.234</v>
      </c>
      <c r="F31" s="99" t="n">
        <v>0.157</v>
      </c>
      <c r="G31" s="112" t="n">
        <v>7.6</v>
      </c>
      <c r="H31" s="128" t="inlineStr"/>
      <c r="I31" s="128" t="inlineStr"/>
      <c r="J31" s="128" t="inlineStr"/>
      <c r="K31" s="163" t="inlineStr">
        <is>
          <t>Table 4</t>
        </is>
      </c>
      <c r="L31" s="128" t="inlineStr">
        <is>
          <t>AQ为每实例平均VLM查询数</t>
        </is>
      </c>
    </row>
    <row r="32" ht="40" customHeight="1" s="2">
      <c r="A32" s="124" t="inlineStr">
        <is>
          <t>论文结论</t>
        </is>
      </c>
      <c r="B32" s="124" t="inlineStr"/>
      <c r="C32" s="124" t="n"/>
      <c r="D32" s="124" t="n"/>
      <c r="E32" s="124" t="n"/>
      <c r="F32" s="124" t="n"/>
      <c r="G32" s="124" t="n"/>
      <c r="H32" s="124" t="inlineStr"/>
      <c r="I32" s="124" t="inlineStr"/>
      <c r="J32" s="124" t="inlineStr"/>
      <c r="K32" s="124" t="inlineStr"/>
      <c r="L32" s="124" t="inlineStr">
        <is>
          <t>与Pixel Counting相比，准确率相近，平均VLM查询约减少47%；不能从主结果反推本地API调用量。</t>
        </is>
      </c>
    </row>
    <row r="33"/>
    <row r="34" ht="24" customHeight="1" s="2">
      <c r="A34" s="123" t="inlineStr">
        <is>
          <t>E. 2D实例分割质量消融（Table 5，Replica）</t>
        </is>
      </c>
      <c r="B34" s="158" t="n"/>
      <c r="C34" s="158" t="n"/>
      <c r="D34" s="158" t="n"/>
      <c r="E34" s="158" t="n"/>
      <c r="F34" s="158" t="n"/>
      <c r="G34" s="158" t="n"/>
      <c r="H34" s="158" t="n"/>
      <c r="I34" s="158" t="n"/>
      <c r="J34" s="158" t="n"/>
      <c r="K34" s="158" t="n"/>
      <c r="L34" s="159" t="n"/>
    </row>
    <row r="35" ht="32" customHeight="1" s="2">
      <c r="A35" s="92" t="inlineStr">
        <is>
          <t>2D配置</t>
        </is>
      </c>
      <c r="B35" s="92" t="inlineStr">
        <is>
          <t>Inst mIoU</t>
        </is>
      </c>
      <c r="C35" s="92" t="inlineStr">
        <is>
          <t>Inst AP75</t>
        </is>
      </c>
      <c r="D35" s="92" t="inlineStr">
        <is>
          <t>Inst AP50</t>
        </is>
      </c>
      <c r="E35" s="92" t="inlineStr">
        <is>
          <t>Sem mIoU</t>
        </is>
      </c>
      <c r="F35" s="92" t="inlineStr">
        <is>
          <t>mAcc</t>
        </is>
      </c>
      <c r="G35" s="92" t="inlineStr">
        <is>
          <t>Sem AP25</t>
        </is>
      </c>
      <c r="H35" s="92" t="inlineStr">
        <is>
          <t>Sem AP50</t>
        </is>
      </c>
      <c r="I35" s="92" t="inlineStr"/>
      <c r="J35" s="92" t="inlineStr"/>
      <c r="K35" s="92" t="inlineStr">
        <is>
          <t>来源</t>
        </is>
      </c>
      <c r="L35" s="92" t="inlineStr">
        <is>
          <t>解释</t>
        </is>
      </c>
    </row>
    <row r="36">
      <c r="A36" s="130" t="inlineStr">
        <is>
          <t>SAM2</t>
        </is>
      </c>
      <c r="B36" s="98" t="n">
        <v>0.366</v>
      </c>
      <c r="C36" s="98" t="n">
        <v>0.142</v>
      </c>
      <c r="D36" s="98" t="n">
        <v>0.278</v>
      </c>
      <c r="E36" s="98" t="n">
        <v>0.202</v>
      </c>
      <c r="F36" s="98" t="n">
        <v>0.264</v>
      </c>
      <c r="G36" s="98" t="n">
        <v>0.262</v>
      </c>
      <c r="H36" s="98" t="n">
        <v>0.186</v>
      </c>
      <c r="I36" s="130" t="inlineStr"/>
      <c r="J36" s="130" t="inlineStr"/>
      <c r="K36" s="157" t="inlineStr">
        <is>
          <t>Table 5</t>
        </is>
      </c>
      <c r="L36" s="130" t="inlineStr"/>
    </row>
    <row r="37">
      <c r="A37" s="139" t="inlineStr">
        <is>
          <t>CropFormer (Ours)</t>
        </is>
      </c>
      <c r="B37" s="164" t="n">
        <v>0.363</v>
      </c>
      <c r="C37" s="164" t="n">
        <v>0.22</v>
      </c>
      <c r="D37" s="164" t="n">
        <v>0.508</v>
      </c>
      <c r="E37" s="164" t="n">
        <v>0.269</v>
      </c>
      <c r="F37" s="164" t="n">
        <v>0.332</v>
      </c>
      <c r="G37" s="164" t="n">
        <v>0.364</v>
      </c>
      <c r="H37" s="164" t="n">
        <v>0.22</v>
      </c>
      <c r="I37" s="139" t="inlineStr"/>
      <c r="J37" s="139" t="inlineStr"/>
      <c r="K37" s="165" t="inlineStr">
        <is>
          <t>Table 5</t>
        </is>
      </c>
      <c r="L37" s="139" t="inlineStr"/>
    </row>
    <row r="38">
      <c r="A38" s="141" t="inlineStr">
        <is>
          <t>GT 2D Inst. Seg.</t>
        </is>
      </c>
      <c r="B38" s="155" t="n">
        <v>0.539</v>
      </c>
      <c r="C38" s="155" t="n">
        <v>0.388</v>
      </c>
      <c r="D38" s="155" t="n">
        <v>0.657</v>
      </c>
      <c r="E38" s="155" t="n">
        <v>0.266</v>
      </c>
      <c r="F38" s="155" t="n">
        <v>0.338</v>
      </c>
      <c r="G38" s="155" t="n">
        <v>0.361</v>
      </c>
      <c r="H38" s="155" t="n">
        <v>0.273</v>
      </c>
      <c r="I38" s="141" t="inlineStr"/>
      <c r="J38" s="141" t="inlineStr"/>
      <c r="K38" s="161" t="inlineStr">
        <is>
          <t>Table 5</t>
        </is>
      </c>
      <c r="L38" s="141" t="inlineStr">
        <is>
          <t>GT项是Oracle上限</t>
        </is>
      </c>
    </row>
    <row r="39">
      <c r="A39" s="141" t="inlineStr">
        <is>
          <t>GT Instances Map</t>
        </is>
      </c>
      <c r="B39" s="155" t="n">
        <v>1</v>
      </c>
      <c r="C39" s="155" t="n">
        <v>1</v>
      </c>
      <c r="D39" s="155" t="n">
        <v>1</v>
      </c>
      <c r="E39" s="155" t="n">
        <v>0.38</v>
      </c>
      <c r="F39" s="155" t="n">
        <v>0.503</v>
      </c>
      <c r="G39" s="155" t="n">
        <v>0.376</v>
      </c>
      <c r="H39" s="155" t="n">
        <v>0.376</v>
      </c>
      <c r="I39" s="141" t="inlineStr"/>
      <c r="J39" s="141" t="inlineStr"/>
      <c r="K39" s="161" t="inlineStr">
        <is>
          <t>Table 5</t>
        </is>
      </c>
      <c r="L39" s="141" t="inlineStr">
        <is>
          <t>GT项是Oracle上限</t>
        </is>
      </c>
    </row>
    <row r="40"/>
    <row r="41" ht="24" customHeight="1" s="2">
      <c r="A41" s="123" t="inlineStr">
        <is>
          <t>F. 语义特征融合消融（Table 6，Replica）</t>
        </is>
      </c>
      <c r="B41" s="158" t="n"/>
      <c r="C41" s="158" t="n"/>
      <c r="D41" s="158" t="n"/>
      <c r="E41" s="158" t="n"/>
      <c r="F41" s="158" t="n"/>
      <c r="G41" s="158" t="n"/>
      <c r="H41" s="158" t="n"/>
      <c r="I41" s="158" t="n"/>
      <c r="J41" s="158" t="n"/>
      <c r="K41" s="158" t="n"/>
      <c r="L41" s="159" t="n"/>
    </row>
    <row r="42" ht="32" customHeight="1" s="2">
      <c r="A42" s="92" t="inlineStr">
        <is>
          <t>融合方式</t>
        </is>
      </c>
      <c r="B42" s="92" t="inlineStr">
        <is>
          <t>mIoU</t>
        </is>
      </c>
      <c r="C42" s="92" t="inlineStr">
        <is>
          <t>mAcc</t>
        </is>
      </c>
      <c r="D42" s="92" t="inlineStr">
        <is>
          <t>Sem AP25</t>
        </is>
      </c>
      <c r="E42" s="92" t="inlineStr">
        <is>
          <t>Sem AP50</t>
        </is>
      </c>
      <c r="F42" s="92" t="inlineStr">
        <is>
          <t>APall</t>
        </is>
      </c>
      <c r="G42" s="92" t="inlineStr"/>
      <c r="H42" s="92" t="inlineStr"/>
      <c r="I42" s="92" t="inlineStr"/>
      <c r="J42" s="92" t="inlineStr"/>
      <c r="K42" s="92" t="inlineStr">
        <is>
          <t>来源</t>
        </is>
      </c>
      <c r="L42" s="92" t="inlineStr">
        <is>
          <t>说明</t>
        </is>
      </c>
    </row>
    <row r="43">
      <c r="A43" s="128" t="inlineStr">
        <is>
          <t>Averaging</t>
        </is>
      </c>
      <c r="B43" s="99" t="n">
        <v>0.265</v>
      </c>
      <c r="C43" s="99" t="n">
        <v>0.318</v>
      </c>
      <c r="D43" s="99" t="n">
        <v>0.332</v>
      </c>
      <c r="E43" s="99" t="n">
        <v>0.198</v>
      </c>
      <c r="F43" s="99" t="n">
        <v>0.083</v>
      </c>
      <c r="G43" s="128" t="inlineStr"/>
      <c r="H43" s="128" t="inlineStr"/>
      <c r="I43" s="128" t="inlineStr"/>
      <c r="J43" s="128" t="inlineStr"/>
      <c r="K43" s="163" t="inlineStr">
        <is>
          <t>Table 6</t>
        </is>
      </c>
      <c r="L43" s="128" t="inlineStr"/>
    </row>
    <row r="44">
      <c r="A44" s="139" t="inlineStr">
        <is>
          <t>Weighted by Pixel Count (Ours)</t>
        </is>
      </c>
      <c r="B44" s="164" t="n">
        <v>0.269</v>
      </c>
      <c r="C44" s="164" t="n">
        <v>0.332</v>
      </c>
      <c r="D44" s="164" t="n">
        <v>0.364</v>
      </c>
      <c r="E44" s="164" t="n">
        <v>0.22</v>
      </c>
      <c r="F44" s="164" t="n">
        <v>0.08599999999999999</v>
      </c>
      <c r="G44" s="139" t="inlineStr"/>
      <c r="H44" s="139" t="inlineStr"/>
      <c r="I44" s="139" t="inlineStr"/>
      <c r="J44" s="139" t="inlineStr"/>
      <c r="K44" s="165" t="inlineStr">
        <is>
          <t>Table 6</t>
        </is>
      </c>
      <c r="L44" s="139" t="inlineStr"/>
    </row>
    <row r="45">
      <c r="A45" s="128" t="inlineStr">
        <is>
          <t>Cluster - Max Cosine</t>
        </is>
      </c>
      <c r="B45" s="99" t="n">
        <v>0.251</v>
      </c>
      <c r="C45" s="99" t="n">
        <v>0.319</v>
      </c>
      <c r="D45" s="99" t="n">
        <v>0.331</v>
      </c>
      <c r="E45" s="99" t="n">
        <v>0.197</v>
      </c>
      <c r="F45" s="99" t="n">
        <v>0.08400000000000001</v>
      </c>
      <c r="G45" s="128" t="inlineStr"/>
      <c r="H45" s="128" t="inlineStr"/>
      <c r="I45" s="128" t="inlineStr"/>
      <c r="J45" s="128" t="inlineStr"/>
      <c r="K45" s="163" t="inlineStr">
        <is>
          <t>Table 6</t>
        </is>
      </c>
      <c r="L45" s="128" t="inlineStr"/>
    </row>
    <row r="46">
      <c r="A46" s="130" t="inlineStr">
        <is>
          <t>Cluster - Min L1</t>
        </is>
      </c>
      <c r="B46" s="98" t="n">
        <v>0.248</v>
      </c>
      <c r="C46" s="98" t="n">
        <v>0.312</v>
      </c>
      <c r="D46" s="98" t="n">
        <v>0.328</v>
      </c>
      <c r="E46" s="98" t="n">
        <v>0.195</v>
      </c>
      <c r="F46" s="98" t="n">
        <v>0.083</v>
      </c>
      <c r="G46" s="130" t="inlineStr"/>
      <c r="H46" s="130" t="inlineStr"/>
      <c r="I46" s="130" t="inlineStr"/>
      <c r="J46" s="130" t="inlineStr"/>
      <c r="K46" s="157" t="inlineStr">
        <is>
          <t>Table 6</t>
        </is>
      </c>
      <c r="L46" s="130" t="inlineStr"/>
    </row>
    <row r="47"/>
    <row r="48" ht="24" customHeight="1" s="2">
      <c r="A48" s="123" t="inlineStr">
        <is>
          <t>G. VLM骨干消融（Table 7，Replica）</t>
        </is>
      </c>
      <c r="B48" s="158" t="n"/>
      <c r="C48" s="158" t="n"/>
      <c r="D48" s="158" t="n"/>
      <c r="E48" s="158" t="n"/>
      <c r="F48" s="158" t="n"/>
      <c r="G48" s="158" t="n"/>
      <c r="H48" s="158" t="n"/>
      <c r="I48" s="158" t="n"/>
      <c r="J48" s="158" t="n"/>
      <c r="K48" s="158" t="n"/>
      <c r="L48" s="159" t="n"/>
    </row>
    <row r="49" ht="32" customHeight="1" s="2">
      <c r="A49" s="92" t="inlineStr">
        <is>
          <t>VLM</t>
        </is>
      </c>
      <c r="B49" s="92" t="inlineStr">
        <is>
          <t>mIoU</t>
        </is>
      </c>
      <c r="C49" s="92" t="inlineStr">
        <is>
          <t>mAcc</t>
        </is>
      </c>
      <c r="D49" s="92" t="inlineStr">
        <is>
          <t>Sem AP25</t>
        </is>
      </c>
      <c r="E49" s="92" t="inlineStr">
        <is>
          <t>Sem AP50</t>
        </is>
      </c>
      <c r="F49" s="92" t="inlineStr">
        <is>
          <t>APall</t>
        </is>
      </c>
      <c r="G49" s="92" t="inlineStr">
        <is>
          <t>参数量</t>
        </is>
      </c>
      <c r="H49" s="92" t="inlineStr"/>
      <c r="I49" s="92" t="inlineStr"/>
      <c r="J49" s="92" t="inlineStr"/>
      <c r="K49" s="92" t="inlineStr">
        <is>
          <t>来源</t>
        </is>
      </c>
      <c r="L49" s="92" t="inlineStr">
        <is>
          <t>说明</t>
        </is>
      </c>
    </row>
    <row r="50">
      <c r="A50" s="130" t="inlineStr">
        <is>
          <t>clip-vit-large-patch14-336</t>
        </is>
      </c>
      <c r="B50" s="98" t="n">
        <v>0.154</v>
      </c>
      <c r="C50" s="98" t="n">
        <v>0.247</v>
      </c>
      <c r="D50" s="98" t="n">
        <v>0.206</v>
      </c>
      <c r="E50" s="98" t="n">
        <v>0.149</v>
      </c>
      <c r="F50" s="98" t="n">
        <v>0.067</v>
      </c>
      <c r="G50" s="130" t="inlineStr">
        <is>
          <t>0.4B</t>
        </is>
      </c>
      <c r="H50" s="130" t="inlineStr"/>
      <c r="I50" s="130" t="inlineStr"/>
      <c r="J50" s="130" t="inlineStr"/>
      <c r="K50" s="157" t="inlineStr">
        <is>
          <t>Table 7</t>
        </is>
      </c>
      <c r="L50" s="130" t="inlineStr"/>
    </row>
    <row r="51">
      <c r="A51" s="139" t="inlineStr">
        <is>
          <t>siglip-large-patch16-384 (Ours)</t>
        </is>
      </c>
      <c r="B51" s="164" t="n">
        <v>0.269</v>
      </c>
      <c r="C51" s="164" t="n">
        <v>0.332</v>
      </c>
      <c r="D51" s="164" t="n">
        <v>0.364</v>
      </c>
      <c r="E51" s="164" t="n">
        <v>0.22</v>
      </c>
      <c r="F51" s="164" t="n">
        <v>0.08599999999999999</v>
      </c>
      <c r="G51" s="139" t="inlineStr">
        <is>
          <t>0.7B</t>
        </is>
      </c>
      <c r="H51" s="139" t="inlineStr"/>
      <c r="I51" s="139" t="inlineStr"/>
      <c r="J51" s="139" t="inlineStr"/>
      <c r="K51" s="165" t="inlineStr">
        <is>
          <t>Table 7</t>
        </is>
      </c>
      <c r="L51" s="139" t="inlineStr">
        <is>
          <t>论文采用该模型</t>
        </is>
      </c>
    </row>
    <row r="52">
      <c r="A52" s="130" t="inlineStr">
        <is>
          <t>siglip-so400m-patch14-384</t>
        </is>
      </c>
      <c r="B52" s="98" t="n">
        <v>0.252</v>
      </c>
      <c r="C52" s="98" t="n">
        <v>0.338</v>
      </c>
      <c r="D52" s="98" t="n">
        <v>0.324</v>
      </c>
      <c r="E52" s="98" t="n">
        <v>0.191</v>
      </c>
      <c r="F52" s="98" t="n">
        <v>0.097</v>
      </c>
      <c r="G52" s="130" t="inlineStr">
        <is>
          <t>0.9B</t>
        </is>
      </c>
      <c r="H52" s="130" t="inlineStr"/>
      <c r="I52" s="130" t="inlineStr"/>
      <c r="J52" s="130" t="inlineStr"/>
      <c r="K52" s="157" t="inlineStr">
        <is>
          <t>Table 7</t>
        </is>
      </c>
      <c r="L52" s="130" t="inlineStr"/>
    </row>
    <row r="53">
      <c r="A53" s="128" t="inlineStr">
        <is>
          <t>siglip2-large-patch16-384</t>
        </is>
      </c>
      <c r="B53" s="99" t="n">
        <v>0.267</v>
      </c>
      <c r="C53" s="99" t="n">
        <v>0.339</v>
      </c>
      <c r="D53" s="99" t="n">
        <v>0.359</v>
      </c>
      <c r="E53" s="99" t="n">
        <v>0.222</v>
      </c>
      <c r="F53" s="99" t="n">
        <v>0.104</v>
      </c>
      <c r="G53" s="128" t="inlineStr">
        <is>
          <t>0.9B</t>
        </is>
      </c>
      <c r="H53" s="128" t="inlineStr"/>
      <c r="I53" s="128" t="inlineStr"/>
      <c r="J53" s="128" t="inlineStr"/>
      <c r="K53" s="163" t="inlineStr">
        <is>
          <t>Table 7</t>
        </is>
      </c>
      <c r="L53" s="128" t="inlineStr"/>
    </row>
    <row r="54">
      <c r="A54" s="130" t="inlineStr">
        <is>
          <t>siglip2-so400m-patch14-384</t>
        </is>
      </c>
      <c r="B54" s="98" t="n">
        <v>0.264</v>
      </c>
      <c r="C54" s="98" t="n">
        <v>0.343</v>
      </c>
      <c r="D54" s="98" t="n">
        <v>0.364</v>
      </c>
      <c r="E54" s="98" t="n">
        <v>0.231</v>
      </c>
      <c r="F54" s="98" t="n">
        <v>0.094</v>
      </c>
      <c r="G54" s="130" t="inlineStr">
        <is>
          <t>1B</t>
        </is>
      </c>
      <c r="H54" s="130" t="inlineStr"/>
      <c r="I54" s="130" t="inlineStr"/>
      <c r="J54" s="130" t="inlineStr"/>
      <c r="K54" s="157" t="inlineStr">
        <is>
          <t>Table 7</t>
        </is>
      </c>
      <c r="L54" s="130" t="inlineStr"/>
    </row>
    <row r="55"/>
    <row r="56" ht="24" customHeight="1" s="2">
      <c r="A56" s="123" t="inlineStr">
        <is>
          <t>H. 模块运行时间（Table 8）</t>
        </is>
      </c>
      <c r="B56" s="158" t="n"/>
      <c r="C56" s="158" t="n"/>
      <c r="D56" s="158" t="n"/>
      <c r="E56" s="158" t="n"/>
      <c r="F56" s="158" t="n"/>
      <c r="G56" s="158" t="n"/>
      <c r="H56" s="158" t="n"/>
      <c r="I56" s="158" t="n"/>
      <c r="J56" s="158" t="n"/>
      <c r="K56" s="158" t="n"/>
      <c r="L56" s="159" t="n"/>
    </row>
    <row r="57" ht="32" customHeight="1" s="2">
      <c r="A57" s="92" t="inlineStr">
        <is>
          <t>方法</t>
        </is>
      </c>
      <c r="B57" s="92" t="inlineStr">
        <is>
          <t>模块</t>
        </is>
      </c>
      <c r="C57" s="92" t="inlineStr">
        <is>
          <t>Runtime/Frame (ms)</t>
        </is>
      </c>
      <c r="D57" s="92" t="inlineStr">
        <is>
          <t>硬件</t>
        </is>
      </c>
      <c r="E57" s="92" t="inlineStr">
        <is>
          <t>执行方式</t>
        </is>
      </c>
      <c r="F57" s="92" t="inlineStr">
        <is>
          <t>可相加为总延迟</t>
        </is>
      </c>
      <c r="G57" s="92" t="inlineStr"/>
      <c r="H57" s="92" t="inlineStr"/>
      <c r="I57" s="92" t="inlineStr"/>
      <c r="J57" s="92" t="inlineStr"/>
      <c r="K57" s="92" t="inlineStr">
        <is>
          <t>来源</t>
        </is>
      </c>
      <c r="L57" s="92" t="inlineStr">
        <is>
          <t>说明</t>
        </is>
      </c>
    </row>
    <row r="58">
      <c r="A58" s="130" t="inlineStr">
        <is>
          <t>OVI-MAP</t>
        </is>
      </c>
      <c r="B58" s="130" t="inlineStr">
        <is>
          <t>RGB Segmentation</t>
        </is>
      </c>
      <c r="C58" s="111" t="n">
        <v>964.8</v>
      </c>
      <c r="D58" s="130" t="inlineStr">
        <is>
          <t>RTX3090 + i7-12700K</t>
        </is>
      </c>
      <c r="E58" s="130" t="inlineStr">
        <is>
          <t>独立线程/关键帧</t>
        </is>
      </c>
      <c r="F58" s="130" t="inlineStr">
        <is>
          <t>否</t>
        </is>
      </c>
      <c r="G58" s="130" t="inlineStr"/>
      <c r="H58" s="130" t="inlineStr"/>
      <c r="I58" s="130" t="inlineStr"/>
      <c r="J58" s="130" t="inlineStr"/>
      <c r="K58" s="157" t="inlineStr">
        <is>
          <t>Table 8</t>
        </is>
      </c>
      <c r="L58" s="130" t="inlineStr">
        <is>
          <t>并行且跳帧，模块耗时不能直接求和</t>
        </is>
      </c>
    </row>
    <row r="59">
      <c r="A59" s="128" t="inlineStr">
        <is>
          <t>OVI-MAP</t>
        </is>
      </c>
      <c r="B59" s="128" t="inlineStr">
        <is>
          <t>Depth Segmentation</t>
        </is>
      </c>
      <c r="C59" s="112" t="n">
        <v>88.40000000000001</v>
      </c>
      <c r="D59" s="128" t="inlineStr">
        <is>
          <t>RTX3090 + i7-12700K</t>
        </is>
      </c>
      <c r="E59" s="128" t="inlineStr">
        <is>
          <t>独立线程/关键帧</t>
        </is>
      </c>
      <c r="F59" s="128" t="inlineStr">
        <is>
          <t>否</t>
        </is>
      </c>
      <c r="G59" s="128" t="inlineStr"/>
      <c r="H59" s="128" t="inlineStr"/>
      <c r="I59" s="128" t="inlineStr"/>
      <c r="J59" s="128" t="inlineStr"/>
      <c r="K59" s="163" t="inlineStr">
        <is>
          <t>Table 8</t>
        </is>
      </c>
      <c r="L59" s="128" t="inlineStr">
        <is>
          <t>并行且跳帧，模块耗时不能直接求和</t>
        </is>
      </c>
    </row>
    <row r="60">
      <c r="A60" s="130" t="inlineStr">
        <is>
          <t>OVI-MAP</t>
        </is>
      </c>
      <c r="B60" s="130" t="inlineStr">
        <is>
          <t>2D-3D Association</t>
        </is>
      </c>
      <c r="C60" s="111" t="n">
        <v>76.3</v>
      </c>
      <c r="D60" s="130" t="inlineStr">
        <is>
          <t>RTX3090 + i7-12700K</t>
        </is>
      </c>
      <c r="E60" s="130" t="inlineStr">
        <is>
          <t>独立线程/关键帧</t>
        </is>
      </c>
      <c r="F60" s="130" t="inlineStr">
        <is>
          <t>否</t>
        </is>
      </c>
      <c r="G60" s="130" t="inlineStr"/>
      <c r="H60" s="130" t="inlineStr"/>
      <c r="I60" s="130" t="inlineStr"/>
      <c r="J60" s="130" t="inlineStr"/>
      <c r="K60" s="157" t="inlineStr">
        <is>
          <t>Table 8</t>
        </is>
      </c>
      <c r="L60" s="130" t="inlineStr">
        <is>
          <t>并行且跳帧，模块耗时不能直接求和</t>
        </is>
      </c>
    </row>
    <row r="61">
      <c r="A61" s="128" t="inlineStr">
        <is>
          <t>OVI-MAP</t>
        </is>
      </c>
      <c r="B61" s="128" t="inlineStr">
        <is>
          <t>View Selection</t>
        </is>
      </c>
      <c r="C61" s="112" t="n">
        <v>140.8</v>
      </c>
      <c r="D61" s="128" t="inlineStr">
        <is>
          <t>RTX3090 + i7-12700K</t>
        </is>
      </c>
      <c r="E61" s="128" t="inlineStr">
        <is>
          <t>独立线程/关键帧</t>
        </is>
      </c>
      <c r="F61" s="128" t="inlineStr">
        <is>
          <t>否</t>
        </is>
      </c>
      <c r="G61" s="128" t="inlineStr"/>
      <c r="H61" s="128" t="inlineStr"/>
      <c r="I61" s="128" t="inlineStr"/>
      <c r="J61" s="128" t="inlineStr"/>
      <c r="K61" s="163" t="inlineStr">
        <is>
          <t>Table 8</t>
        </is>
      </c>
      <c r="L61" s="128" t="inlineStr">
        <is>
          <t>并行且跳帧，模块耗时不能直接求和</t>
        </is>
      </c>
    </row>
    <row r="62">
      <c r="A62" s="130" t="inlineStr">
        <is>
          <t>OVI-MAP</t>
        </is>
      </c>
      <c r="B62" s="130" t="inlineStr">
        <is>
          <t>Feature Extraction</t>
        </is>
      </c>
      <c r="C62" s="111" t="n">
        <v>131.3</v>
      </c>
      <c r="D62" s="130" t="inlineStr">
        <is>
          <t>RTX3090 + i7-12700K</t>
        </is>
      </c>
      <c r="E62" s="130" t="inlineStr">
        <is>
          <t>独立线程/关键帧</t>
        </is>
      </c>
      <c r="F62" s="130" t="inlineStr">
        <is>
          <t>否</t>
        </is>
      </c>
      <c r="G62" s="130" t="inlineStr"/>
      <c r="H62" s="130" t="inlineStr"/>
      <c r="I62" s="130" t="inlineStr"/>
      <c r="J62" s="130" t="inlineStr"/>
      <c r="K62" s="157" t="inlineStr">
        <is>
          <t>Table 8</t>
        </is>
      </c>
      <c r="L62" s="130" t="inlineStr">
        <is>
          <t>并行且跳帧，模块耗时不能直接求和</t>
        </is>
      </c>
    </row>
    <row r="63"/>
    <row r="64" ht="24" customHeight="1" s="2">
      <c r="A64" s="123" t="inlineStr">
        <is>
          <t>I. 与本项目的关系和建议</t>
        </is>
      </c>
      <c r="B64" s="158" t="n"/>
      <c r="C64" s="158" t="n"/>
      <c r="D64" s="158" t="n"/>
      <c r="E64" s="158" t="n"/>
      <c r="F64" s="158" t="n"/>
      <c r="G64" s="158" t="n"/>
      <c r="H64" s="158" t="n"/>
      <c r="I64" s="158" t="n"/>
      <c r="J64" s="158" t="n"/>
      <c r="K64" s="158" t="n"/>
      <c r="L64" s="159" t="n"/>
    </row>
    <row r="65" ht="32" customHeight="1" s="2">
      <c r="A65" s="92" t="inlineStr">
        <is>
          <t>问题</t>
        </is>
      </c>
      <c r="B65" s="92" t="inlineStr">
        <is>
          <t>判断</t>
        </is>
      </c>
      <c r="C65" s="92" t="inlineStr">
        <is>
          <t>建议</t>
        </is>
      </c>
      <c r="D65" s="92" t="inlineStr"/>
      <c r="E65" s="92" t="inlineStr"/>
      <c r="F65" s="92" t="inlineStr"/>
      <c r="G65" s="92" t="inlineStr"/>
      <c r="H65" s="92" t="inlineStr"/>
      <c r="I65" s="92" t="inlineStr"/>
      <c r="J65" s="92" t="inlineStr"/>
      <c r="K65" s="92" t="inlineStr">
        <is>
          <t>来源</t>
        </is>
      </c>
      <c r="L65" s="92" t="inlineStr">
        <is>
          <t>边界</t>
        </is>
      </c>
    </row>
    <row r="66" ht="42" customHeight="1" s="2">
      <c r="A66" s="141" t="inlineStr">
        <is>
          <t>OVI-MAP是否给出ConceptGraphs数值？</t>
        </is>
      </c>
      <c r="B66" s="141" t="inlineStr">
        <is>
          <t>没有</t>
        </is>
      </c>
      <c r="C66" s="141" t="inlineStr">
        <is>
          <t>不得将OVI-MAP结果写成ConceptGraphs基线</t>
        </is>
      </c>
      <c r="D66" s="141" t="inlineStr"/>
      <c r="E66" s="141" t="inlineStr"/>
      <c r="F66" s="141" t="inlineStr"/>
      <c r="G66" s="141" t="inlineStr"/>
      <c r="H66" s="141" t="inlineStr"/>
      <c r="I66" s="141" t="inlineStr"/>
      <c r="J66" s="141" t="inlineStr"/>
      <c r="K66" s="161" t="inlineStr">
        <is>
          <t>论文</t>
        </is>
      </c>
      <c r="L66" s="141" t="inlineStr">
        <is>
          <t>全文无ConceptGraphs；仅有ConceptFusion</t>
        </is>
      </c>
    </row>
    <row r="67" ht="42" customHeight="1" s="2">
      <c r="A67" s="128" t="inlineStr">
        <is>
          <t>最适合当前false split/merge研究的指标？</t>
        </is>
      </c>
      <c r="B67" s="128" t="inlineStr">
        <is>
          <t>Inst mIoU + AP25/50/75</t>
        </is>
      </c>
      <c r="C67" s="128" t="inlineStr">
        <is>
          <t>按GT-mesh投影协议新增正式评测</t>
        </is>
      </c>
      <c r="D67" s="128" t="inlineStr"/>
      <c r="E67" s="128" t="inlineStr"/>
      <c r="F67" s="128" t="inlineStr"/>
      <c r="G67" s="128" t="inlineStr"/>
      <c r="H67" s="128" t="inlineStr"/>
      <c r="I67" s="128" t="inlineStr"/>
      <c r="J67" s="128" t="inlineStr"/>
      <c r="K67" s="163" t="inlineStr">
        <is>
          <t>论文</t>
        </is>
      </c>
      <c r="L67" s="128" t="inlineStr">
        <is>
          <t>仍需保留修复成功率/时间一致性专项指标</t>
        </is>
      </c>
    </row>
    <row r="68" ht="42" customHeight="1" s="2">
      <c r="A68" s="130" t="inlineStr">
        <is>
          <t>语义修复应该补什么？</t>
        </is>
      </c>
      <c r="B68" s="130" t="inlineStr">
        <is>
          <t>Semantic mIoU/mAcc + Sem-AP</t>
        </is>
      </c>
      <c r="C68" s="130" t="inlineStr">
        <is>
          <t>结构稳定后再算；预先冻结标签映射</t>
        </is>
      </c>
      <c r="D68" s="130" t="inlineStr"/>
      <c r="E68" s="130" t="inlineStr"/>
      <c r="F68" s="130" t="inlineStr"/>
      <c r="G68" s="130" t="inlineStr"/>
      <c r="H68" s="130" t="inlineStr"/>
      <c r="I68" s="130" t="inlineStr"/>
      <c r="J68" s="130" t="inlineStr"/>
      <c r="K68" s="157" t="inlineStr">
        <is>
          <t>论文</t>
        </is>
      </c>
      <c r="L68" s="130" t="inlineStr">
        <is>
          <t>desk lamp/lamp等本体差异会改变语义结果</t>
        </is>
      </c>
    </row>
    <row r="69" ht="42" customHeight="1" s="2">
      <c r="A69" s="128" t="inlineStr">
        <is>
          <t>效率应该补什么？</t>
        </is>
      </c>
      <c r="B69" s="128" t="inlineStr">
        <is>
          <t>分模块Runtime + AQ</t>
        </is>
      </c>
      <c r="C69" s="128" t="inlineStr">
        <is>
          <t>记录关键帧频率、并发方式和query定义</t>
        </is>
      </c>
      <c r="D69" s="128" t="inlineStr"/>
      <c r="E69" s="128" t="inlineStr"/>
      <c r="F69" s="128" t="inlineStr"/>
      <c r="G69" s="128" t="inlineStr"/>
      <c r="H69" s="128" t="inlineStr"/>
      <c r="I69" s="128" t="inlineStr"/>
      <c r="J69" s="128" t="inlineStr"/>
      <c r="K69" s="163" t="inlineStr">
        <is>
          <t>论文</t>
        </is>
      </c>
      <c r="L69" s="128" t="inlineStr">
        <is>
          <t>不能只报总时长或把线程耗时相加</t>
        </is>
      </c>
    </row>
    <row r="70"/>
    <row r="71">
      <c r="A71" s="130" t="inlineStr">
        <is>
          <t>论文</t>
        </is>
      </c>
      <c r="B71" s="157" t="inlineStr">
        <is>
          <t>https://arxiv.org/html/2603.26541v1</t>
        </is>
      </c>
      <c r="C71" s="130" t="inlineStr"/>
      <c r="D71" s="130" t="inlineStr"/>
      <c r="E71" s="130" t="inlineStr"/>
      <c r="F71" s="130" t="inlineStr"/>
      <c r="G71" s="130" t="inlineStr"/>
      <c r="H71" s="130" t="inlineStr"/>
      <c r="I71" s="130" t="inlineStr"/>
      <c r="J71" s="130" t="inlineStr"/>
      <c r="K71" s="130" t="inlineStr"/>
      <c r="L71" s="130" t="inlineStr">
        <is>
          <t>访问日期：2026-08-31</t>
        </is>
      </c>
    </row>
    <row r="72">
      <c r="A72" s="130" t="inlineStr">
        <is>
          <t>项目页</t>
        </is>
      </c>
      <c r="B72" s="157" t="inlineStr">
        <is>
          <t>https://ovi-map.github.io/</t>
        </is>
      </c>
      <c r="C72" s="130" t="inlineStr"/>
      <c r="D72" s="130" t="inlineStr"/>
      <c r="E72" s="130" t="inlineStr"/>
      <c r="F72" s="130" t="inlineStr"/>
      <c r="G72" s="130" t="inlineStr"/>
      <c r="H72" s="130" t="inlineStr"/>
      <c r="I72" s="130" t="inlineStr"/>
      <c r="J72" s="130" t="inlineStr"/>
      <c r="K72" s="130" t="inlineStr"/>
      <c r="L72" s="130" t="inlineStr"/>
    </row>
  </sheetData>
  <mergeCells count="11">
    <mergeCell ref="A2:L2"/>
    <mergeCell ref="A16:L16"/>
    <mergeCell ref="A64:L64"/>
    <mergeCell ref="A41:L41"/>
    <mergeCell ref="A1:L1"/>
    <mergeCell ref="A28:L28"/>
    <mergeCell ref="A56:L56"/>
    <mergeCell ref="A21:L21"/>
    <mergeCell ref="A34:L34"/>
    <mergeCell ref="A4:L4"/>
    <mergeCell ref="A48:L48"/>
  </mergeCells>
  <hyperlinks>
    <hyperlink xmlns:r="http://schemas.openxmlformats.org/officeDocument/2006/relationships" ref="A2" r:id="rId1"/>
    <hyperlink xmlns:r="http://schemas.openxmlformats.org/officeDocument/2006/relationships" ref="K18" r:id="rId2"/>
    <hyperlink xmlns:r="http://schemas.openxmlformats.org/officeDocument/2006/relationships" ref="K19" r:id="rId3"/>
    <hyperlink xmlns:r="http://schemas.openxmlformats.org/officeDocument/2006/relationships" ref="K23" r:id="rId4"/>
    <hyperlink xmlns:r="http://schemas.openxmlformats.org/officeDocument/2006/relationships" ref="K24" r:id="rId5"/>
    <hyperlink xmlns:r="http://schemas.openxmlformats.org/officeDocument/2006/relationships" ref="K25" r:id="rId6"/>
    <hyperlink xmlns:r="http://schemas.openxmlformats.org/officeDocument/2006/relationships" ref="K26" r:id="rId7"/>
    <hyperlink xmlns:r="http://schemas.openxmlformats.org/officeDocument/2006/relationships" ref="K30" r:id="rId8"/>
    <hyperlink xmlns:r="http://schemas.openxmlformats.org/officeDocument/2006/relationships" ref="K31" r:id="rId9"/>
    <hyperlink xmlns:r="http://schemas.openxmlformats.org/officeDocument/2006/relationships" ref="K36" r:id="rId10"/>
    <hyperlink xmlns:r="http://schemas.openxmlformats.org/officeDocument/2006/relationships" ref="K37" r:id="rId11"/>
    <hyperlink xmlns:r="http://schemas.openxmlformats.org/officeDocument/2006/relationships" ref="K38" r:id="rId12"/>
    <hyperlink xmlns:r="http://schemas.openxmlformats.org/officeDocument/2006/relationships" ref="K39" r:id="rId13"/>
    <hyperlink xmlns:r="http://schemas.openxmlformats.org/officeDocument/2006/relationships" ref="K43" r:id="rId14"/>
    <hyperlink xmlns:r="http://schemas.openxmlformats.org/officeDocument/2006/relationships" ref="K44" r:id="rId15"/>
    <hyperlink xmlns:r="http://schemas.openxmlformats.org/officeDocument/2006/relationships" ref="K45" r:id="rId16"/>
    <hyperlink xmlns:r="http://schemas.openxmlformats.org/officeDocument/2006/relationships" ref="K46" r:id="rId17"/>
    <hyperlink xmlns:r="http://schemas.openxmlformats.org/officeDocument/2006/relationships" ref="K50" r:id="rId18"/>
    <hyperlink xmlns:r="http://schemas.openxmlformats.org/officeDocument/2006/relationships" ref="K51" r:id="rId19"/>
    <hyperlink xmlns:r="http://schemas.openxmlformats.org/officeDocument/2006/relationships" ref="K52" r:id="rId20"/>
    <hyperlink xmlns:r="http://schemas.openxmlformats.org/officeDocument/2006/relationships" ref="K53" r:id="rId21"/>
    <hyperlink xmlns:r="http://schemas.openxmlformats.org/officeDocument/2006/relationships" ref="K54" r:id="rId22"/>
    <hyperlink xmlns:r="http://schemas.openxmlformats.org/officeDocument/2006/relationships" ref="K58" r:id="rId23"/>
    <hyperlink xmlns:r="http://schemas.openxmlformats.org/officeDocument/2006/relationships" ref="K59" r:id="rId24"/>
    <hyperlink xmlns:r="http://schemas.openxmlformats.org/officeDocument/2006/relationships" ref="K60" r:id="rId25"/>
    <hyperlink xmlns:r="http://schemas.openxmlformats.org/officeDocument/2006/relationships" ref="K61" r:id="rId26"/>
    <hyperlink xmlns:r="http://schemas.openxmlformats.org/officeDocument/2006/relationships" ref="K62" r:id="rId27"/>
    <hyperlink xmlns:r="http://schemas.openxmlformats.org/officeDocument/2006/relationships" ref="K66" r:id="rId28"/>
    <hyperlink xmlns:r="http://schemas.openxmlformats.org/officeDocument/2006/relationships" ref="K67" r:id="rId29"/>
    <hyperlink xmlns:r="http://schemas.openxmlformats.org/officeDocument/2006/relationships" ref="K68" r:id="rId30"/>
    <hyperlink xmlns:r="http://schemas.openxmlformats.org/officeDocument/2006/relationships" ref="K69" r:id="rId31"/>
    <hyperlink xmlns:r="http://schemas.openxmlformats.org/officeDocument/2006/relationships" ref="B71" r:id="rId32"/>
    <hyperlink xmlns:r="http://schemas.openxmlformats.org/officeDocument/2006/relationships" ref="B72" r:id="rId33"/>
  </hyperlinks>
  <pageMargins left="0.75" right="0.75" top="1" bottom="1" header="0.5" footer="0.5"/>
  <pageSetup orientation="landscape" fitToHeight="0" fitToWidth="1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2026-08-30T08:45:42Z</dcterms:created>
  <dcterms:modified xmlns:dcterms="http://purl.org/dc/terms/" xmlns:xsi="http://www.w3.org/2001/XMLSchema-instance" xsi:type="dcterms:W3CDTF">2026-09-04T09:44:10Z</dcterms:modified>
</cp:coreProperties>
</file>