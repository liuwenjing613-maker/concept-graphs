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统一指标" sheetId="1" state="visible" r:id="rId1"/>
    <sheet xmlns:r="http://schemas.openxmlformats.org/officeDocument/2006/relationships" name="逐场景结果" sheetId="2" state="visible" r:id="rId2"/>
    <sheet xmlns:r="http://schemas.openxmlformats.org/officeDocument/2006/relationships" name="诊断指标" sheetId="3" state="visible" r:id="rId3"/>
    <sheet xmlns:r="http://schemas.openxmlformats.org/officeDocument/2006/relationships" name="成本记录" sheetId="4" state="visible" r:id="rId4"/>
    <sheet xmlns:r="http://schemas.openxmlformats.org/officeDocument/2006/relationships" name="评估说明" sheetId="5" state="visible" r:id="rId5"/>
    <sheet xmlns:r="http://schemas.openxmlformats.org/officeDocument/2006/relationships" name="地图来源" sheetId="6" state="visible" r:id="rId6"/>
  </sheets>
  <definedNames>
    <definedName name="_xlnm.Print_Area" localSheetId="0">'统一指标'!$A$1:$K$95</definedName>
    <definedName name="_xlnm._FilterDatabase" localSheetId="1" hidden="1">'逐场景结果'!$A$4:$K$78</definedName>
    <definedName name="_xlnm.Print_Titles" localSheetId="1">'逐场景结果'!$1:$4</definedName>
    <definedName name="_xlnm.Print_Area" localSheetId="1">'逐场景结果'!$A$1:$K$78</definedName>
    <definedName name="_xlnm._FilterDatabase" localSheetId="2" hidden="1">'诊断指标'!$A$4:$K$78</definedName>
    <definedName name="_xlnm.Print_Titles" localSheetId="2">'诊断指标'!$1:$4</definedName>
    <definedName name="_xlnm.Print_Area" localSheetId="2">'诊断指标'!$A$1:$K$78</definedName>
    <definedName name="_xlnm._FilterDatabase" localSheetId="3" hidden="1">'成本记录'!$A$4:$H$78</definedName>
    <definedName name="_xlnm.Print_Titles" localSheetId="3">'成本记录'!$1:$4</definedName>
    <definedName name="_xlnm.Print_Area" localSheetId="3">'成本记录'!$A$1:$H$78</definedName>
    <definedName name="_xlnm.Print_Area" localSheetId="4">'评估说明'!$A$1:$B$41</definedName>
    <definedName name="_xlnm._FilterDatabase" localSheetId="5" hidden="1">'地图来源'!$A$4:$C$78</definedName>
    <definedName name="_xlnm.Print_Titles" localSheetId="5">'地图来源'!$1:$4</definedName>
    <definedName name="_xlnm.Print_Area" localSheetId="5">'地图来源'!$A$1:$C$78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.00;-0.00;0.00"/>
  </numFmts>
  <fonts count="4">
    <font>
      <name val="Calibri"/>
      <family val="2"/>
      <color theme="1"/>
      <sz val="11"/>
      <scheme val="minor"/>
    </font>
    <font>
      <name val="Noto Sans CJK SC"/>
      <b val="1"/>
      <color rgb="0017324D"/>
      <sz val="11"/>
    </font>
    <font>
      <name val="Noto Sans CJK SC"/>
      <b val="1"/>
      <color rgb="00FFFFFF"/>
      <sz val="10"/>
    </font>
    <font>
      <name val="Noto Sans CJK SC"/>
      <color rgb="00172B4D"/>
      <sz val="10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1F4F8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0" fontId="3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10" fontId="3" fillId="4" borderId="0" applyAlignment="1" pivotButton="0" quotePrefix="0" xfId="0">
      <alignment vertical="center" wrapText="1"/>
    </xf>
    <xf numFmtId="10" fontId="3" fillId="5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left" vertical="center" wrapText="1"/>
    </xf>
    <xf numFmtId="10" fontId="3" fillId="5" borderId="0" applyAlignment="1" pivotButton="0" quotePrefix="0" xfId="0">
      <alignment horizontal="right" vertical="center" wrapText="1"/>
    </xf>
    <xf numFmtId="10" fontId="3" fillId="4" borderId="0" applyAlignment="1" pivotButton="0" quotePrefix="0" xfId="0">
      <alignment horizontal="right" vertical="center" wrapText="1"/>
    </xf>
    <xf numFmtId="2" fontId="3" fillId="3" borderId="0" applyAlignment="1" pivotButton="0" quotePrefix="0" xfId="0">
      <alignment horizontal="right" vertical="center" wrapText="1"/>
    </xf>
    <xf numFmtId="10" fontId="3" fillId="3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 wrapText="1"/>
    </xf>
    <xf numFmtId="164" fontId="3" fillId="3" borderId="0" applyAlignment="1" pivotButton="0" quotePrefix="0" xfId="0">
      <alignment horizontal="right" vertical="center" wrapText="1"/>
    </xf>
    <xf numFmtId="10" fontId="3" fillId="6" borderId="0" applyAlignment="1" pivotButton="0" quotePrefix="0" xfId="0">
      <alignment horizontal="right" vertical="center" wrapText="1"/>
    </xf>
    <xf numFmtId="165" fontId="3" fillId="3" borderId="0" applyAlignment="1" pivotButton="0" quotePrefix="0" xfId="0">
      <alignment horizontal="right" vertical="center" wrapText="1"/>
    </xf>
    <xf numFmtId="0" fontId="3" fillId="6" borderId="0" applyAlignment="1" pivotButton="0" quotePrefix="0" xfId="0">
      <alignment vertical="center" wrapText="1"/>
    </xf>
    <xf numFmtId="10" fontId="3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K95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12" customWidth="1" min="2" max="2"/>
    <ns0:col width="15" customWidth="1" min="3" max="3"/>
    <ns0:col width="15" customWidth="1" min="4" max="4"/>
    <ns0:col width="15" customWidth="1" min="5" max="5"/>
    <ns0:col width="15" customWidth="1" min="6" max="6"/>
    <ns0:col width="15" customWidth="1" min="7" max="7"/>
    <ns0:col width="15" customWidth="1" min="8" max="8"/>
    <ns0:col width="15" customWidth="1" min="9" max="9"/>
    <ns0:col width="15" customWidth="1" min="10" max="10"/>
    <ns0:col width="22" customWidth="1" min="11" max="11"/>
  </ns0:cols>
  <ns0:sheetData>
    <ns0:row r="1" ht="30" customHeight="1">
      <ns0:c r="A1" s="1" t="inlineStr">
        <ns0:is>
          <ns0:t>Replica 统一评估 v2：四方法八场景，另列新增方法单场景结果</ns0:t>
        </ns0:is>
      </ns0:c>
    </ns0:row>
    <ns0:row r="2" ht="30" customHeight="1">
      <ns0:c r="A2" s="1" t="inlineStr">
        <ns0:is>
          <ns0:t>统一v2；历史地图结果保留。新增固定地图的bbox语义读出，见下方配对结果。</ns0:t>
        </ns0:is>
      </ns0:c>
    </ns0:row>
    <ns0:row r="3"/>
    <ns0:row r="4" ht="38" customHeight="1">
      <ns0:c r="A4" s="2" t="inlineStr">
        <ns0:is>
          <ns0:t>方法</ns0:t>
        </ns0:is>
      </ns0:c>
      <ns0:c r="B4" s="2" t="inlineStr">
        <ns0:is>
          <ns0:t>场景数</ns0:t>
        </ns0:is>
      </ns0:c>
      <ns0:c r="C4" s="2" t="inlineStr">
        <ns0:is>
          <ns0:t>Inst. mIoU</ns0:t>
        </ns0:is>
      </ns0:c>
      <ns0:c r="D4" s="2" t="inlineStr">
        <ns0:is>
          <ns0:t>Inst. AP25</ns0:t>
        </ns0:is>
      </ns0:c>
      <ns0:c r="E4" s="2" t="inlineStr">
        <ns0:is>
          <ns0:t>Inst. AP50</ns0:t>
        </ns0:is>
      </ns0:c>
      <ns0:c r="F4" s="2" t="inlineStr">
        <ns0:is>
          <ns0:t>Inst. AP75</ns0:t>
        </ns0:is>
      </ns0:c>
      <ns0:c r="G4" s="2" t="inlineStr">
        <ns0:is>
          <ns0:t>Sem. mIoU</ns0:t>
        </ns0:is>
      </ns0:c>
      <ns0:c r="H4" s="2" t="inlineStr">
        <ns0:is>
          <ns0:t>Sem. AP25</ns0:t>
        </ns0:is>
      </ns0:c>
      <ns0:c r="I4" s="2" t="inlineStr">
        <ns0:is>
          <ns0:t>Sem. AP50</ns0:t>
        </ns0:is>
      </ns0:c>
      <ns0:c r="J4" s="2" t="inlineStr">
        <ns0:is>
          <ns0:t>mAcc</ns0:t>
        </ns0:is>
      </ns0:c>
      <ns0:c r="K4" s="2" t="inlineStr">
        <ns0:is>
          <ns0:t>Object Surface Coverage@5cm</ns0:t>
        </ns0:is>
      </ns0:c>
    </ns0:row>
    <ns0:row r="5" ht="28" customHeight="1">
      <ns0:c r="A5" s="3" t="inlineStr">
        <ns0:is>
          <ns0:t>Baseline_gateoff</ns0:t>
        </ns0:is>
      </ns0:c>
      <ns0:c r="B5" s="3" t="n">
        <ns0:v>8</ns0:v>
      </ns0:c>
      <ns0:c r="C5" s="4" t="n">
        <ns0:v>0.4278293178558412</ns0:v>
      </ns0:c>
      <ns0:c r="D5" s="4" t="n">
        <ns0:v>0.6008457186934357</ns0:v>
      </ns0:c>
      <ns0:c r="E5" s="4" t="n">
        <ns0:v>0.2587596375789169</ns0:v>
      </ns0:c>
      <ns0:c r="F5" s="4" t="n">
        <ns0:v>0.04785000121453901</ns0:v>
      </ns0:c>
      <ns0:c r="G5" s="4" t="n">
        <ns0:v>0.1277402581632639</ns0:v>
      </ns0:c>
      <ns0:c r="H5" s="4" t="n">
        <ns0:v>0.2017414044393655</ns0:v>
      </ns0:c>
      <ns0:c r="I5" s="4" t="n">
        <ns0:v>0.1342780680347301</ns0:v>
      </ns0:c>
      <ns0:c r="J5" s="4" t="n">
        <ns0:v>0.2406252973689092</ns0:v>
      </ns0:c>
      <ns0:c r="K5" s="4" t="n">
        <ns0:v>0.7063880443525679</ns0:v>
      </ns0:c>
    </ns0:row>
    <ns0:row r="6" ht="28" customHeight="1">
      <ns0:c r="A6" s="5" t="inlineStr">
        <ns0:is>
          <ns0:t>v7_CLIP</ns0:t>
        </ns0:is>
      </ns0:c>
      <ns0:c r="B6" s="5" t="n">
        <ns0:v>8</ns0:v>
      </ns0:c>
      <ns0:c r="C6" s="6" t="n">
        <ns0:v>0.4395780469286663</ns0:v>
      </ns0:c>
      <ns0:c r="D6" s="7" t="n">
        <ns0:v>0.6033406577065344</ns0:v>
      </ns0:c>
      <ns0:c r="E6" s="6" t="n">
        <ns0:v>0.2918178937492031</ns0:v>
      </ns0:c>
      <ns0:c r="F6" s="6" t="n">
        <ns0:v>0.04064713397139101</ns0:v>
      </ns0:c>
      <ns0:c r="G6" s="6" t="n">
        <ns0:v>0.1365468126959448</ns0:v>
      </ns0:c>
      <ns0:c r="H6" s="7" t="n">
        <ns0:v>0.2056739744032219</ns0:v>
      </ns0:c>
      <ns0:c r="I6" s="6" t="n">
        <ns0:v>0.1531374726859488</ns0:v>
      </ns0:c>
      <ns0:c r="J6" s="7" t="n">
        <ns0:v>0.2582890361669045</ns0:v>
      </ns0:c>
      <ns0:c r="K6" s="6" t="n">
        <ns0:v>0.6982104297455811</ns0:v>
      </ns0:c>
    </ns0:row>
    <ns0:row r="7" ht="28" customHeight="1">
      <ns0:c r="A7" s="3" t="inlineStr">
        <ns0:is>
          <ns0:t>OVI_MAP</ns0:t>
        </ns0:is>
      </ns0:c>
      <ns0:c r="B7" s="3" t="n">
        <ns0:v>8</ns0:v>
      </ns0:c>
      <ns0:c r="C7" s="7" t="n">
        <ns0:v>0.4509652335629098</ns0:v>
      </ns0:c>
      <ns0:c r="D7" s="4" t="n">
        <ns0:v>0.6031480768303205</ns0:v>
      </ns0:c>
      <ns0:c r="E7" s="7" t="n">
        <ns0:v>0.2945340108429469</ns0:v>
      </ns0:c>
      <ns0:c r="F7" s="7" t="n">
        <ns0:v>0.05418073227963421</ns0:v>
      </ns0:c>
      <ns0:c r="G7" s="7" t="n">
        <ns0:v>0.1484184335713401</ns0:v>
      </ns0:c>
      <ns0:c r="H7" s="4" t="n">
        <ns0:v>0.2003790944434488</ns0:v>
      </ns0:c>
      <ns0:c r="I7" s="7" t="n">
        <ns0:v>0.1540223314866042</ns0:v>
      </ns0:c>
      <ns0:c r="J7" s="4" t="n">
        <ns0:v>0.2506381151637648</ns0:v>
      </ns0:c>
      <ns0:c r="K7" s="7" t="n">
        <ns0:v>0.7392752029015667</ns0:v>
      </ns0:c>
    </ns0:row>
    <ns0:row r="8" ht="28" customHeight="1">
      <ns0:c r="A8" s="5" t="inlineStr">
        <ns0:is>
          <ns0:t>ali_my</ns0:t>
        </ns0:is>
      </ns0:c>
      <ns0:c r="B8" s="5" t="n">
        <ns0:v>8</ns0:v>
      </ns0:c>
      <ns0:c r="C8" s="6" t="n">
        <ns0:v>0.3456547169250158</ns0:v>
      </ns0:c>
      <ns0:c r="D8" s="6" t="n">
        <ns0:v>0.4910127025410906</ns0:v>
      </ns0:c>
      <ns0:c r="E8" s="6" t="n">
        <ns0:v>0.1879618011172292</ns0:v>
      </ns0:c>
      <ns0:c r="F8" s="6" t="n">
        <ns0:v>0.01746008904621209</ns0:v>
      </ns0:c>
      <ns0:c r="G8" s="6" t="n">
        <ns0:v>0.1211719923288914</ns0:v>
      </ns0:c>
      <ns0:c r="H8" s="6" t="n">
        <ns0:v>0.1707876786093617</ns0:v>
      </ns0:c>
      <ns0:c r="I8" s="6" t="n">
        <ns0:v>0.1421035505876515</ns0:v>
      </ns0:c>
      <ns0:c r="J8" s="6" t="n">
        <ns0:v>0.2467413591948206</ns0:v>
      </ns0:c>
      <ns0:c r="K8" s="6" t="n">
        <ns0:v>0.6350991760833455</ns0:v>
      </ns0:c>
    </ns0:row>
    <ns0:row r="9"/>
    <ns0:row r="10" ht="30" customHeight="1">
      <ns0:c r="A10" s="1" t="inlineStr">
        <ns0:is>
          <ns0:t>以上为联合结果：AP 跨场景联合计算；语义合并混淆矩阵；mIoU 按 GT 实例加权；覆盖按 GT 顶点加权。</ns0:t>
        </ns0:is>
      </ns0:c>
    </ns0:row>
    <ns0:row r="11"/>
    <ns0:row r="12" ht="30" customHeight="1">
      <ns0:c r="A12" s="1" t="inlineStr">
        <ns0:is>
          <ns0:t>八场景简单平均（与上方联合结果区分）</ns0:t>
        </ns0:is>
      </ns0:c>
    </ns0:row>
    <ns0:row r="13" ht="38" customHeight="1">
      <ns0:c r="A13" s="2" t="inlineStr">
        <ns0:is>
          <ns0:t>方法</ns0:t>
        </ns0:is>
      </ns0:c>
      <ns0:c r="B13" s="2" t="inlineStr">
        <ns0:is>
          <ns0:t>场景数</ns0:t>
        </ns0:is>
      </ns0:c>
      <ns0:c r="C13" s="2" t="inlineStr">
        <ns0:is>
          <ns0:t>Inst. mIoU</ns0:t>
        </ns0:is>
      </ns0:c>
      <ns0:c r="D13" s="2" t="inlineStr">
        <ns0:is>
          <ns0:t>Inst. AP25</ns0:t>
        </ns0:is>
      </ns0:c>
      <ns0:c r="E13" s="2" t="inlineStr">
        <ns0:is>
          <ns0:t>Inst. AP50</ns0:t>
        </ns0:is>
      </ns0:c>
      <ns0:c r="F13" s="2" t="inlineStr">
        <ns0:is>
          <ns0:t>Inst. AP75</ns0:t>
        </ns0:is>
      </ns0:c>
      <ns0:c r="G13" s="2" t="inlineStr">
        <ns0:is>
          <ns0:t>Sem. mIoU</ns0:t>
        </ns0:is>
      </ns0:c>
      <ns0:c r="H13" s="2" t="inlineStr">
        <ns0:is>
          <ns0:t>Sem. AP25</ns0:t>
        </ns0:is>
      </ns0:c>
      <ns0:c r="I13" s="2" t="inlineStr">
        <ns0:is>
          <ns0:t>Sem. AP50</ns0:t>
        </ns0:is>
      </ns0:c>
      <ns0:c r="J13" s="2" t="inlineStr">
        <ns0:is>
          <ns0:t>mAcc</ns0:t>
        </ns0:is>
      </ns0:c>
      <ns0:c r="K13" s="2" t="inlineStr">
        <ns0:is>
          <ns0:t>Object Surface Coverage@5cm</ns0:t>
        </ns0:is>
      </ns0:c>
    </ns0:row>
    <ns0:row r="14" ht="28" customHeight="1">
      <ns0:c r="A14" s="5" t="inlineStr">
        <ns0:is>
          <ns0:t>Baseline_gateoff</ns0:t>
        </ns0:is>
      </ns0:c>
      <ns0:c r="B14" s="5" t="n">
        <ns0:v>8</ns0:v>
      </ns0:c>
      <ns0:c r="C14" s="6" t="n">
        <ns0:v>0.4269232686284746</ns0:v>
      </ns0:c>
      <ns0:c r="D14" s="6" t="n">
        <ns0:v>0.6152531523267896</ns0:v>
      </ns0:c>
      <ns0:c r="E14" s="6" t="n">
        <ns0:v>0.2730992972403894</ns0:v>
      </ns0:c>
      <ns0:c r="F14" s="6" t="n">
        <ns0:v>0.0652195259496635</ns0:v>
      </ns0:c>
      <ns0:c r="G14" s="6" t="n">
        <ns0:v>0.1369582080310665</ns0:v>
      </ns0:c>
      <ns0:c r="H14" s="6" t="n">
        <ns0:v>0.2385895592541423</ns0:v>
      </ns0:c>
      <ns0:c r="I14" s="6" t="n">
        <ns0:v>0.1734802092080158</ns0:v>
      </ns0:c>
      <ns0:c r="J14" s="6" t="n">
        <ns0:v>0.2322067005260871</ns0:v>
      </ns0:c>
      <ns0:c r="K14" s="6" t="n">
        <ns0:v>0.7026869096626933</ns0:v>
      </ns0:c>
    </ns0:row>
    <ns0:row r="15" ht="28" customHeight="1">
      <ns0:c r="A15" s="3" t="inlineStr">
        <ns0:is>
          <ns0:t>v7_CLIP</ns0:t>
        </ns0:is>
      </ns0:c>
      <ns0:c r="B15" s="3" t="n">
        <ns0:v>8</ns0:v>
      </ns0:c>
      <ns0:c r="C15" s="4" t="n">
        <ns0:v>0.440059129447801</ns0:v>
      </ns0:c>
      <ns0:c r="D15" s="7" t="n">
        <ns0:v>0.6303999981943544</ns0:v>
      </ns0:c>
      <ns0:c r="E15" s="4" t="n">
        <ns0:v>0.306565335459004</ns0:v>
      </ns0:c>
      <ns0:c r="F15" s="4" t="n">
        <ns0:v>0.06256328639243156</ns0:v>
      </ns0:c>
      <ns0:c r="G15" s="4" t="n">
        <ns0:v>0.1450632981659993</ns0:v>
      </ns0:c>
      <ns0:c r="H15" s="7" t="n">
        <ns0:v>0.2496262126691388</ns0:v>
      </ns0:c>
      <ns0:c r="I15" s="7" t="n">
        <ns0:v>0.1921757739249197</ns0:v>
      </ns0:c>
      <ns0:c r="J15" s="4" t="n">
        <ns0:v>0.2349464298615404</ns0:v>
      </ns0:c>
      <ns0:c r="K15" s="4" t="n">
        <ns0:v>0.6956877726342059</ns0:v>
      </ns0:c>
    </ns0:row>
    <ns0:row r="16" ht="28" customHeight="1">
      <ns0:c r="A16" s="5" t="inlineStr">
        <ns0:is>
          <ns0:t>OVI_MAP</ns0:t>
        </ns0:is>
      </ns0:c>
      <ns0:c r="B16" s="5" t="n">
        <ns0:v>8</ns0:v>
      </ns0:c>
      <ns0:c r="C16" s="7" t="n">
        <ns0:v>0.451764621821156</ns0:v>
      </ns0:c>
      <ns0:c r="D16" s="6" t="n">
        <ns0:v>0.6145390314440289</ns0:v>
      </ns0:c>
      <ns0:c r="E16" s="7" t="n">
        <ns0:v>0.3108923911217526</ns0:v>
      </ns0:c>
      <ns0:c r="F16" s="7" t="n">
        <ns0:v>0.07038915311398058</ns0:v>
      </ns0:c>
      <ns0:c r="G16" s="7" t="n">
        <ns0:v>0.1690665450783843</ns0:v>
      </ns0:c>
      <ns0:c r="H16" s="6" t="n">
        <ns0:v>0.2392868765752245</ns0:v>
      </ns0:c>
      <ns0:c r="I16" s="6" t="n">
        <ns0:v>0.1717109029223084</ns0:v>
      </ns0:c>
      <ns0:c r="J16" s="7" t="n">
        <ns0:v>0.2397452325887914</ns0:v>
      </ns0:c>
      <ns0:c r="K16" s="7" t="n">
        <ns0:v>0.7430174392558671</ns0:v>
      </ns0:c>
    </ns0:row>
    <ns0:row r="17" ht="28" customHeight="1">
      <ns0:c r="A17" s="3" t="inlineStr">
        <ns0:is>
          <ns0:t>ali_my</ns0:t>
        </ns0:is>
      </ns0:c>
      <ns0:c r="B17" s="3" t="n">
        <ns0:v>8</ns0:v>
      </ns0:c>
      <ns0:c r="C17" s="4" t="n">
        <ns0:v>0.3500910678062243</ns0:v>
      </ns0:c>
      <ns0:c r="D17" s="4" t="n">
        <ns0:v>0.5169594042122171</ns0:v>
      </ns0:c>
      <ns0:c r="E17" s="4" t="n">
        <ns0:v>0.2085662327371056</ns0:v>
      </ns0:c>
      <ns0:c r="F17" s="4" t="n">
        <ns0:v>0.02847980615319</ns0:v>
      </ns0:c>
      <ns0:c r="G17" s="4" t="n">
        <ns0:v>0.1426672953280648</ns0:v>
      </ns0:c>
      <ns0:c r="H17" s="4" t="n">
        <ns0:v>0.2062676283959674</ns0:v>
      </ns0:c>
      <ns0:c r="I17" s="4" t="n">
        <ns0:v>0.1632832853187628</ns0:v>
      </ns0:c>
      <ns0:c r="J17" s="4" t="n">
        <ns0:v>0.2271930448252639</ns0:v>
      </ns0:c>
      <ns0:c r="K17" s="4" t="n">
        <ns0:v>0.6305809465152915</ns0:v>
      </ns0:c>
    </ns0:row>
    <ns0:row r="18"/>
    <ns0:row r="19" ht="30" customHeight="1">
      <ns0:c r="A19" s="1" t="inlineStr">
        <ns0:is>
          <ns0:t>room0 六方法对照：merge_2 与 v7_CLIP_TwoRoad 仅列本场景，不并入八场景总分。</ns0:t>
        </ns0:is>
      </ns0:c>
    </ns0:row>
    <ns0:row r="20" ht="38" customHeight="1">
      <ns0:c r="A20" s="2" t="inlineStr">
        <ns0:is>
          <ns0:t>方法</ns0:t>
        </ns0:is>
      </ns0:c>
      <ns0:c r="B20" s="2" t="inlineStr">
        <ns0:is>
          <ns0:t>场景</ns0:t>
        </ns0:is>
      </ns0:c>
      <ns0:c r="C20" s="2" t="inlineStr">
        <ns0:is>
          <ns0:t>Inst. mIoU</ns0:t>
        </ns0:is>
      </ns0:c>
      <ns0:c r="D20" s="2" t="inlineStr">
        <ns0:is>
          <ns0:t>Inst. AP25</ns0:t>
        </ns0:is>
      </ns0:c>
      <ns0:c r="E20" s="2" t="inlineStr">
        <ns0:is>
          <ns0:t>Inst. AP50</ns0:t>
        </ns0:is>
      </ns0:c>
      <ns0:c r="F20" s="2" t="inlineStr">
        <ns0:is>
          <ns0:t>Inst. AP75</ns0:t>
        </ns0:is>
      </ns0:c>
      <ns0:c r="G20" s="2" t="inlineStr">
        <ns0:is>
          <ns0:t>Sem. mIoU</ns0:t>
        </ns0:is>
      </ns0:c>
      <ns0:c r="H20" s="2" t="inlineStr">
        <ns0:is>
          <ns0:t>Sem. AP25</ns0:t>
        </ns0:is>
      </ns0:c>
      <ns0:c r="I20" s="2" t="inlineStr">
        <ns0:is>
          <ns0:t>Sem. AP50</ns0:t>
        </ns0:is>
      </ns0:c>
      <ns0:c r="J20" s="2" t="inlineStr">
        <ns0:is>
          <ns0:t>mAcc</ns0:t>
        </ns0:is>
      </ns0:c>
      <ns0:c r="K20" s="2" t="inlineStr">
        <ns0:is>
          <ns0:t>Object Surface Coverage@5cm</ns0:t>
        </ns0:is>
      </ns0:c>
    </ns0:row>
    <ns0:row r="21" ht="28" customHeight="1">
      <ns0:c r="A21" s="3" t="inlineStr">
        <ns0:is>
          <ns0:t>Baseline_gateoff</ns0:t>
        </ns0:is>
      </ns0:c>
      <ns0:c r="B21" s="3" t="inlineStr">
        <ns0:is>
          <ns0:t>room0</ns0:t>
        </ns0:is>
      </ns0:c>
      <ns0:c r="C21" s="4" t="n">
        <ns0:v>0.4566818855574561</ns0:v>
      </ns0:c>
      <ns0:c r="D21" s="7" t="n">
        <ns0:v>0.6399740513829686</ns0:v>
      </ns0:c>
      <ns0:c r="E21" s="4" t="n">
        <ns0:v>0.3107075875659532</ns0:v>
      </ns0:c>
      <ns0:c r="F21" s="4" t="n">
        <ns0:v>0.05040682999194148</ns0:v>
      </ns0:c>
      <ns0:c r="G21" s="4" t="n">
        <ns0:v>0.1469110799950082</ns0:v>
      </ns0:c>
      <ns0:c r="H21" s="4" t="n">
        <ns0:v>0.2497519841269841</ns0:v>
      </ns0:c>
      <ns0:c r="I21" s="4" t="n">
        <ns0:v>0.2281746031746032</ns0:v>
      </ns0:c>
      <ns0:c r="J21" s="4" t="n">
        <ns0:v>0.235854646973188</ns0:v>
      </ns0:c>
      <ns0:c r="K21" s="4" t="n">
        <ns0:v>0.7942460632075451</ns0:v>
      </ns0:c>
    </ns0:row>
    <ns0:row r="22" ht="28" customHeight="1">
      <ns0:c r="A22" s="5" t="inlineStr">
        <ns0:is>
          <ns0:t>v7_CLIP</ns0:t>
        </ns0:is>
      </ns0:c>
      <ns0:c r="B22" s="5" t="inlineStr">
        <ns0:is>
          <ns0:t>room0</ns0:t>
        </ns0:is>
      </ns0:c>
      <ns0:c r="C22" s="6" t="n">
        <ns0:v>0.4459973845205167</ns0:v>
      </ns0:c>
      <ns0:c r="D22" s="6" t="n">
        <ns0:v>0.5796719003160379</ns0:v>
      </ns0:c>
      <ns0:c r="E22" s="7" t="n">
        <ns0:v>0.3890281657883834</ns0:v>
      </ns0:c>
      <ns0:c r="F22" s="6" t="n">
        <ns0:v>0.05225624652684709</ns0:v>
      </ns0:c>
      <ns0:c r="G22" s="6" t="n">
        <ns0:v>0.1786878237913492</ns0:v>
      </ns0:c>
      <ns0:c r="H22" s="6" t="n">
        <ns0:v>0.3083457341269841</ns0:v>
      </ns0:c>
      <ns0:c r="I22" s="7" t="n">
        <ns0:v>0.3010912698412698</ns0:v>
      </ns0:c>
      <ns0:c r="J22" s="6" t="n">
        <ns0:v>0.2842225158085255</ns0:v>
      </ns0:c>
      <ns0:c r="K22" s="6" t="n">
        <ns0:v>0.7851162333645254</ns0:v>
      </ns0:c>
    </ns0:row>
    <ns0:row r="23" ht="28" customHeight="1">
      <ns0:c r="A23" s="3" t="inlineStr">
        <ns0:is>
          <ns0:t>OVI_MAP</ns0:t>
        </ns0:is>
      </ns0:c>
      <ns0:c r="B23" s="3" t="inlineStr">
        <ns0:is>
          <ns0:t>room0</ns0:t>
        </ns0:is>
      </ns0:c>
      <ns0:c r="C23" s="4" t="n">
        <ns0:v>0.461697466047436</ns0:v>
      </ns0:c>
      <ns0:c r="D23" s="4" t="n">
        <ns0:v>0.5578941898535368</ns0:v>
      </ns0:c>
      <ns0:c r="E23" s="4" t="n">
        <ns0:v>0.3386461133042409</ns0:v>
      </ns0:c>
      <ns0:c r="F23" s="4" t="n">
        <ns0:v>0.06555361648153979</ns0:v>
      </ns0:c>
      <ns0:c r="G23" s="4" t="n">
        <ns0:v>0.1978566868964842</ns0:v>
      </ns0:c>
      <ns0:c r="H23" s="4" t="n">
        <ns0:v>0.2691592261904762</ns0:v>
      </ns0:c>
      <ns0:c r="I23" s="4" t="n">
        <ns0:v>0.2202380952380952</ns0:v>
      </ns0:c>
      <ns0:c r="J23" s="4" t="n">
        <ns0:v>0.2623306230248453</ns0:v>
      </ns0:c>
      <ns0:c r="K23" s="7" t="n">
        <ns0:v>0.8109848290278563</ns0:v>
      </ns0:c>
    </ns0:row>
    <ns0:row r="24" ht="28" customHeight="1">
      <ns0:c r="A24" s="5" t="inlineStr">
        <ns0:is>
          <ns0:t>ali_my</ns0:t>
        </ns0:is>
      </ns0:c>
      <ns0:c r="B24" s="5" t="inlineStr">
        <ns0:is>
          <ns0:t>room0</ns0:t>
        </ns0:is>
      </ns0:c>
      <ns0:c r="C24" s="6" t="n">
        <ns0:v>0.3637402590649125</ns0:v>
      </ns0:c>
      <ns0:c r="D24" s="6" t="n">
        <ns0:v>0.4257461073838992</ns0:v>
      </ns0:c>
      <ns0:c r="E24" s="6" t="n">
        <ns0:v>0.2716480862677419</ns0:v>
      </ns0:c>
      <ns0:c r="F24" s="6" t="n">
        <ns0:v>0.03146829251988424</ns0:v>
      </ns0:c>
      <ns0:c r="G24" s="6" t="n">
        <ns0:v>0.1565739705836436</ns0:v>
      </ns0:c>
      <ns0:c r="H24" s="6" t="n">
        <ns0:v>0.1922743055555556</ns0:v>
      </ns0:c>
      <ns0:c r="I24" s="6" t="n">
        <ns0:v>0.1909722222222222</ns0:v>
      </ns0:c>
      <ns0:c r="J24" s="6" t="n">
        <ns0:v>0.2575115639343521</ns0:v>
      </ns0:c>
      <ns0:c r="K24" s="6" t="n">
        <ns0:v>0.6803219560347773</ns0:v>
      </ns0:c>
    </ns0:row>
    <ns0:row r="25" ht="28" customHeight="1">
      <ns0:c r="A25" s="3" t="inlineStr">
        <ns0:is>
          <ns0:t>merge_2</ns0:t>
        </ns0:is>
      </ns0:c>
      <ns0:c r="B25" s="3" t="inlineStr">
        <ns0:is>
          <ns0:t>room0</ns0:t>
        </ns0:is>
      </ns0:c>
      <ns0:c r="C25" s="7" t="n">
        <ns0:v>0.465391068664511</ns0:v>
      </ns0:c>
      <ns0:c r="D25" s="4" t="n">
        <ns0:v>0.588309730782574</ns0:v>
      </ns0:c>
      <ns0:c r="E25" s="4" t="n">
        <ns0:v>0.3397631291393964</ns0:v>
      </ns0:c>
      <ns0:c r="F25" s="7" t="n">
        <ns0:v>0.07284638500166739</ns0:v>
      </ns0:c>
      <ns0:c r="G25" s="7" t="n">
        <ns0:v>0.216167893870595</ns0:v>
      </ns0:c>
      <ns0:c r="H25" s="7" t="n">
        <ns0:v>0.3118799603174603</ns0:v>
      </ns0:c>
      <ns0:c r="I25" s="4" t="n">
        <ns0:v>0.2867063492063492</ns0:v>
      </ns0:c>
      <ns0:c r="J25" s="7" t="n">
        <ns0:v>0.3399722327779137</ns0:v>
      </ns0:c>
      <ns0:c r="K25" s="4" t="n">
        <ns0:v>0.7887855852314729</ns0:v>
      </ns0:c>
    </ns0:row>
    <ns0:row r="26" ht="28" customHeight="1">
      <ns0:c r="A26" s="3" t="inlineStr">
        <ns0:is>
          <ns0:t>TwoRoad（融合旧读出）</ns0:t>
        </ns0:is>
      </ns0:c>
      <ns0:c r="B26" s="3" t="inlineStr">
        <ns0:is>
          <ns0:t>room0</ns0:t>
        </ns0:is>
      </ns0:c>
      <ns0:c r="C26" s="6" t="n">
        <ns0:v>0.4641733359877803</ns0:v>
      </ns0:c>
      <ns0:c r="D26" s="6" t="n">
        <ns0:v>0.5882035341289031</ns0:v>
      </ns0:c>
      <ns0:c r="E26" s="6" t="n">
        <ns0:v>0.3500447103479245</ns0:v>
      </ns0:c>
      <ns0:c r="F26" s="6" t="n">
        <ns0:v>0.066556381316938</ns0:v>
      </ns0:c>
      <ns0:c r="G26" s="6" t="n">
        <ns0:v>0.1755434233342291</ns0:v>
      </ns0:c>
      <ns0:c r="H26" s="6" t="n">
        <ns0:v>0.2666790674603174</ns0:v>
      </ns0:c>
      <ns0:c r="I26" s="6" t="n">
        <ns0:v>0.2385912698412699</ns0:v>
      </ns0:c>
      <ns0:c r="J26" s="6" t="n">
        <ns0:v>0.2776635147235777</ns0:v>
      </ns0:c>
      <ns0:c r="K26" s="6" t="n">
        <ns0:v>0.7917715398547892</ns0:v>
      </ns0:c>
    </ns0:row>
    <ns0:row r="27" ht="30" customHeight="1">
      <ns0:c r="A27" s="1" t="inlineStr">
        <ns0:is>
          <ns0:t>Baseline_gateoff 与 v7_CLIP 共用检测输入；ali_my 为历史版本，merge_2 为独立检测缓存。统一指标不消除前端差异。</ns0:t>
        </ns0:is>
      </ns0:c>
    </ns0:row>
    <ns0:row r="28"/>
    <ns0:row r="29" ht="36" customHeight="1">
      <ns0:c r="A29" s="1" t="inlineStr">
        <ns0:is>
          <ns0:t>office2 六方法对照：v7_merge 与 v7_merge_re 仅列本场景，不并入八场景总分。</ns0:t>
        </ns0:is>
      </ns0:c>
    </ns0:row>
    <ns0:row r="30" ht="38" customHeight="1">
      <ns0:c r="A30" s="2" t="inlineStr">
        <ns0:is>
          <ns0:t>方法</ns0:t>
        </ns0:is>
      </ns0:c>
      <ns0:c r="B30" s="2" t="inlineStr">
        <ns0:is>
          <ns0:t>场景</ns0:t>
        </ns0:is>
      </ns0:c>
      <ns0:c r="C30" s="2" t="inlineStr">
        <ns0:is>
          <ns0:t>Inst. mIoU</ns0:t>
        </ns0:is>
      </ns0:c>
      <ns0:c r="D30" s="2" t="inlineStr">
        <ns0:is>
          <ns0:t>Inst. AP25</ns0:t>
        </ns0:is>
      </ns0:c>
      <ns0:c r="E30" s="2" t="inlineStr">
        <ns0:is>
          <ns0:t>Inst. AP50</ns0:t>
        </ns0:is>
      </ns0:c>
      <ns0:c r="F30" s="2" t="inlineStr">
        <ns0:is>
          <ns0:t>Inst. AP75</ns0:t>
        </ns0:is>
      </ns0:c>
      <ns0:c r="G30" s="2" t="inlineStr">
        <ns0:is>
          <ns0:t>Sem. mIoU</ns0:t>
        </ns0:is>
      </ns0:c>
      <ns0:c r="H30" s="2" t="inlineStr">
        <ns0:is>
          <ns0:t>Sem. AP25</ns0:t>
        </ns0:is>
      </ns0:c>
      <ns0:c r="I30" s="2" t="inlineStr">
        <ns0:is>
          <ns0:t>Sem. AP50</ns0:t>
        </ns0:is>
      </ns0:c>
      <ns0:c r="J30" s="2" t="inlineStr">
        <ns0:is>
          <ns0:t>mAcc</ns0:t>
        </ns0:is>
      </ns0:c>
      <ns0:c r="K30" s="2" t="inlineStr">
        <ns0:is>
          <ns0:t>Object Surface Coverage@5cm</ns0:t>
        </ns0:is>
      </ns0:c>
    </ns0:row>
    <ns0:row r="31" ht="28" customHeight="1">
      <ns0:c r="A31" s="3" t="inlineStr">
        <ns0:is>
          <ns0:t>Baseline_gateoff</ns0:t>
        </ns0:is>
      </ns0:c>
      <ns0:c r="B31" s="3" t="inlineStr">
        <ns0:is>
          <ns0:t>office2</ns0:t>
        </ns0:is>
      </ns0:c>
      <ns0:c r="C31" s="4" t="n">
        <ns0:v>0.4274213123126236</ns0:v>
      </ns0:c>
      <ns0:c r="D31" s="4" t="n">
        <ns0:v>0.6029752958868543</ns0:v>
      </ns0:c>
      <ns0:c r="E31" s="4" t="n">
        <ns0:v>0.2531119530107198</ns0:v>
      </ns0:c>
      <ns0:c r="F31" s="4" t="n">
        <ns0:v>0.05261318914350951</ns0:v>
      </ns0:c>
      <ns0:c r="G31" s="4" t="n">
        <ns0:v>0.08926405319354429</ns0:v>
      </ns0:c>
      <ns0:c r="H31" s="4" t="n">
        <ns0:v>0.1490196078431373</ns0:v>
      </ns0:c>
      <ns0:c r="I31" s="4" t="n">
        <ns0:v>0.09509803921568627</ns0:v>
      </ns0:c>
      <ns0:c r="J31" s="4" t="n">
        <ns0:v>0.1330212197387609</ns0:v>
      </ns0:c>
      <ns0:c r="K31" s="7" t="n">
        <ns0:v>0.655402705222873</ns0:v>
      </ns0:c>
    </ns0:row>
    <ns0:row r="32" ht="28" customHeight="1">
      <ns0:c r="A32" s="5" t="inlineStr">
        <ns0:is>
          <ns0:t>v7_CLIP</ns0:t>
        </ns0:is>
      </ns0:c>
      <ns0:c r="B32" s="5" t="inlineStr">
        <ns0:is>
          <ns0:t>office2</ns0:t>
        </ns0:is>
      </ns0:c>
      <ns0:c r="C32" s="6" t="n">
        <ns0:v>0.4491063861008109</ns0:v>
      </ns0:c>
      <ns0:c r="D32" s="6" t="n">
        <ns0:v>0.6567383578878236</ns0:v>
      </ns0:c>
      <ns0:c r="E32" s="6" t="n">
        <ns0:v>0.3263653732257894</ns0:v>
      </ns0:c>
      <ns0:c r="F32" s="7" t="n">
        <ns0:v>0.05978287373810829</ns0:v>
      </ns0:c>
      <ns0:c r="G32" s="6" t="n">
        <ns0:v>0.125540415041475</ns0:v>
      </ns0:c>
      <ns0:c r="H32" s="6" t="n">
        <ns0:v>0.1490196078431373</ns0:v>
      </ns0:c>
      <ns0:c r="I32" s="6" t="n">
        <ns0:v>0.1294117647058824</ns0:v>
      </ns0:c>
      <ns0:c r="J32" s="6" t="n">
        <ns0:v>0.1340251427601324</ns0:v>
      </ns0:c>
      <ns0:c r="K32" s="6" t="n">
        <ns0:v>0.6452968220651716</ns0:v>
      </ns0:c>
    </ns0:row>
    <ns0:row r="33" ht="28" customHeight="1">
      <ns0:c r="A33" s="3" t="inlineStr">
        <ns0:is>
          <ns0:t>OVI_MAP</ns0:t>
        </ns0:is>
      </ns0:c>
      <ns0:c r="B33" s="3" t="inlineStr">
        <ns0:is>
          <ns0:t>office2</ns0:t>
        </ns0:is>
      </ns0:c>
      <ns0:c r="C33" s="7" t="n">
        <ns0:v>0.4837386724777433</ns0:v>
      </ns0:c>
      <ns0:c r="D33" s="7" t="n">
        <ns0:v>0.7074648988515204</ns0:v>
      </ns0:c>
      <ns0:c r="E33" s="7" t="n">
        <ns0:v>0.3599542234985441</ns0:v>
      </ns0:c>
      <ns0:c r="F33" s="4" t="n">
        <ns0:v>0.02925363389583002</ns0:v>
      </ns0:c>
      <ns0:c r="G33" s="7" t="n">
        <ns0:v>0.1676560909201648</ns0:v>
      </ns0:c>
      <ns0:c r="H33" s="4" t="n">
        <ns0:v>0.2352941176470588</ns0:v>
      </ns0:c>
      <ns0:c r="I33" s="4" t="n">
        <ns0:v>0.1470588235294118</ns0:v>
      </ns0:c>
      <ns0:c r="J33" s="7" t="n">
        <ns0:v>0.2422804162358396</ns0:v>
      </ns0:c>
      <ns0:c r="K33" s="4" t="n">
        <ns0:v>0.6545890502197949</ns0:v>
      </ns0:c>
    </ns0:row>
    <ns0:row r="34" ht="28" customHeight="1">
      <ns0:c r="A34" s="5" t="inlineStr">
        <ns0:is>
          <ns0:t>ali_my</ns0:t>
        </ns0:is>
      </ns0:c>
      <ns0:c r="B34" s="5" t="inlineStr">
        <ns0:is>
          <ns0:t>office2</ns0:t>
        </ns0:is>
      </ns0:c>
      <ns0:c r="C34" s="6" t="n">
        <ns0:v>0.3112246365288973</ns0:v>
      </ns0:c>
      <ns0:c r="D34" s="6" t="n">
        <ns0:v>0.4581866432603831</ns0:v>
      </ns0:c>
      <ns0:c r="E34" s="6" t="n">
        <ns0:v>0.1176396581359817</ns0:v>
      </ns0:c>
      <ns0:c r="F34" s="6" t="n">
        <ns0:v>0.006587009803921568</ns0:v>
      </ns0:c>
      <ns0:c r="G34" s="6" t="n">
        <ns0:v>0.1181135487639056</ns0:v>
      </ns0:c>
      <ns0:c r="H34" s="6" t="n">
        <ns0:v>0.1588235294117647</ns0:v>
      </ns0:c>
      <ns0:c r="I34" s="6" t="n">
        <ns0:v>0.1294117647058824</ns0:v>
      </ns0:c>
      <ns0:c r="J34" s="6" t="n">
        <ns0:v>0.1397158315227187</ns0:v>
      </ns0:c>
      <ns0:c r="K34" s="6" t="n">
        <ns0:v>0.5870880871546916</ns0:v>
      </ns0:c>
    </ns0:row>
    <ns0:row r="35" ht="28" customHeight="1">
      <ns0:c r="A35" s="3" t="inlineStr">
        <ns0:is>
          <ns0:t>v7_merge_re</ns0:t>
        </ns0:is>
      </ns0:c>
      <ns0:c r="B35" s="3" t="inlineStr">
        <ns0:is>
          <ns0:t>office2</ns0:t>
        </ns0:is>
      </ns0:c>
      <ns0:c r="C35" s="4" t="n">
        <ns0:v>0.4381981384834157</ns0:v>
      </ns0:c>
      <ns0:c r="D35" s="4" t="n">
        <ns0:v>0.6720566204942495</ns0:v>
      </ns0:c>
      <ns0:c r="E35" s="4" t="n">
        <ns0:v>0.2862629877110334</ns0:v>
      </ns0:c>
      <ns0:c r="F35" s="4" t="n">
        <ns0:v>0.04355590808377186</ns0:v>
      </ns0:c>
      <ns0:c r="G35" s="4" t="n">
        <ns0:v>0.1313714572446489</ns0:v>
      </ns0:c>
      <ns0:c r="H35" s="7" t="n">
        <ns0:v>0.2470588235294118</ns0:v>
      </ns0:c>
      <ns0:c r="I35" s="7" t="n">
        <ns0:v>0.1882352941176471</ns0:v>
      </ns0:c>
      <ns0:c r="J35" s="4" t="n">
        <ns0:v>0.1801540841243777</ns0:v>
      </ns0:c>
      <ns0:c r="K35" s="4" t="n">
        <ns0:v>0.6404868969142314</ns0:v>
      </ns0:c>
    </ns0:row>
    <ns0:row r="36" ht="28" customHeight="1">
      <ns0:c r="A36" s="3" t="inlineStr">
        <ns0:is>
          <ns0:t>v7_merge</ns0:t>
        </ns0:is>
      </ns0:c>
      <ns0:c r="B36" s="3" t="inlineStr">
        <ns0:is>
          <ns0:t>office2</ns0:t>
        </ns0:is>
      </ns0:c>
      <ns0:c r="C36" s="6" t="n">
        <ns0:v>0.457450931130748</ns0:v>
      </ns0:c>
      <ns0:c r="D36" s="6" t="n">
        <ns0:v>0.676374749376237</ns0:v>
      </ns0:c>
      <ns0:c r="E36" s="6" t="n">
        <ns0:v>0.2728854910247132</ns0:v>
      </ns0:c>
      <ns0:c r="F36" s="6" t="n">
        <ns0:v>0.05660818168945104</ns0:v>
      </ns0:c>
      <ns0:c r="G36" s="6" t="n">
        <ns0:v>0.1226641744802187</ns0:v>
      </ns0:c>
      <ns0:c r="H36" s="6" t="n">
        <ns0:v>0.1882352941176471</ns0:v>
      </ns0:c>
      <ns0:c r="I36" s="6" t="n">
        <ns0:v>0.1882352941176471</ns0:v>
      </ns0:c>
      <ns0:c r="J36" s="6" t="n">
        <ns0:v>0.167214631863368</ns0:v>
      </ns0:c>
      <ns0:c r="K36" s="6" t="n">
        <ns0:v>0.646326491670837</ns0:v>
      </ns0:c>
    </ns0:row>
    <ns0:row r="37" ht="36" customHeight="1">
      <ns0:c r="A37" s="1" t="inlineStr">
        <ns0:is>
          <ns0:t>v7_merge / v7_merge_re：400帧在线建图；同一v2评估器、GT、投影与CLIP文本。前端差异仍保留；单场景结果。</ns0:t>
        </ns0:is>
      </ns0:c>
    </ns0:row>
    <ns0:row r="38"/>
    <ns0:row r="39" ht="28" customHeight="1">
      <ns0:c r="A39" s="1" t="inlineStr">
        <ns0:is>
          <ns0:t>TwoRoad 八场景联合对照：同一组 v7_CLIP 地图，仅改变语义读出</ns0:t>
        </ns0:is>
      </ns0:c>
    </ns0:row>
    <ns0:row r="40" ht="32" customHeight="1">
      <ns0:c r="A40" s="10" t="inlineStr">
        <ns0:is>
          <ns0:t>方法</ns0:t>
        </ns0:is>
      </ns0:c>
      <ns0:c r="B40" s="10" t="inlineStr">
        <ns0:is>
          <ns0:t>场景数</ns0:t>
        </ns0:is>
      </ns0:c>
      <ns0:c r="C40" s="11" t="inlineStr">
        <ns0:is>
          <ns0:t>Inst. mIoU</ns0:t>
        </ns0:is>
      </ns0:c>
      <ns0:c r="D40" s="11" t="inlineStr">
        <ns0:is>
          <ns0:t>Inst. AP25</ns0:t>
        </ns0:is>
      </ns0:c>
      <ns0:c r="E40" s="11" t="inlineStr">
        <ns0:is>
          <ns0:t>Inst. AP50</ns0:t>
        </ns0:is>
      </ns0:c>
      <ns0:c r="F40" s="11" t="inlineStr">
        <ns0:is>
          <ns0:t>Inst. AP75</ns0:t>
        </ns0:is>
      </ns0:c>
      <ns0:c r="G40" s="11" t="inlineStr">
        <ns0:is>
          <ns0:t>Sem. mIoU</ns0:t>
        </ns0:is>
      </ns0:c>
      <ns0:c r="H40" s="11" t="inlineStr">
        <ns0:is>
          <ns0:t>Sem. AP25</ns0:t>
        </ns0:is>
      </ns0:c>
      <ns0:c r="I40" s="11" t="inlineStr">
        <ns0:is>
          <ns0:t>Sem. AP50</ns0:t>
        </ns0:is>
      </ns0:c>
      <ns0:c r="J40" s="11" t="inlineStr">
        <ns0:is>
          <ns0:t>mAcc</ns0:t>
        </ns0:is>
      </ns0:c>
      <ns0:c r="K40" s="11" t="inlineStr">
        <ns0:is>
          <ns0:t>Object Surface Coverage@5cm</ns0:t>
        </ns0:is>
      </ns0:c>
    </ns0:row>
    <ns0:row r="41" ht="32" customHeight="1">
      <ns0:c r="A41" s="12" t="inlineStr">
        <ns0:is>
          <ns0:t>CLIP融合读出</ns0:t>
        </ns0:is>
      </ns0:c>
      <ns0:c r="B41" s="12" t="n">
        <ns0:v>8</ns0:v>
      </ns0:c>
      <ns0:c r="C41" s="13" t="n">
        <ns0:v>0.4395780469286663</ns0:v>
      </ns0:c>
      <ns0:c r="D41" s="13" t="n">
        <ns0:v>0.6033406577065344</ns0:v>
      </ns0:c>
      <ns0:c r="E41" s="13" t="n">
        <ns0:v>0.2918178937492031</ns0:v>
      </ns0:c>
      <ns0:c r="F41" s="13" t="n">
        <ns0:v>0.04064713397139101</ns0:v>
      </ns0:c>
      <ns0:c r="G41" s="13" t="n">
        <ns0:v>0.1365468126959448</ns0:v>
      </ns0:c>
      <ns0:c r="H41" s="14" t="n">
        <ns0:v>0.2056739744032219</ns0:v>
      </ns0:c>
      <ns0:c r="I41" s="14" t="n">
        <ns0:v>0.1531374726859488</ns0:v>
      </ns0:c>
      <ns0:c r="J41" s="14" t="n">
        <ns0:v>0.2582890361669045</ns0:v>
      </ns0:c>
      <ns0:c r="K41" s="13" t="n">
        <ns0:v>0.6982104297455811</ns0:v>
      </ns0:c>
    </ns0:row>
    <ns0:row r="42" ht="32" customHeight="1">
      <ns0:c r="A42" s="12" t="inlineStr">
        <ns0:is>
          <ns0:t>CLIP+bbox读出</ns0:t>
        </ns0:is>
      </ns0:c>
      <ns0:c r="B42" s="12" t="n">
        <ns0:v>8</ns0:v>
      </ns0:c>
      <ns0:c r="C42" s="13" t="n">
        <ns0:v>0.4395780469286663</ns0:v>
      </ns0:c>
      <ns0:c r="D42" s="13" t="n">
        <ns0:v>0.6033406577065344</ns0:v>
      </ns0:c>
      <ns0:c r="E42" s="13" t="n">
        <ns0:v>0.2918178937492031</ns0:v>
      </ns0:c>
      <ns0:c r="F42" s="13" t="n">
        <ns0:v>0.04064713397139101</ns0:v>
      </ns0:c>
      <ns0:c r="G42" s="14" t="n">
        <ns0:v>0.1330173287115932</ns0:v>
      </ns0:c>
      <ns0:c r="H42" s="13" t="n">
        <ns0:v>0.2193097849931351</ns0:v>
      </ns0:c>
      <ns0:c r="I42" s="13" t="n">
        <ns0:v>0.1800319591125825</ns0:v>
      </ns0:c>
      <ns0:c r="J42" s="13" t="n">
        <ns0:v>0.2748141810060153</ns0:v>
      </ns0:c>
      <ns0:c r="K42" s="13" t="n">
        <ns0:v>0.6982104297455811</ns0:v>
      </ns0:c>
    </ns0:row>
    <ns0:row r="43" ht="32" customHeight="1">
      <ns0:c r="A43" s="12" t="inlineStr">
        <ns0:is>
          <ns0:t>差值（百分点）</ns0:t>
        </ns0:is>
      </ns0:c>
      <ns0:c r="B43" s="12" t="n"/>
      <ns0:c r="C43" s="15">
        <ns0:f>(C42-C41)*100</ns0:f>
        <ns0:v>0</ns0:v>
      </ns0:c>
      <ns0:c r="D43" s="15">
        <ns0:f>(D42-D41)*100</ns0:f>
        <ns0:v>0</ns0:v>
      </ns0:c>
      <ns0:c r="E43" s="15">
        <ns0:f>(E42-E41)*100</ns0:f>
        <ns0:v>0</ns0:v>
      </ns0:c>
      <ns0:c r="F43" s="15">
        <ns0:f>(F42-F41)*100</ns0:f>
        <ns0:v>0</ns0:v>
      </ns0:c>
      <ns0:c r="G43" s="15">
        <ns0:f>(G42-G41)*100</ns0:f>
        <ns0:v>-0.35294839843516</ns0:v>
      </ns0:c>
      <ns0:c r="H43" s="15">
        <ns0:f>(H42-H41)*100</ns0:f>
        <ns0:v>1.36358105899132</ns0:v>
      </ns0:c>
      <ns0:c r="I43" s="15">
        <ns0:f>(I42-I41)*100</ns0:f>
        <ns0:v>2.68944864266337</ns0:v>
      </ns0:c>
      <ns0:c r="J43" s="15">
        <ns0:f>(J42-J41)*100</ns0:f>
        <ns0:v>1.65251448391108</ns0:v>
      </ns0:c>
      <ns0:c r="K43" s="15">
        <ns0:f>(K42-K41)*100</ns0:f>
        <ns0:v>0</ns0:v>
      </ns0:c>
    </ns0:row>
    <ns0:row r="44"/>
    <ns0:row r="45" ht="28" customHeight="1">
      <ns0:c r="A45" s="1" t="inlineStr">
        <ns0:is>
          <ns0:t>现有 TwoRoad room0：修正语义字段，实例指标保持一致</ns0:t>
        </ns0:is>
      </ns0:c>
    </ns0:row>
    <ns0:row r="46" ht="32" customHeight="1">
      <ns0:c r="A46" s="10" t="inlineStr">
        <ns0:is>
          <ns0:t>方法</ns0:t>
        </ns0:is>
      </ns0:c>
      <ns0:c r="B46" s="10" t="inlineStr">
        <ns0:is>
          <ns0:t>场景数</ns0:t>
        </ns0:is>
      </ns0:c>
      <ns0:c r="C46" s="11" t="inlineStr">
        <ns0:is>
          <ns0:t>Inst. mIoU</ns0:t>
        </ns0:is>
      </ns0:c>
      <ns0:c r="D46" s="11" t="inlineStr">
        <ns0:is>
          <ns0:t>Inst. AP25</ns0:t>
        </ns0:is>
      </ns0:c>
      <ns0:c r="E46" s="11" t="inlineStr">
        <ns0:is>
          <ns0:t>Inst. AP50</ns0:t>
        </ns0:is>
      </ns0:c>
      <ns0:c r="F46" s="11" t="inlineStr">
        <ns0:is>
          <ns0:t>Inst. AP75</ns0:t>
        </ns0:is>
      </ns0:c>
      <ns0:c r="G46" s="11" t="inlineStr">
        <ns0:is>
          <ns0:t>Sem. mIoU</ns0:t>
        </ns0:is>
      </ns0:c>
      <ns0:c r="H46" s="11" t="inlineStr">
        <ns0:is>
          <ns0:t>Sem. AP25</ns0:t>
        </ns0:is>
      </ns0:c>
      <ns0:c r="I46" s="11" t="inlineStr">
        <ns0:is>
          <ns0:t>Sem. AP50</ns0:t>
        </ns0:is>
      </ns0:c>
      <ns0:c r="J46" s="11" t="inlineStr">
        <ns0:is>
          <ns0:t>mAcc</ns0:t>
        </ns0:is>
      </ns0:c>
      <ns0:c r="K46" s="11" t="inlineStr">
        <ns0:is>
          <ns0:t>Object Surface Coverage@5cm</ns0:t>
        </ns0:is>
      </ns0:c>
    </ns0:row>
    <ns0:row r="47" ht="32" customHeight="1">
      <ns0:c r="A47" s="12" t="inlineStr">
        <ns0:is>
          <ns0:t>TwoRoad融合读出</ns0:t>
        </ns0:is>
      </ns0:c>
      <ns0:c r="B47" s="12" t="inlineStr">
        <ns0:is>
          <ns0:t>room0</ns0:t>
        </ns0:is>
      </ns0:c>
      <ns0:c r="C47" s="13" t="n">
        <ns0:v>0.4641733359877803</ns0:v>
      </ns0:c>
      <ns0:c r="D47" s="13" t="n">
        <ns0:v>0.5882035341289031</ns0:v>
      </ns0:c>
      <ns0:c r="E47" s="13" t="n">
        <ns0:v>0.3500447103479245</ns0:v>
      </ns0:c>
      <ns0:c r="F47" s="13" t="n">
        <ns0:v>0.066556381316938</ns0:v>
      </ns0:c>
      <ns0:c r="G47" s="14" t="n">
        <ns0:v>0.1755434233342291</ns0:v>
      </ns0:c>
      <ns0:c r="H47" s="14" t="n">
        <ns0:v>0.2666790674603174</ns0:v>
      </ns0:c>
      <ns0:c r="I47" s="14" t="n">
        <ns0:v>0.2385912698412699</ns0:v>
      </ns0:c>
      <ns0:c r="J47" s="14" t="n">
        <ns0:v>0.2776635147235777</ns0:v>
      </ns0:c>
      <ns0:c r="K47" s="13" t="n">
        <ns0:v>0.7917715398547892</ns0:v>
      </ns0:c>
    </ns0:row>
    <ns0:row r="48" ht="32" customHeight="1">
      <ns0:c r="A48" s="12" t="inlineStr">
        <ns0:is>
          <ns0:t>TwoRoad bbox读出</ns0:t>
        </ns0:is>
      </ns0:c>
      <ns0:c r="B48" s="12" t="inlineStr">
        <ns0:is>
          <ns0:t>room0</ns0:t>
        </ns0:is>
      </ns0:c>
      <ns0:c r="C48" s="13" t="n">
        <ns0:v>0.4641733359877803</ns0:v>
      </ns0:c>
      <ns0:c r="D48" s="13" t="n">
        <ns0:v>0.5882035341289031</ns0:v>
      </ns0:c>
      <ns0:c r="E48" s="13" t="n">
        <ns0:v>0.3500447103479245</ns0:v>
      </ns0:c>
      <ns0:c r="F48" s="13" t="n">
        <ns0:v>0.066556381316938</ns0:v>
      </ns0:c>
      <ns0:c r="G48" s="13" t="n">
        <ns0:v>0.2159402350275205</ns0:v>
      </ns0:c>
      <ns0:c r="H48" s="13" t="n">
        <ns0:v>0.2914806547619048</ns0:v>
      </ns0:c>
      <ns0:c r="I48" s="13" t="n">
        <ns0:v>0.2693452380952381</ns0:v>
      </ns0:c>
      <ns0:c r="J48" s="13" t="n">
        <ns0:v>0.3113481382138575</ns0:v>
      </ns0:c>
      <ns0:c r="K48" s="13" t="n">
        <ns0:v>0.7917715398547892</ns0:v>
      </ns0:c>
    </ns0:row>
    <ns0:row r="49" ht="32" customHeight="1">
      <ns0:c r="A49" s="12" t="inlineStr">
        <ns0:is>
          <ns0:t>差值（百分点）</ns0:t>
        </ns0:is>
      </ns0:c>
      <ns0:c r="B49" s="12" t="n"/>
      <ns0:c r="C49" s="15">
        <ns0:f>(C48-C47)*100</ns0:f>
        <ns0:v>0</ns0:v>
      </ns0:c>
      <ns0:c r="D49" s="15">
        <ns0:f>(D48-D47)*100</ns0:f>
        <ns0:v>0</ns0:v>
      </ns0:c>
      <ns0:c r="E49" s="15">
        <ns0:f>(E48-E47)*100</ns0:f>
        <ns0:v>0</ns0:v>
      </ns0:c>
      <ns0:c r="F49" s="15">
        <ns0:f>(F48-F47)*100</ns0:f>
        <ns0:v>0</ns0:v>
      </ns0:c>
      <ns0:c r="G49" s="15">
        <ns0:f>(G48-G47)*100</ns0:f>
        <ns0:v>4.03968116932914</ns0:v>
      </ns0:c>
      <ns0:c r="H49" s="15">
        <ns0:f>(H48-H47)*100</ns0:f>
        <ns0:v>2.48015873015874</ns0:v>
      </ns0:c>
      <ns0:c r="I49" s="15">
        <ns0:f>(I48-I47)*100</ns0:f>
        <ns0:v>3.07539682539682</ns0:v>
      </ns0:c>
      <ns0:c r="J49" s="15">
        <ns0:f>(J48-J47)*100</ns0:f>
        <ns0:v>3.36846234902798</ns0:v>
      </ns0:c>
      <ns0:c r="K49" s="15">
        <ns0:f>(K48-K47)*100</ns0:f>
        <ns0:v>0</ns0:v>
      </ns0:c>
    </ns0:row>
    <ns0:row r="50"/>
    <ns0:row r="51" ht="28" customHeight="1">
      <ns0:c r="A51" s="1" t="inlineStr">
        <ns0:is>
          <ns0:t>新增四场景联合对照：room2、office1、office3、office4</ns0:t>
        </ns0:is>
      </ns0:c>
    </ns0:row>
    <ns0:row r="52" ht="32" customHeight="1">
      <ns0:c r="A52" s="10" t="inlineStr">
        <ns0:is>
          <ns0:t>方法</ns0:t>
        </ns0:is>
      </ns0:c>
      <ns0:c r="B52" s="10" t="inlineStr">
        <ns0:is>
          <ns0:t>场景数</ns0:t>
        </ns0:is>
      </ns0:c>
      <ns0:c r="C52" s="11" t="inlineStr">
        <ns0:is>
          <ns0:t>Inst. mIoU</ns0:t>
        </ns0:is>
      </ns0:c>
      <ns0:c r="D52" s="11" t="inlineStr">
        <ns0:is>
          <ns0:t>Inst. AP25</ns0:t>
        </ns0:is>
      </ns0:c>
      <ns0:c r="E52" s="11" t="inlineStr">
        <ns0:is>
          <ns0:t>Inst. AP50</ns0:t>
        </ns0:is>
      </ns0:c>
      <ns0:c r="F52" s="11" t="inlineStr">
        <ns0:is>
          <ns0:t>Inst. AP75</ns0:t>
        </ns0:is>
      </ns0:c>
      <ns0:c r="G52" s="11" t="inlineStr">
        <ns0:is>
          <ns0:t>Sem. mIoU</ns0:t>
        </ns0:is>
      </ns0:c>
      <ns0:c r="H52" s="11" t="inlineStr">
        <ns0:is>
          <ns0:t>Sem. AP25</ns0:t>
        </ns0:is>
      </ns0:c>
      <ns0:c r="I52" s="11" t="inlineStr">
        <ns0:is>
          <ns0:t>Sem. AP50</ns0:t>
        </ns0:is>
      </ns0:c>
      <ns0:c r="J52" s="11" t="inlineStr">
        <ns0:is>
          <ns0:t>mAcc</ns0:t>
        </ns0:is>
      </ns0:c>
      <ns0:c r="K52" s="11" t="inlineStr">
        <ns0:is>
          <ns0:t>Object Surface Coverage@5cm</ns0:t>
        </ns0:is>
      </ns0:c>
    </ns0:row>
    <ns0:row r="53" ht="32" customHeight="1">
      <ns0:c r="A53" s="12" t="inlineStr">
        <ns0:is>
          <ns0:t>CLIP融合读出</ns0:t>
        </ns0:is>
      </ns0:c>
      <ns0:c r="B53" s="12" t="n">
        <ns0:v>4</ns0:v>
      </ns0:c>
      <ns0:c r="C53" s="13" t="n">
        <ns0:v>0.4357769740209494</ns0:v>
      </ns0:c>
      <ns0:c r="D53" s="13" t="n">
        <ns0:v>0.6296485601141499</ns0:v>
      </ns0:c>
      <ns0:c r="E53" s="13" t="n">
        <ns0:v>0.3022914758263098</ns0:v>
      </ns0:c>
      <ns0:c r="F53" s="13" t="n">
        <ns0:v>0.03621143630066412</ns0:v>
      </ns0:c>
      <ns0:c r="G53" s="13" t="n">
        <ns0:v>0.1247245978070396</ns0:v>
      </ns0:c>
      <ns0:c r="H53" s="13" t="n">
        <ns0:v>0.2220264935782177</ns0:v>
      </ns0:c>
      <ns0:c r="I53" s="13" t="n">
        <ns0:v>0.1649901990419232</ns0:v>
      </ns0:c>
      <ns0:c r="J53" s="13" t="n">
        <ns0:v>0.2452606820297153</ns0:v>
      </ns0:c>
      <ns0:c r="K53" s="13" t="n">
        <ns0:v>0.6750596379707092</ns0:v>
      </ns0:c>
    </ns0:row>
    <ns0:row r="54" ht="32" customHeight="1">
      <ns0:c r="A54" s="12" t="inlineStr">
        <ns0:is>
          <ns0:t>CLIP+bbox读出</ns0:t>
        </ns0:is>
      </ns0:c>
      <ns0:c r="B54" s="12" t="n">
        <ns0:v>4</ns0:v>
      </ns0:c>
      <ns0:c r="C54" s="13" t="n">
        <ns0:v>0.4357769740209494</ns0:v>
      </ns0:c>
      <ns0:c r="D54" s="13" t="n">
        <ns0:v>0.6296485601141499</ns0:v>
      </ns0:c>
      <ns0:c r="E54" s="13" t="n">
        <ns0:v>0.3022914758263098</ns0:v>
      </ns0:c>
      <ns0:c r="F54" s="13" t="n">
        <ns0:v>0.03621143630066412</ns0:v>
      </ns0:c>
      <ns0:c r="G54" s="14" t="n">
        <ns0:v>0.1140289720254583</ns0:v>
      </ns0:c>
      <ns0:c r="H54" s="14" t="n">
        <ns0:v>0.1903967596496332</ns0:v>
      </ns0:c>
      <ns0:c r="I54" s="14" t="n">
        <ns0:v>0.1613630649652113</ns0:v>
      </ns0:c>
      <ns0:c r="J54" s="14" t="n">
        <ns0:v>0.2369960758890501</ns0:v>
      </ns0:c>
      <ns0:c r="K54" s="13" t="n">
        <ns0:v>0.6750596379707092</ns0:v>
      </ns0:c>
    </ns0:row>
    <ns0:row r="55" ht="32" customHeight="1">
      <ns0:c r="A55" s="12" t="inlineStr">
        <ns0:is>
          <ns0:t>差值（百分点）</ns0:t>
        </ns0:is>
      </ns0:c>
      <ns0:c r="B55" s="12" t="n"/>
      <ns0:c r="C55" s="15">
        <ns0:f>(C54-C53)*100</ns0:f>
        <ns0:v>0</ns0:v>
      </ns0:c>
      <ns0:c r="D55" s="15">
        <ns0:f>(D54-D53)*100</ns0:f>
        <ns0:v>0</ns0:v>
      </ns0:c>
      <ns0:c r="E55" s="15">
        <ns0:f>(E54-E53)*100</ns0:f>
        <ns0:v>0</ns0:v>
      </ns0:c>
      <ns0:c r="F55" s="15">
        <ns0:f>(F54-F53)*100</ns0:f>
        <ns0:v>0</ns0:v>
      </ns0:c>
      <ns0:c r="G55" s="15">
        <ns0:f>(G54-G53)*100</ns0:f>
        <ns0:v>-1.06956257815813</ns0:v>
      </ns0:c>
      <ns0:c r="H55" s="15">
        <ns0:f>(H54-H53)*100</ns0:f>
        <ns0:v>-3.16297339285845</ns0:v>
      </ns0:c>
      <ns0:c r="I55" s="15">
        <ns0:f>(I54-I53)*100</ns0:f>
        <ns0:v>-0.362713407671189</ns0:v>
      </ns0:c>
      <ns0:c r="J55" s="15">
        <ns0:f>(J54-J53)*100</ns0:f>
        <ns0:v>-0.826460614066518</ns0:v>
      </ns0:c>
      <ns0:c r="K55" s="15">
        <ns0:f>(K54-K53)*100</ns0:f>
        <ns0:v>0</ns0:v>
      </ns0:c>
    </ns0:row>
    <ns0:row r="56"/>
    <ns0:row r="57" ht="32" customHeight="1">
      <ns0:c r="A57" s="1" t="inlineStr">
        <ns0:is>
          <ns0:t>八景为已有在线地图的离线读出重评；本次新增在线建图与VLM请求均为0。</ns0:t>
        </ns0:is>
      </ns0:c>
    </ns0:row>
    <ns0:row r="58"/>
    <ns0:row r="59" ht="32" customHeight="1">
      <ns0:c r="A59" s="1" t="inlineStr">
        <ns0:is>
          <ns0:t>结论：不替换v7_CLIP主版。bbox联合mIoU下降，新增四景mIoU与AP50均下降。</ns0:t>
        </ns0:is>
      </ns0:c>
    </ns0:row>
    <ns0:row r="60"/>
    <ns0:row r="61" ht="30" customHeight="1">
      <ns0:c r="A61" s="1" t="inlineStr">
        <ns0:is>
          <ns0:t>v7_CLIP_v3 五场景联合对照：room1、room2、office0、office1、office2</ns0:t>
        </ns0:is>
      </ns0:c>
    </ns0:row>
    <ns0:row r="62" ht="32" customHeight="1">
      <ns0:c r="A62" s="10" t="inlineStr">
        <ns0:is>
          <ns0:t>方法</ns0:t>
        </ns0:is>
      </ns0:c>
      <ns0:c r="B62" s="10" t="inlineStr">
        <ns0:is>
          <ns0:t>场景数</ns0:t>
        </ns0:is>
      </ns0:c>
      <ns0:c r="C62" s="11" t="inlineStr">
        <ns0:is>
          <ns0:t>Inst. mIoU</ns0:t>
        </ns0:is>
      </ns0:c>
      <ns0:c r="D62" s="11" t="inlineStr">
        <ns0:is>
          <ns0:t>Inst. AP25</ns0:t>
        </ns0:is>
      </ns0:c>
      <ns0:c r="E62" s="11" t="inlineStr">
        <ns0:is>
          <ns0:t>Inst. AP50</ns0:t>
        </ns0:is>
      </ns0:c>
      <ns0:c r="F62" s="11" t="inlineStr">
        <ns0:is>
          <ns0:t>Inst. AP75</ns0:t>
        </ns0:is>
      </ns0:c>
      <ns0:c r="G62" s="11" t="inlineStr">
        <ns0:is>
          <ns0:t>Sem. mIoU</ns0:t>
        </ns0:is>
      </ns0:c>
      <ns0:c r="H62" s="11" t="inlineStr">
        <ns0:is>
          <ns0:t>Sem. AP25</ns0:t>
        </ns0:is>
      </ns0:c>
      <ns0:c r="I62" s="11" t="inlineStr">
        <ns0:is>
          <ns0:t>Sem. AP50</ns0:t>
        </ns0:is>
      </ns0:c>
      <ns0:c r="J62" s="11" t="inlineStr">
        <ns0:is>
          <ns0:t>mAcc</ns0:t>
        </ns0:is>
      </ns0:c>
      <ns0:c r="K62" s="11" t="inlineStr">
        <ns0:is>
          <ns0:t>Object Surface Coverage@5cm</ns0:t>
        </ns0:is>
      </ns0:c>
    </ns0:row>
    <ns0:row r="63" ht="32" customHeight="1">
      <ns0:c r="A63" s="12" t="inlineStr">
        <ns0:is>
          <ns0:t>v7_CLIP</ns0:t>
        </ns0:is>
      </ns0:c>
      <ns0:c r="B63" s="12" t="n">
        <ns0:v>5</ns0:v>
      </ns0:c>
      <ns0:c r="C63" s="19" t="n">
        <ns0:v>0.4317443232820347</ns0:v>
      </ns0:c>
      <ns0:c r="D63" s="19" t="n">
        <ns0:v>0.5999295559374982</ns0:v>
      </ns0:c>
      <ns0:c r="E63" s="19" t="n">
        <ns0:v>0.2724223709609409</ns0:v>
      </ns0:c>
      <ns0:c r="F63" s="19" t="n">
        <ns0:v>0.04036680229539437</ns0:v>
      </ns0:c>
      <ns0:c r="G63" s="19" t="n">
        <ns0:v>0.140416762442453</ns0:v>
      </ns0:c>
      <ns0:c r="H63" s="19" t="n">
        <ns0:v>0.2425888226773293</ns0:v>
      </ns0:c>
      <ns0:c r="I63" s="19" t="n">
        <ns0:v>0.1637845324472627</ns0:v>
      </ns0:c>
      <ns0:c r="J63" s="19" t="n">
        <ns0:v>0.2632136853714623</ns0:v>
      </ns0:c>
      <ns0:c r="K63" s="19" t="n">
        <ns0:v>0.6841202740509399</ns0:v>
      </ns0:c>
    </ns0:row>
    <ns0:row r="64" ht="32" customHeight="1">
      <ns0:c r="A64" s="12" t="inlineStr">
        <ns0:is>
          <ns0:t>v7_CLIP_v3</ns0:t>
        </ns0:is>
      </ns0:c>
      <ns0:c r="B64" s="12" t="n">
        <ns0:v>5</ns0:v>
      </ns0:c>
      <ns0:c r="C64" s="14" t="n">
        <ns0:v>0.4346149168040835</ns0:v>
      </ns0:c>
      <ns0:c r="D64" s="14" t="n">
        <ns0:v>0.6118231347845413</ns0:v>
      </ns0:c>
      <ns0:c r="E64" s="14" t="n">
        <ns0:v>0.2564599455368038</ns0:v>
      </ns0:c>
      <ns0:c r="F64" s="14" t="n">
        <ns0:v>0.04162348485663843</ns0:v>
      </ns0:c>
      <ns0:c r="G64" s="14" t="n">
        <ns0:v>0.1377223938950153</ns0:v>
      </ns0:c>
      <ns0:c r="H64" s="14" t="n">
        <ns0:v>0.2394206643423994</ns0:v>
      </ns0:c>
      <ns0:c r="I64" s="14" t="n">
        <ns0:v>0.1689193950621667</ns0:v>
      </ns0:c>
      <ns0:c r="J64" s="14" t="n">
        <ns0:v>0.2565015426941514</ns0:v>
      </ns0:c>
      <ns0:c r="K64" s="14" t="n">
        <ns0:v>0.6784229907064695</ns0:v>
      </ns0:c>
    </ns0:row>
    <ns0:row r="65" ht="32" customHeight="1">
      <ns0:c r="A65" s="12" t="inlineStr">
        <ns0:is>
          <ns0:t>v3 - CLIP（百分点）</ns0:t>
        </ns0:is>
      </ns0:c>
      <ns0:c r="B65" s="12" t="inlineStr">
        <ns0:is>
          <ns0:t>同5场景</ns0:t>
        </ns0:is>
      </ns0:c>
      <ns0:c r="C65" s="20">
        <ns0:f>(C64-C63)*100</ns0:f>
        <ns0:v>0.287059352204877</ns0:v>
      </ns0:c>
      <ns0:c r="D65" s="20">
        <ns0:f>(D64-D63)*100</ns0:f>
        <ns0:v>1.18935788470431</ns0:v>
      </ns0:c>
      <ns0:c r="E65" s="20">
        <ns0:f>(E64-E63)*100</ns0:f>
        <ns0:v>-1.59624254241371</ns0:v>
      </ns0:c>
      <ns0:c r="F65" s="20">
        <ns0:f>(F64-F63)*100</ns0:f>
        <ns0:v>0.125668256124406</ns0:v>
      </ns0:c>
      <ns0:c r="G65" s="20">
        <ns0:f>(G64-G63)*100</ns0:f>
        <ns0:v>-0.269436854743768</ns0:v>
      </ns0:c>
      <ns0:c r="H65" s="20">
        <ns0:f>(H64-H63)*100</ns0:f>
        <ns0:v>-0.316815833492992</ns0:v>
      </ns0:c>
      <ns0:c r="I65" s="20">
        <ns0:f>(I64-I63)*100</ns0:f>
        <ns0:v>0.513486261490398</ns0:v>
      </ns0:c>
      <ns0:c r="J65" s="20">
        <ns0:f>(J64-J63)*100</ns0:f>
        <ns0:v>-0.671214267731091</ns0:v>
      </ns0:c>
      <ns0:c r="K65" s="20">
        <ns0:f>(K64-K63)*100</ns0:f>
        <ns0:v>-0.569728334447039</ns0:v>
      </ns0:c>
    </ns0:row>
    <ns0:row r="66"/>
    <ns0:row r="67" ht="30" customHeight="1">
      <ns0:c r="A67" s="1" t="inlineStr">
        <ns0:is>
          <ns0:t>同五场景简单平均：与上方联合结果区分</ns0:t>
        </ns0:is>
      </ns0:c>
    </ns0:row>
    <ns0:row r="68" ht="32" customHeight="1">
      <ns0:c r="A68" s="10" t="inlineStr">
        <ns0:is>
          <ns0:t>方法</ns0:t>
        </ns0:is>
      </ns0:c>
      <ns0:c r="B68" s="10" t="inlineStr">
        <ns0:is>
          <ns0:t>场景数</ns0:t>
        </ns0:is>
      </ns0:c>
      <ns0:c r="C68" s="11" t="inlineStr">
        <ns0:is>
          <ns0:t>Inst. mIoU</ns0:t>
        </ns0:is>
      </ns0:c>
      <ns0:c r="D68" s="11" t="inlineStr">
        <ns0:is>
          <ns0:t>Inst. AP25</ns0:t>
        </ns0:is>
      </ns0:c>
      <ns0:c r="E68" s="11" t="inlineStr">
        <ns0:is>
          <ns0:t>Inst. AP50</ns0:t>
        </ns0:is>
      </ns0:c>
      <ns0:c r="F68" s="11" t="inlineStr">
        <ns0:is>
          <ns0:t>Inst. AP75</ns0:t>
        </ns0:is>
      </ns0:c>
      <ns0:c r="G68" s="11" t="inlineStr">
        <ns0:is>
          <ns0:t>Sem. mIoU</ns0:t>
        </ns0:is>
      </ns0:c>
      <ns0:c r="H68" s="11" t="inlineStr">
        <ns0:is>
          <ns0:t>Sem. AP25</ns0:t>
        </ns0:is>
      </ns0:c>
      <ns0:c r="I68" s="11" t="inlineStr">
        <ns0:is>
          <ns0:t>Sem. AP50</ns0:t>
        </ns0:is>
      </ns0:c>
      <ns0:c r="J68" s="11" t="inlineStr">
        <ns0:is>
          <ns0:t>mAcc</ns0:t>
        </ns0:is>
      </ns0:c>
      <ns0:c r="K68" s="11" t="inlineStr">
        <ns0:is>
          <ns0:t>Object Surface Coverage@5cm</ns0:t>
        </ns0:is>
      </ns0:c>
    </ns0:row>
    <ns0:row r="69" ht="32" customHeight="1">
      <ns0:c r="A69" s="12" t="inlineStr">
        <ns0:is>
          <ns0:t>v7_CLIP</ns0:t>
        </ns0:is>
      </ns0:c>
      <ns0:c r="B69" s="12" t="n">
        <ns0:v>5</ns0:v>
      </ns0:c>
      <ns0:c r="C69" s="19" t="n">
        <ns0:v>0.4310949454824377</ns0:v>
      </ns0:c>
      <ns0:c r="D69" s="19" t="n">
        <ns0:v>0.6118385944458063</ns0:v>
      </ns0:c>
      <ns0:c r="E69" s="19" t="n">
        <ns0:v>0.2953426677115989</ns0:v>
      </ns0:c>
      <ns0:c r="F69" s="19" t="n">
        <ns0:v>0.06467366370282497</ns0:v>
      </ns0:c>
      <ns0:c r="G69" s="19" t="n">
        <ns0:v>0.1479818342347573</ns0:v>
      </ns0:c>
      <ns0:c r="H69" s="19" t="n">
        <ns0:v>0.2529669071575998</ns0:v>
      </ns0:c>
      <ns0:c r="I69" s="19" t="n">
        <ns0:v>0.1809753588935574</ns0:v>
      </ns0:c>
      <ns0:c r="J69" s="19" t="n">
        <ns0:v>0.2420993869792166</ns0:v>
      </ns0:c>
      <ns0:c r="K69" s="19" t="n">
        <ns0:v>0.6850520140723704</ns0:v>
      </ns0:c>
    </ns0:row>
    <ns0:row r="70" ht="32" customHeight="1">
      <ns0:c r="A70" s="12" t="inlineStr">
        <ns0:is>
          <ns0:t>v7_CLIP_v3</ns0:t>
        </ns0:is>
      </ns0:c>
      <ns0:c r="B70" s="12" t="n">
        <ns0:v>5</ns0:v>
      </ns0:c>
      <ns0:c r="C70" s="14" t="n">
        <ns0:v>0.4350519837556356</ns0:v>
      </ns0:c>
      <ns0:c r="D70" s="14" t="n">
        <ns0:v>0.6268339169396964</ns0:v>
      </ns0:c>
      <ns0:c r="E70" s="14" t="n">
        <ns0:v>0.2790941893543737</ns0:v>
      </ns0:c>
      <ns0:c r="F70" s="14" t="n">
        <ns0:v>0.06531674323263792</ns0:v>
      </ns0:c>
      <ns0:c r="G70" s="14" t="n">
        <ns0:v>0.1366623475656643</ns0:v>
      </ns0:c>
      <ns0:c r="H70" s="14" t="n">
        <ns0:v>0.2479759140498304</ns0:v>
      </ns0:c>
      <ns0:c r="I70" s="14" t="n">
        <ns0:v>0.1843045803847855</ns0:v>
      </ns0:c>
      <ns0:c r="J70" s="14" t="n">
        <ns0:v>0.2321334827827868</ns0:v>
      </ns0:c>
      <ns0:c r="K70" s="14" t="n">
        <ns0:v>0.6799397552670609</ns0:v>
      </ns0:c>
    </ns0:row>
    <ns0:row r="71" ht="32" customHeight="1">
      <ns0:c r="A71" s="12" t="inlineStr">
        <ns0:is>
          <ns0:t>v3 - CLIP（百分点）</ns0:t>
        </ns0:is>
      </ns0:c>
      <ns0:c r="B71" s="12" t="inlineStr">
        <ns0:is>
          <ns0:t>同5场景</ns0:t>
        </ns0:is>
      </ns0:c>
      <ns0:c r="C71" s="20">
        <ns0:f>(C70-C69)*100</ns0:f>
        <ns0:v>0.395703827319788</ns0:v>
      </ns0:c>
      <ns0:c r="D71" s="20">
        <ns0:f>(D70-D69)*100</ns0:f>
        <ns0:v>1.499532249389</ns0:v>
      </ns0:c>
      <ns0:c r="E71" s="20">
        <ns0:f>(E70-E69)*100</ns0:f>
        <ns0:v>-1.62484783572252</ns0:v>
      </ns0:c>
      <ns0:c r="F71" s="20">
        <ns0:f>(F70-F69)*100</ns0:f>
        <ns0:v>0.0643079529812948</ns0:v>
      </ns0:c>
      <ns0:c r="G71" s="20">
        <ns0:f>(G70-G69)*100</ns0:f>
        <ns0:v>-1.1319486669093</ns0:v>
      </ns0:c>
      <ns0:c r="H71" s="20">
        <ns0:f>(H70-H69)*100</ns0:f>
        <ns0:v>-0.499099310776938</ns0:v>
      </ns0:c>
      <ns0:c r="I71" s="20">
        <ns0:f>(I70-I69)*100</ns0:f>
        <ns0:v>0.332922149122811</ns0:v>
      </ns0:c>
      <ns0:c r="J71" s="20">
        <ns0:f>(J70-J69)*100</ns0:f>
        <ns0:v>-0.996590419642979</ns0:v>
      </ns0:c>
      <ns0:c r="K71" s="20">
        <ns0:f>(K70-K69)*100</ns0:f>
        <ns0:v>-0.511225880530952</ns0:v>
      </ns0:c>
    </ns0:row>
    <ns0:row r="72"/>
    <ns0:row r="73" ht="30" customHeight="1">
      <ns0:c r="A73" s="1" t="inlineStr">
        <ns0:is>
          <ns0:t>office2 已完成并评估。room0、office3、office4 按用户要求暂停；此处为五场景局部结果，不代表八场景。</ns0:t>
        </ns0:is>
      </ns0:c>
    </ns0:row>
    <ns0:row r="74"/>
    <ns0:row r="75" ht="30" customHeight="1">
      <ns0:c r="A75" s="1" t="inlineStr">
        <ns0:is>
          <ns0:t>联合结果：实例 mIoU 略升，实例 AP50、语义 mIoU 和覆盖率下降。保留收益与退化，暂不扩大场景。</ns0:t>
        </ns0:is>
      </ns0:c>
    </ns0:row>
    <ns0:row r="77" ht="38" customHeight="1">
      <ns0:c r="A77" s="1" t="inlineStr">
        <ns0:is>
          <ns0:t>论文消融：三组八场景联合结果（2026-09-11重新评测）</ns0:t>
        </ns0:is>
      </ns0:c>
    </ns0:row>
    <ns0:row r="78" ht="38" customHeight="1">
      <ns0:c r="A78" s="2" t="inlineStr">
        <ns0:is>
          <ns0:t>方法</ns0:t>
        </ns0:is>
      </ns0:c>
      <ns0:c r="B78" s="2" t="inlineStr">
        <ns0:is>
          <ns0:t>场景数</ns0:t>
        </ns0:is>
      </ns0:c>
      <ns0:c r="C78" s="2" t="inlineStr">
        <ns0:is>
          <ns0:t>Inst. mIoU</ns0:t>
        </ns0:is>
      </ns0:c>
      <ns0:c r="D78" s="2" t="inlineStr">
        <ns0:is>
          <ns0:t>Inst. AP25</ns0:t>
        </ns0:is>
      </ns0:c>
      <ns0:c r="E78" s="2" t="inlineStr">
        <ns0:is>
          <ns0:t>Inst. AP50</ns0:t>
        </ns0:is>
      </ns0:c>
      <ns0:c r="F78" s="2" t="inlineStr">
        <ns0:is>
          <ns0:t>Inst. AP75</ns0:t>
        </ns0:is>
      </ns0:c>
      <ns0:c r="G78" s="2" t="inlineStr">
        <ns0:is>
          <ns0:t>Sem. mIoU</ns0:t>
        </ns0:is>
      </ns0:c>
      <ns0:c r="H78" s="2" t="inlineStr">
        <ns0:is>
          <ns0:t>Sem. AP25</ns0:t>
        </ns0:is>
      </ns0:c>
      <ns0:c r="I78" s="2" t="inlineStr">
        <ns0:is>
          <ns0:t>Sem. AP50</ns0:t>
        </ns0:is>
      </ns0:c>
      <ns0:c r="J78" s="2" t="inlineStr">
        <ns0:is>
          <ns0:t>mAcc</ns0:t>
        </ns0:is>
      </ns0:c>
      <ns0:c r="K78" s="2" t="inlineStr">
        <ns0:is>
          <ns0:t>Object Surface Coverage@5cm</ns0:t>
        </ns0:is>
      </ns0:c>
    </ns0:row>
    <ns0:row r="79" ht="42" customHeight="1">
      <ns0:c r="A79" s="5" t="inlineStr">
        <ns0:is>
          <ns0:t>A ali-my bff233f</ns0:t>
        </ns0:is>
      </ns0:c>
      <ns0:c r="B79" s="5" t="n">
        <ns0:v>8</ns0:v>
      </ns0:c>
      <ns0:c r="C79" s="6" t="n">
        <ns0:v>0.3456547169250158</ns0:v>
      </ns0:c>
      <ns0:c r="D79" s="6" t="n">
        <ns0:v>0.4910127025410906</ns0:v>
      </ns0:c>
      <ns0:c r="E79" s="6" t="n">
        <ns0:v>0.1879618011172292</ns0:v>
      </ns0:c>
      <ns0:c r="F79" s="6" t="n">
        <ns0:v>0.01746008904621209</ns0:v>
      </ns0:c>
      <ns0:c r="G79" s="6" t="n">
        <ns0:v>0.1211719923288914</ns0:v>
      </ns0:c>
      <ns0:c r="H79" s="6" t="n">
        <ns0:v>0.1707876786093617</ns0:v>
      </ns0:c>
      <ns0:c r="I79" s="6" t="n">
        <ns0:v>0.1421035505876515</ns0:v>
      </ns0:c>
      <ns0:c r="J79" s="6" t="n">
        <ns0:v>0.2467413591948206</ns0:v>
      </ns0:c>
      <ns0:c r="K79" s="6" t="n">
        <ns0:v>0.6350991760833455</ns0:v>
      </ns0:c>
    </ns0:row>
    <ns0:row r="80" ht="42" customHeight="1">
      <ns0:c r="A80" s="5" t="inlineStr">
        <ns0:is>
          <ns0:t>B 原图（无VLM）</ns0:t>
        </ns0:is>
      </ns0:c>
      <ns0:c r="B80" s="5" t="n">
        <ns0:v>8</ns0:v>
      </ns0:c>
      <ns0:c r="C80" s="6" t="n">
        <ns0:v>0.4258950844500016</ns0:v>
      </ns0:c>
      <ns0:c r="D80" s="6" t="n">
        <ns0:v>0.5987879201746854</ns0:v>
      </ns0:c>
      <ns0:c r="E80" s="6" t="n">
        <ns0:v>0.2423677730014008</ns0:v>
      </ns0:c>
      <ns0:c r="F80" s="6" t="n">
        <ns0:v>0.04400122777173261</ns0:v>
      </ns0:c>
      <ns0:c r="G80" s="6" t="n">
        <ns0:v>0.1251758349438012</ns0:v>
      </ns0:c>
      <ns0:c r="H80" s="6" t="n">
        <ns0:v>0.2164887713200658</ns0:v>
      </ns0:c>
      <ns0:c r="I80" s="6" t="n">
        <ns0:v>0.1541044713269139</ns0:v>
      </ns0:c>
      <ns0:c r="J80" s="6" t="n">
        <ns0:v>0.2613256482242413</ns0:v>
      </ns0:c>
      <ns0:c r="K80" s="6" t="n">
        <ns0:v>0.7064098178271998</ns0:v>
      </ns0:c>
    </ns0:row>
    <ns0:row r="81" ht="42" customHeight="1">
      <ns0:c r="A81" s="5" t="inlineStr">
        <ns0:is>
          <ns0:t>C 原图+CLIP（无VLM）</ns0:t>
        </ns0:is>
      </ns0:c>
      <ns0:c r="B81" s="5" t="n">
        <ns0:v>8</ns0:v>
      </ns0:c>
      <ns0:c r="C81" s="6" t="n">
        <ns0:v>0.4278293178558412</ns0:v>
      </ns0:c>
      <ns0:c r="D81" s="6" t="n">
        <ns0:v>0.6008457186934357</ns0:v>
      </ns0:c>
      <ns0:c r="E81" s="6" t="n">
        <ns0:v>0.2587596375789169</ns0:v>
      </ns0:c>
      <ns0:c r="F81" s="6" t="n">
        <ns0:v>0.04785000121453901</ns0:v>
      </ns0:c>
      <ns0:c r="G81" s="6" t="n">
        <ns0:v>0.1277402581632639</ns0:v>
      </ns0:c>
      <ns0:c r="H81" s="6" t="n">
        <ns0:v>0.2017414044393655</ns0:v>
      </ns0:c>
      <ns0:c r="I81" s="6" t="n">
        <ns0:v>0.1342780680347301</ns0:v>
      </ns0:c>
      <ns0:c r="J81" s="6" t="n">
        <ns0:v>0.2406252973689092</ns0:v>
      </ns0:c>
      <ns0:c r="K81" s="6" t="n">
        <ns0:v>0.7063880443525679</ns0:v>
      </ns0:c>
    </ns0:row>
    <ns0:row r="82" ht="32" customHeight="1">
      <ns0:c r="A82" s="12" t="inlineStr">
        <ns0:is>
          <ns0:t>B − A（百分点）</ns0:t>
        </ns0:is>
      </ns0:c>
      <ns0:c r="B82" s="12" t="n">
        <ns0:v>8</ns0:v>
      </ns0:c>
      <ns0:c r="C82" s="15">
        <ns0:f>(C80-C79)*100</ns0:f>
        <ns0:v>8.02403675249858</ns0:v>
      </ns0:c>
      <ns0:c r="D82" s="15">
        <ns0:f>(D80-D79)*100</ns0:f>
        <ns0:v>10.7775217633595</ns0:v>
      </ns0:c>
      <ns0:c r="E82" s="15">
        <ns0:f>(E80-E79)*100</ns0:f>
        <ns0:v>5.44059718841716</ns0:v>
      </ns0:c>
      <ns0:c r="F82" s="15">
        <ns0:f>(F80-F79)*100</ns0:f>
        <ns0:v>2.65411387255205</ns0:v>
      </ns0:c>
      <ns0:c r="G82" s="15">
        <ns0:f>(G80-G79)*100</ns0:f>
        <ns0:v>0.400384261490978</ns0:v>
      </ns0:c>
      <ns0:c r="H82" s="15">
        <ns0:f>(H80-H79)*100</ns0:f>
        <ns0:v>4.57010927107041</ns0:v>
      </ns0:c>
      <ns0:c r="I82" s="15">
        <ns0:f>(I80-I79)*100</ns0:f>
        <ns0:v>1.20009207392624</ns0:v>
      </ns0:c>
      <ns0:c r="J82" s="15">
        <ns0:f>(J80-J79)*100</ns0:f>
        <ns0:v>1.45842890294207</ns0:v>
      </ns0:c>
      <ns0:c r="K82" s="15">
        <ns0:f>(K80-K79)*100</ns0:f>
        <ns0:v>7.13106417438543</ns0:v>
      </ns0:c>
    </ns0:row>
    <ns0:row r="83" ht="32" customHeight="1">
      <ns0:c r="A83" s="12" t="inlineStr">
        <ns0:is>
          <ns0:t>C − B（百分点）</ns0:t>
        </ns0:is>
      </ns0:c>
      <ns0:c r="B83" s="12" t="n">
        <ns0:v>8</ns0:v>
      </ns0:c>
      <ns0:c r="C83" s="15">
        <ns0:f>(C81-C80)*100</ns0:f>
        <ns0:v>0.193423340583959</ns0:v>
      </ns0:c>
      <ns0:c r="D83" s="15">
        <ns0:f>(D81-D80)*100</ns0:f>
        <ns0:v>0.205779851875032</ns0:v>
      </ns0:c>
      <ns0:c r="E83" s="15">
        <ns0:f>(E81-E80)*100</ns0:f>
        <ns0:v>1.63918645775161</ns0:v>
      </ns0:c>
      <ns0:c r="F83" s="15">
        <ns0:f>(F81-F80)*100</ns0:f>
        <ns0:v>0.38487734428064</ns0:v>
      </ns0:c>
      <ns0:c r="G83" s="15">
        <ns0:f>(G81-G80)*100</ns0:f>
        <ns0:v>0.256442321946271</ns0:v>
      </ns0:c>
      <ns0:c r="H83" s="15">
        <ns0:f>(H81-H80)*100</ns0:f>
        <ns0:v>-1.47473668807003</ns0:v>
      </ns0:c>
      <ns0:c r="I83" s="15">
        <ns0:f>(I81-I80)*100</ns0:f>
        <ns0:v>-1.98264032921838</ns0:v>
      </ns0:c>
      <ns0:c r="J83" s="15">
        <ns0:f>(J81-J80)*100</ns0:f>
        <ns0:v>-2.07003508553321</ns0:v>
      </ns0:c>
      <ns0:c r="K83" s="15">
        <ns0:f>(K81-K80)*100</ns0:f>
        <ns0:v>-0.00217734746319476</ns0:v>
      </ns0:c>
    </ns0:row>
    <ns0:row r="85" ht="38" customHeight="1">
      <ns0:c r="A85" s="1" t="inlineStr">
        <ns0:is>
          <ns0:t>八场景简单平均：与联合结果区分</ns0:t>
        </ns0:is>
      </ns0:c>
    </ns0:row>
    <ns0:row r="86" ht="38" customHeight="1">
      <ns0:c r="A86" s="2" t="inlineStr">
        <ns0:is>
          <ns0:t>方法</ns0:t>
        </ns0:is>
      </ns0:c>
      <ns0:c r="B86" s="2" t="inlineStr">
        <ns0:is>
          <ns0:t>场景数</ns0:t>
        </ns0:is>
      </ns0:c>
      <ns0:c r="C86" s="2" t="inlineStr">
        <ns0:is>
          <ns0:t>Inst. mIoU</ns0:t>
        </ns0:is>
      </ns0:c>
      <ns0:c r="D86" s="2" t="inlineStr">
        <ns0:is>
          <ns0:t>Inst. AP25</ns0:t>
        </ns0:is>
      </ns0:c>
      <ns0:c r="E86" s="2" t="inlineStr">
        <ns0:is>
          <ns0:t>Inst. AP50</ns0:t>
        </ns0:is>
      </ns0:c>
      <ns0:c r="F86" s="2" t="inlineStr">
        <ns0:is>
          <ns0:t>Inst. AP75</ns0:t>
        </ns0:is>
      </ns0:c>
      <ns0:c r="G86" s="2" t="inlineStr">
        <ns0:is>
          <ns0:t>Sem. mIoU</ns0:t>
        </ns0:is>
      </ns0:c>
      <ns0:c r="H86" s="2" t="inlineStr">
        <ns0:is>
          <ns0:t>Sem. AP25</ns0:t>
        </ns0:is>
      </ns0:c>
      <ns0:c r="I86" s="2" t="inlineStr">
        <ns0:is>
          <ns0:t>Sem. AP50</ns0:t>
        </ns0:is>
      </ns0:c>
      <ns0:c r="J86" s="2" t="inlineStr">
        <ns0:is>
          <ns0:t>mAcc</ns0:t>
        </ns0:is>
      </ns0:c>
      <ns0:c r="K86" s="2" t="inlineStr">
        <ns0:is>
          <ns0:t>Object Surface Coverage@5cm</ns0:t>
        </ns0:is>
      </ns0:c>
    </ns0:row>
    <ns0:row r="87" ht="42" customHeight="1">
      <ns0:c r="A87" s="5" t="inlineStr">
        <ns0:is>
          <ns0:t>A ali-my bff233f</ns0:t>
        </ns0:is>
      </ns0:c>
      <ns0:c r="B87" s="5" t="n">
        <ns0:v>8</ns0:v>
      </ns0:c>
      <ns0:c r="C87" s="6" t="n">
        <ns0:v>0.3500910678062243</ns0:v>
      </ns0:c>
      <ns0:c r="D87" s="6" t="n">
        <ns0:v>0.5169594042122171</ns0:v>
      </ns0:c>
      <ns0:c r="E87" s="6" t="n">
        <ns0:v>0.2085662327371056</ns0:v>
      </ns0:c>
      <ns0:c r="F87" s="6" t="n">
        <ns0:v>0.02847980615319</ns0:v>
      </ns0:c>
      <ns0:c r="G87" s="6" t="n">
        <ns0:v>0.1426672953280648</ns0:v>
      </ns0:c>
      <ns0:c r="H87" s="6" t="n">
        <ns0:v>0.2062676283959674</ns0:v>
      </ns0:c>
      <ns0:c r="I87" s="6" t="n">
        <ns0:v>0.1632832853187628</ns0:v>
      </ns0:c>
      <ns0:c r="J87" s="6" t="n">
        <ns0:v>0.2271930448252639</ns0:v>
      </ns0:c>
      <ns0:c r="K87" s="6" t="n">
        <ns0:v>0.6305809465152915</ns0:v>
      </ns0:c>
    </ns0:row>
    <ns0:row r="88" ht="42" customHeight="1">
      <ns0:c r="A88" s="5" t="inlineStr">
        <ns0:is>
          <ns0:t>B 原图（无VLM）</ns0:t>
        </ns0:is>
      </ns0:c>
      <ns0:c r="B88" s="5" t="n">
        <ns0:v>8</ns0:v>
      </ns0:c>
      <ns0:c r="C88" s="6" t="n">
        <ns0:v>0.425186859534395</ns0:v>
      </ns0:c>
      <ns0:c r="D88" s="6" t="n">
        <ns0:v>0.6128962968901328</ns0:v>
      </ns0:c>
      <ns0:c r="E88" s="6" t="n">
        <ns0:v>0.2606280085346284</ns0:v>
      </ns0:c>
      <ns0:c r="F88" s="6" t="n">
        <ns0:v>0.06388521272806591</ns0:v>
      </ns0:c>
      <ns0:c r="G88" s="6" t="n">
        <ns0:v>0.1580235004796247</ns0:v>
      </ns0:c>
      <ns0:c r="H88" s="6" t="n">
        <ns0:v>0.2508118179011358</ns0:v>
      </ns0:c>
      <ns0:c r="I88" s="6" t="n">
        <ns0:v>0.1969691593499711</ns0:v>
      </ns0:c>
      <ns0:c r="J88" s="6" t="n">
        <ns0:v>0.2546586714097689</ns0:v>
      </ns0:c>
      <ns0:c r="K88" s="6" t="n">
        <ns0:v>0.7027058184349448</ns0:v>
      </ns0:c>
    </ns0:row>
    <ns0:row r="89" ht="42" customHeight="1">
      <ns0:c r="A89" s="5" t="inlineStr">
        <ns0:is>
          <ns0:t>C 原图+CLIP（无VLM）</ns0:t>
        </ns0:is>
      </ns0:c>
      <ns0:c r="B89" s="5" t="n">
        <ns0:v>8</ns0:v>
      </ns0:c>
      <ns0:c r="C89" s="6" t="n">
        <ns0:v>0.4269232686284746</ns0:v>
      </ns0:c>
      <ns0:c r="D89" s="6" t="n">
        <ns0:v>0.6152531523267896</ns0:v>
      </ns0:c>
      <ns0:c r="E89" s="6" t="n">
        <ns0:v>0.2730992972403894</ns0:v>
      </ns0:c>
      <ns0:c r="F89" s="6" t="n">
        <ns0:v>0.0652195259496635</ns0:v>
      </ns0:c>
      <ns0:c r="G89" s="6" t="n">
        <ns0:v>0.1369582080310665</ns0:v>
      </ns0:c>
      <ns0:c r="H89" s="6" t="n">
        <ns0:v>0.2385895592541423</ns0:v>
      </ns0:c>
      <ns0:c r="I89" s="6" t="n">
        <ns0:v>0.1734802092080158</ns0:v>
      </ns0:c>
      <ns0:c r="J89" s="6" t="n">
        <ns0:v>0.2322067005260871</ns0:v>
      </ns0:c>
      <ns0:c r="K89" s="6" t="n">
        <ns0:v>0.7026869096626933</ns0:v>
      </ns0:c>
    </ns0:row>
    <ns0:row r="91" ht="38" customHeight="1">
      <ns0:c r="A91" s="1" t="inlineStr">
        <ns0:is>
          <ns0:t>A为项目复现ali-my bff233f；B仅原图输入；C另加CLIP融合，VLM全部关闭。</ns0:t>
        </ns0:is>
      </ns0:c>
    </ns0:row>
    <ns0:row r="93" ht="38" customHeight="1">
      <ns0:c r="A93" s="1" t="inlineStr">
        <ns0:is>
          <ns0:t>原图输入改善联合主指标；CLIP进一步改善实例指标，但语义AP25/AP50及mAcc退化。</ns0:t>
        </ns0:is>
      </ns0:c>
    </ns0:row>
    <ns0:row r="95" ht="38" customHeight="1">
      <ns0:c r="A95" s="1" t="inlineStr">
        <ns0:is>
          <ns0:t>24个地图分别重新投影评测，与消融记录结果一致。历史方法及已有局部实验保留。</ns0:t>
        </ns0:is>
      </ns0:c>
    </ns0:row>
  </ns0:sheetData>
  <ns0:mergeCells count="22">
    <ns0:mergeCell ref="A39:K39"/>
    <ns0:mergeCell ref="A77:K77"/>
    <ns0:mergeCell ref="A59:K59"/>
    <ns0:mergeCell ref="A73:K73"/>
    <ns0:mergeCell ref="A51:K51"/>
    <ns0:mergeCell ref="A45:K45"/>
    <ns0:mergeCell ref="A1:K1"/>
    <ns0:mergeCell ref="A61:K61"/>
    <ns0:mergeCell ref="A75:K75"/>
    <ns0:mergeCell ref="A37:K37"/>
    <ns0:mergeCell ref="A27:K27"/>
    <ns0:mergeCell ref="A12:K12"/>
    <ns0:mergeCell ref="A57:K57"/>
    <ns0:mergeCell ref="A95:K95"/>
    <ns0:mergeCell ref="A2:K2"/>
    <ns0:mergeCell ref="A85:K85"/>
    <ns0:mergeCell ref="A91:K91"/>
    <ns0:mergeCell ref="A29:K29"/>
    <ns0:mergeCell ref="A19:K19"/>
    <ns0:mergeCell ref="A10:K10"/>
    <ns0:mergeCell ref="A93:K93"/>
    <ns0:mergeCell ref="A67:K67"/>
  </ns0:mergeCells>
  <ns0:pageMargins left="0.75" right="0.75" top="1" bottom="1" header="0.5" footer="0.5"/>
  <ns0:pageSetup orientation="landscape" paperSize="8" fitToHeight="0" fitToWidth="1"/>
  <ns0:rowBreaks count="2" manualBreakCount="2">
    <ns0:brk id="38" min="0" max="16383" man="1"/>
    <ns0:brk id="60" min="0" max="16383" man="1"/>
  </ns0:rowBreaks>
</ns0:worksheet>
</file>

<file path=xl/worksheets/sheet2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K78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3" customWidth="1" min="2" max="2"/>
    <ns0:col width="15" customWidth="1" min="3" max="3"/>
    <ns0:col width="15" customWidth="1" min="4" max="4"/>
    <ns0:col width="15" customWidth="1" min="5" max="5"/>
    <ns0:col width="15" customWidth="1" min="6" max="6"/>
    <ns0:col width="15" customWidth="1" min="7" max="7"/>
    <ns0:col width="15" customWidth="1" min="8" max="8"/>
    <ns0:col width="15" customWidth="1" min="9" max="9"/>
    <ns0:col width="15" customWidth="1" min="10" max="10"/>
    <ns0:col width="22" customWidth="1" min="11" max="11"/>
  </ns0:cols>
  <ns0:sheetData>
    <ns0:row r="1" ht="30" customHeight="1">
      <ns0:c r="A1" s="1" t="inlineStr">
        <ns0:is>
          <ns0:t>逐场景结果（v2）</ns0:t>
        </ns0:is>
      </ns0:c>
    </ns0:row>
    <ns0:row r="2" ht="30" customHeight="1">
      <ns0:c r="A2" s="1" t="inlineStr">
        <ns0:is>
          <ns0:t>主 mIoU：每个 GT 独立最大 IoU，GT&gt;=10点；AP：GT/预测&gt;=100点。完整规则见评估说明。</ns0:t>
        </ns0:is>
      </ns0:c>
    </ns0:row>
    <ns0:row r="3"/>
    <ns0:row r="4" ht="38" customHeight="1">
      <ns0:c r="A4" s="2" t="inlineStr">
        <ns0:is>
          <ns0:t>场景</ns0:t>
        </ns0:is>
      </ns0:c>
      <ns0:c r="B4" s="2" t="inlineStr">
        <ns0:is>
          <ns0:t>方法</ns0:t>
        </ns0:is>
      </ns0:c>
      <ns0:c r="C4" s="2" t="inlineStr">
        <ns0:is>
          <ns0:t>Inst. mIoU</ns0:t>
        </ns0:is>
      </ns0:c>
      <ns0:c r="D4" s="2" t="inlineStr">
        <ns0:is>
          <ns0:t>Inst. AP25</ns0:t>
        </ns0:is>
      </ns0:c>
      <ns0:c r="E4" s="2" t="inlineStr">
        <ns0:is>
          <ns0:t>Inst. AP50</ns0:t>
        </ns0:is>
      </ns0:c>
      <ns0:c r="F4" s="2" t="inlineStr">
        <ns0:is>
          <ns0:t>Inst. AP75</ns0:t>
        </ns0:is>
      </ns0:c>
      <ns0:c r="G4" s="2" t="inlineStr">
        <ns0:is>
          <ns0:t>Sem. mIoU</ns0:t>
        </ns0:is>
      </ns0:c>
      <ns0:c r="H4" s="2" t="inlineStr">
        <ns0:is>
          <ns0:t>Sem. AP25</ns0:t>
        </ns0:is>
      </ns0:c>
      <ns0:c r="I4" s="2" t="inlineStr">
        <ns0:is>
          <ns0:t>Sem. AP50</ns0:t>
        </ns0:is>
      </ns0:c>
      <ns0:c r="J4" s="2" t="inlineStr">
        <ns0:is>
          <ns0:t>mAcc</ns0:t>
        </ns0:is>
      </ns0:c>
      <ns0:c r="K4" s="2" t="inlineStr">
        <ns0:is>
          <ns0:t>Object Surface Coverage@5cm</ns0:t>
        </ns0:is>
      </ns0:c>
    </ns0:row>
    <ns0:row r="5" ht="28" customHeight="1">
      <ns0:c r="A5" s="3" t="inlineStr">
        <ns0:is>
          <ns0:t>room0</ns0:t>
        </ns0:is>
      </ns0:c>
      <ns0:c r="B5" s="3" t="inlineStr">
        <ns0:is>
          <ns0:t>Baseline_gateoff</ns0:t>
        </ns0:is>
      </ns0:c>
      <ns0:c r="C5" s="4" t="n">
        <ns0:v>0.4566818855574561</ns0:v>
      </ns0:c>
      <ns0:c r="D5" s="7" t="n">
        <ns0:v>0.6399740513829686</ns0:v>
      </ns0:c>
      <ns0:c r="E5" s="4" t="n">
        <ns0:v>0.3107075875659532</ns0:v>
      </ns0:c>
      <ns0:c r="F5" s="4" t="n">
        <ns0:v>0.05040682999194148</ns0:v>
      </ns0:c>
      <ns0:c r="G5" s="4" t="n">
        <ns0:v>0.1469110799950082</ns0:v>
      </ns0:c>
      <ns0:c r="H5" s="4" t="n">
        <ns0:v>0.2497519841269841</ns0:v>
      </ns0:c>
      <ns0:c r="I5" s="4" t="n">
        <ns0:v>0.2281746031746032</ns0:v>
      </ns0:c>
      <ns0:c r="J5" s="4" t="n">
        <ns0:v>0.235854646973188</ns0:v>
      </ns0:c>
      <ns0:c r="K5" s="4" t="n">
        <ns0:v>0.7942460632075451</ns0:v>
      </ns0:c>
    </ns0:row>
    <ns0:row r="6" ht="28" customHeight="1">
      <ns0:c r="A6" s="5" t="inlineStr">
        <ns0:is>
          <ns0:t>room0</ns0:t>
        </ns0:is>
      </ns0:c>
      <ns0:c r="B6" s="5" t="inlineStr">
        <ns0:is>
          <ns0:t>v7_CLIP</ns0:t>
        </ns0:is>
      </ns0:c>
      <ns0:c r="C6" s="6" t="n">
        <ns0:v>0.4459973845205167</ns0:v>
      </ns0:c>
      <ns0:c r="D6" s="6" t="n">
        <ns0:v>0.5796719003160379</ns0:v>
      </ns0:c>
      <ns0:c r="E6" s="7" t="n">
        <ns0:v>0.3890281657883834</ns0:v>
      </ns0:c>
      <ns0:c r="F6" s="6" t="n">
        <ns0:v>0.05225624652684709</ns0:v>
      </ns0:c>
      <ns0:c r="G6" s="6" t="n">
        <ns0:v>0.1786878237913492</ns0:v>
      </ns0:c>
      <ns0:c r="H6" s="6" t="n">
        <ns0:v>0.3083457341269841</ns0:v>
      </ns0:c>
      <ns0:c r="I6" s="7" t="n">
        <ns0:v>0.3010912698412698</ns0:v>
      </ns0:c>
      <ns0:c r="J6" s="6" t="n">
        <ns0:v>0.2842225158085255</ns0:v>
      </ns0:c>
      <ns0:c r="K6" s="6" t="n">
        <ns0:v>0.7851162333645254</ns0:v>
      </ns0:c>
    </ns0:row>
    <ns0:row r="7" ht="28" customHeight="1">
      <ns0:c r="A7" s="3" t="inlineStr">
        <ns0:is>
          <ns0:t>room0</ns0:t>
        </ns0:is>
      </ns0:c>
      <ns0:c r="B7" s="3" t="inlineStr">
        <ns0:is>
          <ns0:t>OVI_MAP</ns0:t>
        </ns0:is>
      </ns0:c>
      <ns0:c r="C7" s="4" t="n">
        <ns0:v>0.461697466047436</ns0:v>
      </ns0:c>
      <ns0:c r="D7" s="4" t="n">
        <ns0:v>0.5578941898535368</ns0:v>
      </ns0:c>
      <ns0:c r="E7" s="4" t="n">
        <ns0:v>0.3386461133042409</ns0:v>
      </ns0:c>
      <ns0:c r="F7" s="4" t="n">
        <ns0:v>0.06555361648153979</ns0:v>
      </ns0:c>
      <ns0:c r="G7" s="4" t="n">
        <ns0:v>0.1978566868964842</ns0:v>
      </ns0:c>
      <ns0:c r="H7" s="4" t="n">
        <ns0:v>0.2691592261904762</ns0:v>
      </ns0:c>
      <ns0:c r="I7" s="4" t="n">
        <ns0:v>0.2202380952380952</ns0:v>
      </ns0:c>
      <ns0:c r="J7" s="4" t="n">
        <ns0:v>0.2623306230248453</ns0:v>
      </ns0:c>
      <ns0:c r="K7" s="7" t="n">
        <ns0:v>0.8109848290278563</ns0:v>
      </ns0:c>
    </ns0:row>
    <ns0:row r="8" ht="28" customHeight="1">
      <ns0:c r="A8" s="5" t="inlineStr">
        <ns0:is>
          <ns0:t>room0</ns0:t>
        </ns0:is>
      </ns0:c>
      <ns0:c r="B8" s="5" t="inlineStr">
        <ns0:is>
          <ns0:t>ali_my</ns0:t>
        </ns0:is>
      </ns0:c>
      <ns0:c r="C8" s="6" t="n">
        <ns0:v>0.3637402590649125</ns0:v>
      </ns0:c>
      <ns0:c r="D8" s="6" t="n">
        <ns0:v>0.4257461073838992</ns0:v>
      </ns0:c>
      <ns0:c r="E8" s="6" t="n">
        <ns0:v>0.2716480862677419</ns0:v>
      </ns0:c>
      <ns0:c r="F8" s="6" t="n">
        <ns0:v>0.03146829251988424</ns0:v>
      </ns0:c>
      <ns0:c r="G8" s="6" t="n">
        <ns0:v>0.1565739705836436</ns0:v>
      </ns0:c>
      <ns0:c r="H8" s="6" t="n">
        <ns0:v>0.1922743055555556</ns0:v>
      </ns0:c>
      <ns0:c r="I8" s="6" t="n">
        <ns0:v>0.1909722222222222</ns0:v>
      </ns0:c>
      <ns0:c r="J8" s="6" t="n">
        <ns0:v>0.2575115639343521</ns0:v>
      </ns0:c>
      <ns0:c r="K8" s="6" t="n">
        <ns0:v>0.6803219560347773</ns0:v>
      </ns0:c>
    </ns0:row>
    <ns0:row r="9" ht="28" customHeight="1">
      <ns0:c r="A9" s="3" t="inlineStr">
        <ns0:is>
          <ns0:t>room0</ns0:t>
        </ns0:is>
      </ns0:c>
      <ns0:c r="B9" s="3" t="inlineStr">
        <ns0:is>
          <ns0:t>merge_2</ns0:t>
        </ns0:is>
      </ns0:c>
      <ns0:c r="C9" s="7" t="n">
        <ns0:v>0.465391068664511</ns0:v>
      </ns0:c>
      <ns0:c r="D9" s="4" t="n">
        <ns0:v>0.588309730782574</ns0:v>
      </ns0:c>
      <ns0:c r="E9" s="4" t="n">
        <ns0:v>0.3397631291393964</ns0:v>
      </ns0:c>
      <ns0:c r="F9" s="7" t="n">
        <ns0:v>0.07284638500166739</ns0:v>
      </ns0:c>
      <ns0:c r="G9" s="7" t="n">
        <ns0:v>0.216167893870595</ns0:v>
      </ns0:c>
      <ns0:c r="H9" s="7" t="n">
        <ns0:v>0.3118799603174603</ns0:v>
      </ns0:c>
      <ns0:c r="I9" s="4" t="n">
        <ns0:v>0.2867063492063492</ns0:v>
      </ns0:c>
      <ns0:c r="J9" s="7" t="n">
        <ns0:v>0.3399722327779137</ns0:v>
      </ns0:c>
      <ns0:c r="K9" s="4" t="n">
        <ns0:v>0.7887855852314729</ns0:v>
      </ns0:c>
    </ns0:row>
    <ns0:row r="10" ht="28" customHeight="1">
      <ns0:c r="A10" s="5" t="inlineStr">
        <ns0:is>
          <ns0:t>room1</ns0:t>
        </ns0:is>
      </ns0:c>
      <ns0:c r="B10" s="5" t="inlineStr">
        <ns0:is>
          <ns0:t>Baseline_gateoff</ns0:t>
        </ns0:is>
      </ns0:c>
      <ns0:c r="C10" s="6" t="n">
        <ns0:v>0.4181198305560399</ns0:v>
      </ns0:c>
      <ns0:c r="D10" s="6" t="n">
        <ns0:v>0.557620411627763</ns0:v>
      </ns0:c>
      <ns0:c r="E10" s="6" t="n">
        <ns0:v>0.1665911359008001</ns0:v>
      </ns0:c>
      <ns0:c r="F10" s="6" t="n">
        <ns0:v>0.03661744505494505</ns0:v>
      </ns0:c>
      <ns0:c r="G10" s="6" t="n">
        <ns0:v>0.1792344390280264</ns0:v>
      </ns0:c>
      <ns0:c r="H10" s="7" t="n">
        <ns0:v>0.3475877192982456</ns0:v>
      </ns0:c>
      <ns0:c r="I10" s="6" t="n">
        <ns0:v>0.1962719298245614</ns0:v>
      </ns0:c>
      <ns0:c r="J10" s="7" t="n">
        <ns0:v>0.3642018397284388</ns0:v>
      </ns0:c>
      <ns0:c r="K10" s="6" t="n">
        <ns0:v>0.7637257817656915</ns0:v>
      </ns0:c>
    </ns0:row>
    <ns0:row r="11" ht="28" customHeight="1">
      <ns0:c r="A11" s="3" t="inlineStr">
        <ns0:is>
          <ns0:t>room1</ns0:t>
        </ns0:is>
      </ns0:c>
      <ns0:c r="B11" s="3" t="inlineStr">
        <ns0:is>
          <ns0:t>v7_CLIP</ns0:t>
        </ns0:is>
      </ns0:c>
      <ns0:c r="C11" s="4" t="n">
        <ns0:v>0.4912027306040631</ns0:v>
      </ns0:c>
      <ns0:c r="D11" s="4" t="n">
        <ns0:v>0.6312015912144155</ns0:v>
      </ns0:c>
      <ns0:c r="E11" s="4" t="n">
        <ns0:v>0.2567989750327216</ns0:v>
      </ns0:c>
      <ns0:c r="F11" s="4" t="n">
        <ns0:v>0.04332999655618973</ns0:v>
      </ns0:c>
      <ns0:c r="G11" s="4" t="n">
        <ns0:v>0.1845328565569055</ns0:v>
      </ns0:c>
      <ns0:c r="H11" s="4" t="n">
        <ns0:v>0.3426378446115289</ns0:v>
      </ns0:c>
      <ns0:c r="I11" s="4" t="n">
        <ns0:v>0.2339285714285714</ns0:v>
      </ns0:c>
      <ns0:c r="J11" s="4" t="n">
        <ns0:v>0.3585448367349413</ns0:v>
      </ns0:c>
      <ns0:c r="K11" s="4" t="n">
        <ns0:v>0.7612885442583471</ns0:v>
      </ns0:c>
    </ns0:row>
    <ns0:row r="12" ht="28" customHeight="1">
      <ns0:c r="A12" s="5" t="inlineStr">
        <ns0:is>
          <ns0:t>room1</ns0:t>
        </ns0:is>
      </ns0:c>
      <ns0:c r="B12" s="5" t="inlineStr">
        <ns0:is>
          <ns0:t>OVI_MAP</ns0:t>
        </ns0:is>
      </ns0:c>
      <ns0:c r="C12" s="7" t="n">
        <ns0:v>0.5308433414953346</ns0:v>
      </ns0:c>
      <ns0:c r="D12" s="7" t="n">
        <ns0:v>0.7184038440529159</ns0:v>
      </ns0:c>
      <ns0:c r="E12" s="7" t="n">
        <ns0:v>0.2796791877290669</ns0:v>
      </ns0:c>
      <ns0:c r="F12" s="7" t="n">
        <ns0:v>0.08314988926566022</ns0:v>
      </ns0:c>
      <ns0:c r="G12" s="7" t="n">
        <ns0:v>0.2048829527606001</ns0:v>
      </ns0:c>
      <ns0:c r="H12" s="6" t="n">
        <ns0:v>0.3007518796992481</ns0:v>
      </ns0:c>
      <ns0:c r="I12" s="6" t="n">
        <ns0:v>0.1818922305764411</ns0:v>
      </ns0:c>
      <ns0:c r="J12" s="6" t="n">
        <ns0:v>0.3018541851609077</ns0:v>
      </ns0:c>
      <ns0:c r="K12" s="7" t="n">
        <ns0:v>0.7738192817403037</ns0:v>
      </ns0:c>
    </ns0:row>
    <ns0:row r="13" ht="28" customHeight="1">
      <ns0:c r="A13" s="3" t="inlineStr">
        <ns0:is>
          <ns0:t>room1</ns0:t>
        </ns0:is>
      </ns0:c>
      <ns0:c r="B13" s="3" t="inlineStr">
        <ns0:is>
          <ns0:t>ali_my</ns0:t>
        </ns0:is>
      </ns0:c>
      <ns0:c r="C13" s="4" t="n">
        <ns0:v>0.4057704824186006</ns0:v>
      </ns0:c>
      <ns0:c r="D13" s="4" t="n">
        <ns0:v>0.5385901460650347</ns0:v>
      </ns0:c>
      <ns0:c r="E13" s="4" t="n">
        <ns0:v>0.1607705170113091</ns0:v>
      </ns0:c>
      <ns0:c r="F13" s="4" t="n">
        <ns0:v>0.03205546802054154</ns0:v>
      </ns0:c>
      <ns0:c r="G13" s="4" t="n">
        <ns0:v>0.2000931751856478</ns0:v>
      </ns0:c>
      <ns0:c r="H13" s="4" t="n">
        <ns0:v>0.3067042606516291</ns0:v>
      </ns0:c>
      <ns0:c r="I13" s="7" t="n">
        <ns0:v>0.2431077694235589</ns0:v>
      </ns0:c>
      <ns0:c r="J13" s="4" t="n">
        <ns0:v>0.3474329149333769</ns0:v>
      </ns0:c>
      <ns0:c r="K13" s="4" t="n">
        <ns0:v>0.7622133888481877</ns0:v>
      </ns0:c>
    </ns0:row>
    <ns0:row r="14" ht="28" customHeight="1">
      <ns0:c r="A14" s="5" t="inlineStr">
        <ns0:is>
          <ns0:t>room2</ns0:t>
        </ns0:is>
      </ns0:c>
      <ns0:c r="B14" s="5" t="inlineStr">
        <ns0:is>
          <ns0:t>Baseline_gateoff</ns0:t>
        </ns0:is>
      </ns0:c>
      <ns0:c r="C14" s="6" t="n">
        <ns0:v>0.3840957294450087</ns0:v>
      </ns0:c>
      <ns0:c r="D14" s="6" t="n">
        <ns0:v>0.5074434214410927</ns0:v>
      </ns0:c>
      <ns0:c r="E14" s="6" t="n">
        <ns0:v>0.1531533877317172</ns0:v>
      </ns0:c>
      <ns0:c r="F14" s="6" t="n">
        <ns0:v>0.003508105369807497</ns0:v>
      </ns0:c>
      <ns0:c r="G14" s="6" t="n">
        <ns0:v>0.1297694209395298</ns0:v>
      </ns0:c>
      <ns0:c r="H14" s="6" t="n">
        <ns0:v>0.2177083333333333</ns0:v>
      </ns0:c>
      <ns0:c r="I14" s="6" t="n">
        <ns0:v>0.1291666666666667</ns0:v>
      </ns0:c>
      <ns0:c r="J14" s="6" t="n">
        <ns0:v>0.2575086486914407</ns0:v>
      </ns0:c>
      <ns0:c r="K14" s="6" t="n">
        <ns0:v>0.6816039301599947</ns0:v>
      </ns0:c>
    </ns0:row>
    <ns0:row r="15" ht="28" customHeight="1">
      <ns0:c r="A15" s="3" t="inlineStr">
        <ns0:is>
          <ns0:t>room2</ns0:t>
        </ns0:is>
      </ns0:c>
      <ns0:c r="B15" s="3" t="inlineStr">
        <ns0:is>
          <ns0:t>v7_CLIP</ns0:t>
        </ns0:is>
      </ns0:c>
      <ns0:c r="C15" s="4" t="n">
        <ns0:v>0.399339036463037</ns0:v>
      </ns0:c>
      <ns0:c r="D15" s="4" t="n">
        <ns0:v>0.5420953523934778</ns0:v>
      </ns0:c>
      <ns0:c r="E15" s="4" t="n">
        <ns0:v>0.2312408736060368</ns0:v>
      </ns0:c>
      <ns0:c r="F15" s="4" t="n">
        <ns0:v>0.003102836879432624</ns0:v>
      </ns0:c>
      <ns0:c r="G15" s="4" t="n">
        <ns0:v>0.1308147558568227</ns0:v>
      </ns0:c>
      <ns0:c r="H15" s="7" t="n">
        <ns0:v>0.2231770833333333</ns0:v>
      </ns0:c>
      <ns0:c r="I15" s="4" t="n">
        <ns0:v>0.1415364583333333</ns0:v>
      </ns0:c>
      <ns0:c r="J15" s="4" t="n">
        <ns0:v>0.2586783808982117</ns0:v>
      </ns0:c>
      <ns0:c r="K15" s="4" t="n">
        <ns0:v>0.673829564950017</ns0:v>
      </ns0:c>
    </ns0:row>
    <ns0:row r="16" ht="28" customHeight="1">
      <ns0:c r="A16" s="5" t="inlineStr">
        <ns0:is>
          <ns0:t>room2</ns0:t>
        </ns0:is>
      </ns0:c>
      <ns0:c r="B16" s="5" t="inlineStr">
        <ns0:is>
          <ns0:t>OVI_MAP</ns0:t>
        </ns0:is>
      </ns0:c>
      <ns0:c r="C16" s="7" t="n">
        <ns0:v>0.443249387360472</ns0:v>
      </ns0:c>
      <ns0:c r="D16" s="7" t="n">
        <ns0:v>0.6197058352643331</ns0:v>
      </ns0:c>
      <ns0:c r="E16" s="7" t="n">
        <ns0:v>0.3341814643965065</ns0:v>
      </ns0:c>
      <ns0:c r="F16" s="7" t="n">
        <ns0:v>0.03961998917726232</ns0:v>
      </ns0:c>
      <ns0:c r="G16" s="7" t="n">
        <ns0:v>0.1756290492721754</ns0:v>
      </ns0:c>
      <ns0:c r="H16" s="6" t="n">
        <ns0:v>0.1869791666666666</ns0:v>
      </ns0:c>
      <ns0:c r="I16" s="7" t="n">
        <ns0:v>0.16875</ns0:v>
      </ns0:c>
      <ns0:c r="J16" s="6" t="n">
        <ns0:v>0.2591181619919237</ns0:v>
      </ns0:c>
      <ns0:c r="K16" s="7" t="n">
        <ns0:v>0.7365625775252711</ns0:v>
      </ns0:c>
    </ns0:row>
    <ns0:row r="17" ht="28" customHeight="1">
      <ns0:c r="A17" s="3" t="inlineStr">
        <ns0:is>
          <ns0:t>room2</ns0:t>
        </ns0:is>
      </ns0:c>
      <ns0:c r="B17" s="3" t="inlineStr">
        <ns0:is>
          <ns0:t>ali_my</ns0:t>
        </ns0:is>
      </ns0:c>
      <ns0:c r="C17" s="4" t="n">
        <ns0:v>0.3066587707428885</ns0:v>
      </ns0:c>
      <ns0:c r="D17" s="4" t="n">
        <ns0:v>0.4468625054751035</ns0:v>
      </ns0:c>
      <ns0:c r="E17" s="4" t="n">
        <ns0:v>0.1193336493914976</ns0:v>
      </ns0:c>
      <ns0:c r="F17" s="4" t="n">
        <ns0:v>0</ns0:v>
      </ns0:c>
      <ns0:c r="G17" s="4" t="n">
        <ns0:v>0.1511335181354062</ns0:v>
      </ns0:c>
      <ns0:c r="H17" s="4" t="n">
        <ns0:v>0.1878255208333333</ns0:v>
      </ns0:c>
      <ns0:c r="I17" s="4" t="n">
        <ns0:v>0.1354166666666667</ns0:v>
      </ns0:c>
      <ns0:c r="J17" s="7" t="n">
        <ns0:v>0.2825288246850953</ns0:v>
      </ns0:c>
      <ns0:c r="K17" s="4" t="n">
        <ns0:v>0.6458069092268612</ns0:v>
      </ns0:c>
    </ns0:row>
    <ns0:row r="18" ht="28" customHeight="1">
      <ns0:c r="A18" s="5" t="inlineStr">
        <ns0:is>
          <ns0:t>office0</ns0:t>
        </ns0:is>
      </ns0:c>
      <ns0:c r="B18" s="5" t="inlineStr">
        <ns0:is>
          <ns0:t>Baseline_gateoff</ns0:t>
        </ns0:is>
      </ns0:c>
      <ns0:c r="C18" s="6" t="n">
        <ns0:v>0.3363655241826327</ns0:v>
      </ns0:c>
      <ns0:c r="D18" s="6" t="n">
        <ns0:v>0.562706627495507</ns0:v>
      </ns0:c>
      <ns0:c r="E18" s="6" t="n">
        <ns0:v>0.1898389285028961</ns0:v>
      </ns0:c>
      <ns0:c r="F18" s="6" t="n">
        <ns0:v>0.06617165357267168</ns0:v>
      </ns0:c>
      <ns0:c r="G18" s="6" t="n">
        <ns0:v>0.147935571172336</ns0:v>
      </ns0:c>
      <ns0:c r="H18" s="6" t="n">
        <ns0:v>0.25</ns0:v>
      </ns0:c>
      <ns0:c r="I18" s="6" t="n">
        <ns0:v>0.15</ns0:v>
      </ns0:c>
      <ns0:c r="J18" s="6" t="n">
        <ns0:v>0.2275172695828565</ns0:v>
      </ns0:c>
      <ns0:c r="K18" s="6" t="n">
        <ns0:v>0.6439617305493712</ns0:v>
      </ns0:c>
    </ns0:row>
    <ns0:row r="19" ht="28" customHeight="1">
      <ns0:c r="A19" s="3" t="inlineStr">
        <ns0:is>
          <ns0:t>office0</ns0:t>
        </ns0:is>
      </ns0:c>
      <ns0:c r="B19" s="3" t="inlineStr">
        <ns0:is>
          <ns0:t>v7_CLIP</ns0:t>
        </ns0:is>
      </ns0:c>
      <ns0:c r="C19" s="4" t="n">
        <ns0:v>0.3646469747559358</ns0:v>
      </ns0:c>
      <ns0:c r="D19" s="7" t="n">
        <ns0:v>0.5963161674653411</ns0:v>
      </ns0:c>
      <ns0:c r="E19" s="4" t="n">
        <ns0:v>0.1898389285028961</ns0:v>
      </ns0:c>
      <ns0:c r="F19" s="4" t="n">
        <ns0:v>0.06570816689594972</ns0:v>
      </ns0:c>
      <ns0:c r="G19" s="4" t="n">
        <ns0:v>0.1465905872805552</ns0:v>
      </ns0:c>
      <ns0:c r="H19" s="4" t="n">
        <ns0:v>0.3</ns0:v>
      </ns0:c>
      <ns0:c r="I19" s="4" t="n">
        <ns0:v>0.15</ns0:v>
      </ns0:c>
      <ns0:c r="J19" s="4" t="n">
        <ns0:v>0.2266974700493418</ns0:v>
      </ns0:c>
      <ns0:c r="K19" s="4" t="n">
        <ns0:v>0.6369576990191949</ns0:v>
      </ns0:c>
    </ns0:row>
    <ns0:row r="20" ht="28" customHeight="1">
      <ns0:c r="A20" s="5" t="inlineStr">
        <ns0:is>
          <ns0:t>office0</ns0:t>
        </ns0:is>
      </ns0:c>
      <ns0:c r="B20" s="5" t="inlineStr">
        <ns0:is>
          <ns0:t>OVI_MAP</ns0:t>
        </ns0:is>
      </ns0:c>
      <ns0:c r="C20" s="7" t="n">
        <ns0:v>0.4432503193942858</ns0:v>
      </ns0:c>
      <ns0:c r="D20" s="6" t="n">
        <ns0:v>0.5653563348416289</ns0:v>
      </ns0:c>
      <ns0:c r="E20" s="7" t="n">
        <ns0:v>0.2992126013887147</ns0:v>
      </ns0:c>
      <ns0:c r="F20" s="7" t="n">
        <ns0:v>0.1333471858775503</ns0:v>
      </ns0:c>
      <ns0:c r="G20" s="7" t="n">
        <ns0:v>0.1802461216696858</ns0:v>
      </ns0:c>
      <ns0:c r="H20" s="7" t="n">
        <ns0:v>0.3375</ns0:v>
      </ns0:c>
      <ns0:c r="I20" s="7" t="n">
        <ns0:v>0.225</ns0:v>
      </ns0:c>
      <ns0:c r="J20" s="7" t="n">
        <ns0:v>0.2916928397655629</ns0:v>
      </ns0:c>
      <ns0:c r="K20" s="7" t="n">
        <ns0:v>0.8451491265017952</ns0:v>
      </ns0:c>
    </ns0:row>
    <ns0:row r="21" ht="28" customHeight="1">
      <ns0:c r="A21" s="3" t="inlineStr">
        <ns0:is>
          <ns0:t>office0</ns0:t>
        </ns0:is>
      </ns0:c>
      <ns0:c r="B21" s="3" t="inlineStr">
        <ns0:is>
          <ns0:t>ali_my</ns0:t>
        </ns0:is>
      </ns0:c>
      <ns0:c r="C21" s="4" t="n">
        <ns0:v>0.3133584077766908</ns0:v>
      </ns0:c>
      <ns0:c r="D21" s="4" t="n">
        <ns0:v>0.595544822179884</ns0:v>
      </ns0:c>
      <ns0:c r="E21" s="4" t="n">
        <ns0:v>0.1981485834427011</ns0:v>
      </ns0:c>
      <ns0:c r="F21" s="4" t="n">
        <ns0:v>0.05926573426573427</ns0:v>
      </ns0:c>
      <ns0:c r="G21" s="4" t="n">
        <ns0:v>0.1294941435581326</ns0:v>
      </ns0:c>
      <ns0:c r="H21" s="4" t="n">
        <ns0:v>0.25</ns0:v>
      </ns0:c>
      <ns0:c r="I21" s="4" t="n">
        <ns0:v>0.15</ns0:v>
      </ns0:c>
      <ns0:c r="J21" s="4" t="n">
        <ns0:v>0.2385333849047172</ns0:v>
      </ns0:c>
      <ns0:c r="K21" s="4" t="n">
        <ns0:v>0.5854343422187456</ns0:v>
      </ns0:c>
    </ns0:row>
    <ns0:row r="22" ht="28" customHeight="1">
      <ns0:c r="A22" s="5" t="inlineStr">
        <ns0:is>
          <ns0:t>office1</ns0:t>
        </ns0:is>
      </ns0:c>
      <ns0:c r="B22" s="5" t="inlineStr">
        <ns0:is>
          <ns0:t>Baseline_gateoff</ns0:t>
        </ns0:is>
      </ns0:c>
      <ns0:c r="C22" s="7" t="n">
        <ns0:v>0.4574954556002807</ns0:v>
      </ns0:c>
      <ns0:c r="D22" s="7" t="n">
        <ns0:v>0.6328415032679739</ns0:v>
      </ns0:c>
      <ns0:c r="E22" s="7" t="n">
        <ns0:v>0.5260033332680392</ns0:v>
      </ns0:c>
      <ns0:c r="F22" s="7" t="n">
        <ns0:v>0.1826984126984127</ns0:v>
      </ns0:c>
      <ns0:c r="G22" s="6" t="n">
        <ns0:v>0.1458646020184084</ns0:v>
      </ns0:c>
      <ns0:c r="H22" s="6" t="n">
        <ns0:v>0.25</ns0:v>
      </ns0:c>
      <ns0:c r="I22" s="7" t="n">
        <ns0:v>0.25</ns0:v>
      </ns0:c>
      <ns0:c r="J22" s="6" t="n">
        <ns0:v>0.2326939244860381</ns0:v>
      </ns0:c>
      <ns0:c r="K22" s="6" t="n">
        <ns0:v>0.7085312205286906</ns0:v>
      </ns0:c>
    </ns0:row>
    <ns0:row r="23" ht="28" customHeight="1">
      <ns0:c r="A23" s="3" t="inlineStr">
        <ns0:is>
          <ns0:t>office1</ns0:t>
        </ns0:is>
      </ns0:c>
      <ns0:c r="B23" s="3" t="inlineStr">
        <ns0:is>
          <ns0:t>v7_CLIP</ns0:t>
        </ns0:is>
      </ns0:c>
      <ns0:c r="C23" s="4" t="n">
        <ns0:v>0.4511795994883415</ns0:v>
      </ns0:c>
      <ns0:c r="D23" s="7" t="n">
        <ns0:v>0.6328415032679739</ns0:v>
      </ns0:c>
      <ns0:c r="E23" s="4" t="n">
        <ns0:v>0.4724691881905504</ns0:v>
      </ns0:c>
      <ns0:c r="F23" s="4" t="n">
        <ns0:v>0.1514444444444444</ns0:v>
      </ns0:c>
      <ns0:c r="G23" s="7" t="n">
        <ns0:v>0.1524305564380284</ns0:v>
      </ns0:c>
      <ns0:c r="H23" s="4" t="n">
        <ns0:v>0.25</ns0:v>
      </ns0:c>
      <ns0:c r="I23" s="7" t="n">
        <ns0:v>0.25</ns0:v>
      </ns0:c>
      <ns0:c r="J23" s="4" t="n">
        <ns0:v>0.2325511044534559</ns0:v>
      </ns0:c>
      <ns0:c r="K23" s="4" t="n">
        <ns0:v>0.7078874400691217</ns0:v>
      </ns0:c>
    </ns0:row>
    <ns0:row r="24" ht="28" customHeight="1">
      <ns0:c r="A24" s="5" t="inlineStr">
        <ns0:is>
          <ns0:t>office1</ns0:t>
        </ns0:is>
      </ns0:c>
      <ns0:c r="B24" s="5" t="inlineStr">
        <ns0:is>
          <ns0:t>OVI_MAP</ns0:t>
        </ns0:is>
      </ns0:c>
      <ns0:c r="C24" s="6" t="n">
        <ns0:v>0.4473195491092988</ns0:v>
      </ns0:c>
      <ns0:c r="D24" s="6" t="n">
        <ns0:v>0.5870133591898297</ns0:v>
      </ns0:c>
      <ns0:c r="E24" s="6" t="n">
        <ns0:v>0.4226128316128316</ns0:v>
      </ns0:c>
      <ns0:c r="F24" s="6" t="n">
        <ns0:v>0.07089082554872028</ns0:v>
      </ns0:c>
      <ns0:c r="G24" s="6" t="n">
        <ns0:v>0.1234151821911196</ns0:v>
      </ns0:c>
      <ns0:c r="H24" s="6" t="n">
        <ns0:v>0.2352941176470588</ns0:v>
      </ns0:c>
      <ns0:c r="I24" s="6" t="n">
        <ns0:v>0.1764705882352941</ns0:v>
      </ns0:c>
      <ns0:c r="J24" s="6" t="n">
        <ns0:v>0.1462614799574493</ns0:v>
      </ns0:c>
      <ns0:c r="K24" s="7" t="n">
        <ns0:v>0.77523591165525</ns0:v>
      </ns0:c>
    </ns0:row>
    <ns0:row r="25" ht="28" customHeight="1">
      <ns0:c r="A25" s="3" t="inlineStr">
        <ns0:is>
          <ns0:t>office1</ns0:t>
        </ns0:is>
      </ns0:c>
      <ns0:c r="B25" s="3" t="inlineStr">
        <ns0:is>
          <ns0:t>ali_my</ns0:t>
        </ns0:is>
      </ns0:c>
      <ns0:c r="C25" s="4" t="n">
        <ns0:v>0.3785159267500634</ns0:v>
      </ns0:c>
      <ns0:c r="D25" s="4" t="n">
        <ns0:v>0.5199999999999999</ns0:v>
      </ns0:c>
      <ns0:c r="E25" s="4" t="n">
        <ns0:v>0.3278896658896658</ns0:v>
      </ns0:c>
      <ns0:c r="F25" s="4" t="n">
        <ns0:v>0.05866883116883116</ns0:v>
      </ns0:c>
      <ns0:c r="G25" s="4" t="n">
        <ns0:v>0.1438352037936087</ns0:v>
      </ns0:c>
      <ns0:c r="H25" s="7" t="n">
        <ns0:v>0.2941176470588235</ns0:v>
      </ns0:c>
      <ns0:c r="I25" s="7" t="n">
        <ns0:v>0.25</ns0:v>
      </ns0:c>
      <ns0:c r="J25" s="7" t="n">
        <ns0:v>0.2333964304343212</ns0:v>
      </ns0:c>
      <ns0:c r="K25" s="4" t="n">
        <ns0:v>0.5801986683909441</ns0:v>
      </ns0:c>
    </ns0:row>
    <ns0:row r="26" ht="28" customHeight="1">
      <ns0:c r="A26" s="5" t="inlineStr">
        <ns0:is>
          <ns0:t>office2</ns0:t>
        </ns0:is>
      </ns0:c>
      <ns0:c r="B26" s="5" t="inlineStr">
        <ns0:is>
          <ns0:t>Baseline_gateoff</ns0:t>
        </ns0:is>
      </ns0:c>
      <ns0:c r="C26" s="6" t="n">
        <ns0:v>0.4274213123126236</ns0:v>
      </ns0:c>
      <ns0:c r="D26" s="6" t="n">
        <ns0:v>0.6029752958868543</ns0:v>
      </ns0:c>
      <ns0:c r="E26" s="6" t="n">
        <ns0:v>0.2531119530107198</ns0:v>
      </ns0:c>
      <ns0:c r="F26" s="6" t="n">
        <ns0:v>0.05261318914350951</ns0:v>
      </ns0:c>
      <ns0:c r="G26" s="6" t="n">
        <ns0:v>0.08926405319354429</ns0:v>
      </ns0:c>
      <ns0:c r="H26" s="6" t="n">
        <ns0:v>0.1490196078431373</ns0:v>
      </ns0:c>
      <ns0:c r="I26" s="6" t="n">
        <ns0:v>0.09509803921568627</ns0:v>
      </ns0:c>
      <ns0:c r="J26" s="6" t="n">
        <ns0:v>0.1330212197387609</ns0:v>
      </ns0:c>
      <ns0:c r="K26" s="7" t="n">
        <ns0:v>0.655402705222873</ns0:v>
      </ns0:c>
    </ns0:row>
    <ns0:row r="27" ht="28" customHeight="1">
      <ns0:c r="A27" s="3" t="inlineStr">
        <ns0:is>
          <ns0:t>office2</ns0:t>
        </ns0:is>
      </ns0:c>
      <ns0:c r="B27" s="3" t="inlineStr">
        <ns0:is>
          <ns0:t>v7_CLIP</ns0:t>
        </ns0:is>
      </ns0:c>
      <ns0:c r="C27" s="4" t="n">
        <ns0:v>0.4491063861008109</ns0:v>
      </ns0:c>
      <ns0:c r="D27" s="4" t="n">
        <ns0:v>0.6567383578878236</ns0:v>
      </ns0:c>
      <ns0:c r="E27" s="4" t="n">
        <ns0:v>0.3263653732257894</ns0:v>
      </ns0:c>
      <ns0:c r="F27" s="7" t="n">
        <ns0:v>0.05978287373810829</ns0:v>
      </ns0:c>
      <ns0:c r="G27" s="4" t="n">
        <ns0:v>0.125540415041475</ns0:v>
      </ns0:c>
      <ns0:c r="H27" s="4" t="n">
        <ns0:v>0.1490196078431373</ns0:v>
      </ns0:c>
      <ns0:c r="I27" s="4" t="n">
        <ns0:v>0.1294117647058824</ns0:v>
      </ns0:c>
      <ns0:c r="J27" s="4" t="n">
        <ns0:v>0.1340251427601324</ns0:v>
      </ns0:c>
      <ns0:c r="K27" s="4" t="n">
        <ns0:v>0.6452968220651716</ns0:v>
      </ns0:c>
    </ns0:row>
    <ns0:row r="28" ht="28" customHeight="1">
      <ns0:c r="A28" s="5" t="inlineStr">
        <ns0:is>
          <ns0:t>office2</ns0:t>
        </ns0:is>
      </ns0:c>
      <ns0:c r="B28" s="5" t="inlineStr">
        <ns0:is>
          <ns0:t>OVI_MAP</ns0:t>
        </ns0:is>
      </ns0:c>
      <ns0:c r="C28" s="7" t="n">
        <ns0:v>0.4837386724777433</ns0:v>
      </ns0:c>
      <ns0:c r="D28" s="7" t="n">
        <ns0:v>0.7074648988515204</ns0:v>
      </ns0:c>
      <ns0:c r="E28" s="7" t="n">
        <ns0:v>0.3599542234985441</ns0:v>
      </ns0:c>
      <ns0:c r="F28" s="6" t="n">
        <ns0:v>0.02925363389583002</ns0:v>
      </ns0:c>
      <ns0:c r="G28" s="7" t="n">
        <ns0:v>0.1676560909201648</ns0:v>
      </ns0:c>
      <ns0:c r="H28" s="6" t="n">
        <ns0:v>0.2352941176470588</ns0:v>
      </ns0:c>
      <ns0:c r="I28" s="6" t="n">
        <ns0:v>0.1470588235294118</ns0:v>
      </ns0:c>
      <ns0:c r="J28" s="7" t="n">
        <ns0:v>0.2422804162358396</ns0:v>
      </ns0:c>
      <ns0:c r="K28" s="6" t="n">
        <ns0:v>0.6545890502197949</ns0:v>
      </ns0:c>
    </ns0:row>
    <ns0:row r="29" ht="28" customHeight="1">
      <ns0:c r="A29" s="3" t="inlineStr">
        <ns0:is>
          <ns0:t>office2</ns0:t>
        </ns0:is>
      </ns0:c>
      <ns0:c r="B29" s="3" t="inlineStr">
        <ns0:is>
          <ns0:t>ali_my</ns0:t>
        </ns0:is>
      </ns0:c>
      <ns0:c r="C29" s="4" t="n">
        <ns0:v>0.3112246365288973</ns0:v>
      </ns0:c>
      <ns0:c r="D29" s="4" t="n">
        <ns0:v>0.4581866432603831</ns0:v>
      </ns0:c>
      <ns0:c r="E29" s="4" t="n">
        <ns0:v>0.1176396581359817</ns0:v>
      </ns0:c>
      <ns0:c r="F29" s="4" t="n">
        <ns0:v>0.006587009803921568</ns0:v>
      </ns0:c>
      <ns0:c r="G29" s="4" t="n">
        <ns0:v>0.1181135487639056</ns0:v>
      </ns0:c>
      <ns0:c r="H29" s="4" t="n">
        <ns0:v>0.1588235294117647</ns0:v>
      </ns0:c>
      <ns0:c r="I29" s="4" t="n">
        <ns0:v>0.1294117647058824</ns0:v>
      </ns0:c>
      <ns0:c r="J29" s="4" t="n">
        <ns0:v>0.1397158315227187</ns0:v>
      </ns0:c>
      <ns0:c r="K29" s="4" t="n">
        <ns0:v>0.5870880871546916</ns0:v>
      </ns0:c>
    </ns0:row>
    <ns0:row r="30" ht="28" customHeight="1">
      <ns0:c r="A30" s="5" t="inlineStr">
        <ns0:is>
          <ns0:t>office3</ns0:t>
        </ns0:is>
      </ns0:c>
      <ns0:c r="B30" s="5" t="inlineStr">
        <ns0:is>
          <ns0:t>Baseline_gateoff</ns0:t>
        </ns0:is>
      </ns0:c>
      <ns0:c r="C30" s="7" t="n">
        <ns0:v>0.4423465313396859</ns0:v>
      </ns0:c>
      <ns0:c r="D30" s="6" t="n">
        <ns0:v>0.6496420415089457</ns0:v>
      </ns0:c>
      <ns0:c r="E30" s="7" t="n">
        <ns0:v>0.3241833818221775</ns0:v>
      </ns0:c>
      <ns0:c r="F30" s="7" t="n">
        <ns0:v>0.04975504820841847</ns0:v>
      </ns0:c>
      <ns0:c r="G30" s="7" t="n">
        <ns0:v>0.1131723864014363</ns0:v>
      </ns0:c>
      <ns0:c r="H30" s="7" t="n">
        <ns0:v>0.2369565217391305</ns0:v>
      </ns0:c>
      <ns0:c r="I30" s="7" t="n">
        <ns0:v>0.1391304347826087</ns0:v>
      </ns0:c>
      <ns0:c r="J30" s="7" t="n">
        <ns0:v>0.2283815015939253</ns0:v>
      </ns0:c>
      <ns0:c r="K30" s="7" t="n">
        <ns0:v>0.6537401635440386</ns0:v>
      </ns0:c>
    </ns0:row>
    <ns0:row r="31" ht="28" customHeight="1">
      <ns0:c r="A31" s="3" t="inlineStr">
        <ns0:is>
          <ns0:t>office3</ns0:t>
        </ns0:is>
      </ns0:c>
      <ns0:c r="B31" s="3" t="inlineStr">
        <ns0:is>
          <ns0:t>v7_CLIP</ns0:t>
        </ns0:is>
      </ns0:c>
      <ns0:c r="C31" s="4" t="n">
        <ns0:v>0.4355317405570338</ns0:v>
      </ns0:c>
      <ns0:c r="D31" s="7" t="n">
        <ns0:v>0.6756892796272691</ns0:v>
      </ns0:c>
      <ns0:c r="E31" s="4" t="n">
        <ns0:v>0.3182124286809896</ns0:v>
      </ns0:c>
      <ns0:c r="F31" s="4" t="n">
        <ns0:v>0.04336020478110761</ns0:v>
      </ns0:c>
      <ns0:c r="G31" s="4" t="n">
        <ns0:v>0.1039901623717064</ns0:v>
      </ns0:c>
      <ns0:c r="H31" s="4" t="n">
        <ns0:v>0.2315217391304348</ns0:v>
      </ns0:c>
      <ns0:c r="I31" s="7" t="n">
        <ns0:v>0.1391304347826087</ns0:v>
      </ns0:c>
      <ns0:c r="J31" s="4" t="n">
        <ns0:v>0.2159243021544132</ns0:v>
      </ns0:c>
      <ns0:c r="K31" s="4" t="n">
        <ns0:v>0.6354166913491317</ns0:v>
      </ns0:c>
    </ns0:row>
    <ns0:row r="32" ht="28" customHeight="1">
      <ns0:c r="A32" s="5" t="inlineStr">
        <ns0:is>
          <ns0:t>office3</ns0:t>
        </ns0:is>
      </ns0:c>
      <ns0:c r="B32" s="5" t="inlineStr">
        <ns0:is>
          <ns0:t>OVI_MAP</ns0:t>
        </ns0:is>
      </ns0:c>
      <ns0:c r="C32" s="6" t="n">
        <ns0:v>0.3847540211952144</ns0:v>
      </ns0:c>
      <ns0:c r="D32" s="6" t="n">
        <ns0:v>0.5384832190978905</ns0:v>
      </ns0:c>
      <ns0:c r="E32" s="6" t="n">
        <ns0:v>0.2419482951375733</ns0:v>
      </ns0:c>
      <ns0:c r="F32" s="6" t="n">
        <ns0:v>0.02279699970992406</ns0:v>
      </ns0:c>
      <ns0:c r="G32" s="6" t="n">
        <ns0:v>0.1014915414414958</ns0:v>
      </ns0:c>
      <ns0:c r="H32" s="6" t="n">
        <ns0:v>0.1185472739820566</ns0:v>
      </ns0:c>
      <ns0:c r="I32" s="6" t="n">
        <ns0:v>0.1004313319530711</ns0:v>
      </ns0:c>
      <ns0:c r="J32" s="6" t="n">
        <ns0:v>0.1528512145754292</ns0:v>
      </ns0:c>
      <ns0:c r="K32" s="6" t="n">
        <ns0:v>0.6385018020174065</ns0:v>
      </ns0:c>
    </ns0:row>
    <ns0:row r="33" ht="28" customHeight="1">
      <ns0:c r="A33" s="3" t="inlineStr">
        <ns0:is>
          <ns0:t>office3</ns0:t>
        </ns0:is>
      </ns0:c>
      <ns0:c r="B33" s="3" t="inlineStr">
        <ns0:is>
          <ns0:t>ali_my</ns0:t>
        </ns0:is>
      </ns0:c>
      <ns0:c r="C33" s="4" t="n">
        <ns0:v>0.3031920464641051</ns0:v>
      </ns0:c>
      <ns0:c r="D33" s="4" t="n">
        <ns0:v>0.4426522191182974</ns0:v>
      </ns0:c>
      <ns0:c r="E33" s="4" t="n">
        <ns0:v>0.1592394404725498</ns0:v>
      </ns0:c>
      <ns0:c r="F33" s="4" t="n">
        <ns0:v>0.01795175628606751</ns0:v>
      </ns0:c>
      <ns0:c r="G33" s="4" t="n">
        <ns0:v>0.1052486661589725</ns0:v>
      </ns0:c>
      <ns0:c r="H33" s="4" t="n">
        <ns0:v>0.1373188405797101</ns0:v>
      </ns0:c>
      <ns0:c r="I33" s="4" t="n">
        <ns0:v>0.1304347826086956</ns0:v>
      </ns0:c>
      <ns0:c r="J33" s="4" t="n">
        <ns0:v>0.1521446895176796</ns0:v>
      </ns0:c>
      <ns0:c r="K33" s="4" t="n">
        <ns0:v>0.5990754146061745</ns0:v>
      </ns0:c>
    </ns0:row>
    <ns0:row r="34" ht="28" customHeight="1">
      <ns0:c r="A34" s="5" t="inlineStr">
        <ns0:is>
          <ns0:t>office4</ns0:t>
        </ns0:is>
      </ns0:c>
      <ns0:c r="B34" s="5" t="inlineStr">
        <ns0:is>
          <ns0:t>Baseline_gateoff</ns0:t>
        </ns0:is>
      </ns0:c>
      <ns0:c r="C34" s="7" t="n">
        <ns0:v>0.4928598800340697</ns0:v>
      </ns0:c>
      <ns0:c r="D34" s="7" t="n">
        <ns0:v>0.7688218660032112</ns0:v>
      </ns0:c>
      <ns0:c r="E34" s="6" t="n">
        <ns0:v>0.2612046701208119</ns0:v>
      </ns0:c>
      <ns0:c r="F34" s="6" t="n">
        <ns0:v>0.07998552355760163</ns0:v>
      </ns0:c>
      <ns0:c r="G34" s="6" t="n">
        <ns0:v>0.1435141115002427</ns0:v>
      </ns0:c>
      <ns0:c r="H34" s="6" t="n">
        <ns0:v>0.2076923076923077</ns0:v>
      </ns0:c>
      <ns0:c r="I34" s="7" t="n">
        <ns0:v>0.2</ns0:v>
      </ns0:c>
      <ns0:c r="J34" s="6" t="n">
        <ns0:v>0.1784745534140487</ns0:v>
      </ns0:c>
      <ns0:c r="K34" s="7" t="n">
        <ns0:v>0.7202836823233424</ns0:v>
      </ns0:c>
    </ns0:row>
    <ns0:row r="35" ht="28" customHeight="1">
      <ns0:c r="A35" s="3" t="inlineStr">
        <ns0:is>
          <ns0:t>office4</ns0:t>
        </ns0:is>
      </ns0:c>
      <ns0:c r="B35" s="3" t="inlineStr">
        <ns0:is>
          <ns0:t>v7_CLIP</ns0:t>
        </ns0:is>
      </ns0:c>
      <ns0:c r="C35" s="4" t="n">
        <ns0:v>0.4834691830926694</ns0:v>
      </ns0:c>
      <ns0:c r="D35" s="4" t="n">
        <ns0:v>0.7286458333824957</ns0:v>
      </ns0:c>
      <ns0:c r="E35" s="4" t="n">
        <ns0:v>0.2685687506446646</ns0:v>
      </ns0:c>
      <ns0:c r="F35" s="4" t="n">
        <ns0:v>0.08152152131737292</ns0:v>
      </ns0:c>
      <ns0:c r="G35" s="4" t="n">
        <ns0:v>0.1379192279911525</ns0:v>
      </ns0:c>
      <ns0:c r="H35" s="4" t="n">
        <ns0:v>0.1923076923076923</ns0:v>
      </ns0:c>
      <ns0:c r="I35" s="4" t="n">
        <ns0:v>0.1923076923076923</ns0:v>
      </ns0:c>
      <ns0:c r="J35" s="4" t="n">
        <ns0:v>0.1689276860333009</ns0:v>
      </ns0:c>
      <ns0:c r="K35" s="4" t="n">
        <ns0:v>0.7197091859981378</ns0:v>
      </ns0:c>
    </ns0:row>
    <ns0:row r="36" ht="28" customHeight="1">
      <ns0:c r="A36" s="5" t="inlineStr">
        <ns0:is>
          <ns0:t>office4</ns0:t>
        </ns0:is>
      </ns0:c>
      <ns0:c r="B36" s="5" t="inlineStr">
        <ns0:is>
          <ns0:t>OVI_MAP</ns0:t>
        </ns0:is>
      </ns0:c>
      <ns0:c r="C36" s="6" t="n">
        <ns0:v>0.4192642174894631</ns0:v>
      </ns0:c>
      <ns0:c r="D36" s="6" t="n">
        <ns0:v>0.6219905704005759</ns0:v>
      </ns0:c>
      <ns0:c r="E36" s="6" t="n">
        <ns0:v>0.2109044119065424</ns0:v>
      </ns0:c>
      <ns0:c r="F36" s="7" t="n">
        <ns0:v>0.1185010849553578</ns0:v>
      </ns0:c>
      <ns0:c r="G36" s="7" t="n">
        <ns0:v>0.2013547354753485</ns0:v>
      </ns0:c>
      <ns0:c r="H36" s="7" t="n">
        <ns0:v>0.2307692307692308</ns0:v>
      </ns0:c>
      <ns0:c r="I36" s="6" t="n">
        <ns0:v>0.1538461538461539</ns0:v>
      </ns0:c>
      <ns0:c r="J36" s="7" t="n">
        <ns0:v>0.2615729399983739</ns0:v>
      </ns0:c>
      <ns0:c r="K36" s="6" t="n">
        <ns0:v>0.7092969353592583</ns0:v>
      </ns0:c>
    </ns0:row>
    <ns0:row r="37" ht="28" customHeight="1">
      <ns0:c r="A37" s="3" t="inlineStr">
        <ns0:is>
          <ns0:t>office4</ns0:t>
        </ns0:is>
      </ns0:c>
      <ns0:c r="B37" s="3" t="inlineStr">
        <ns0:is>
          <ns0:t>ali_my</ns0:t>
        </ns0:is>
      </ns0:c>
      <ns0:c r="C37" s="4" t="n">
        <ns0:v>0.4182680127036357</ns0:v>
      </ns0:c>
      <ns0:c r="D37" s="4" t="n">
        <ns0:v>0.7080927902151345</ns0:v>
      </ns0:c>
      <ns0:c r="E37" s="7" t="n">
        <ns0:v>0.3138602612853974</ns0:v>
      </ns0:c>
      <ns0:c r="F37" s="4" t="n">
        <ns0:v>0.02184135716053967</ns0:v>
      </ns0:c>
      <ns0:c r="G37" s="4" t="n">
        <ns0:v>0.1368461364452016</ns0:v>
      </ns0:c>
      <ns0:c r="H37" s="4" t="n">
        <ns0:v>0.1230769230769231</ns0:v>
      </ns0:c>
      <ns0:c r="I37" s="4" t="n">
        <ns0:v>0.07692307692307693</ns0:v>
      </ns0:c>
      <ns0:c r="J37" s="4" t="n">
        <ns0:v>0.1662807186698505</ns0:v>
      </ns0:c>
      <ns0:c r="K37" s="4" t="n">
        <ns0:v>0.6045088056419501</ns0:v>
      </ns0:c>
    </ns0:row>
    <ns0:row r="38" ht="28" customHeight="1">
      <ns0:c r="A38" s="3" t="inlineStr">
        <ns0:is>
          <ns0:t>office2</ns0:t>
        </ns0:is>
      </ns0:c>
      <ns0:c r="B38" s="3" t="inlineStr">
        <ns0:is>
          <ns0:t>v7_merge_re</ns0:t>
        </ns0:is>
      </ns0:c>
      <ns0:c r="C38" s="6" t="n">
        <ns0:v>0.4381981384834157</ns0:v>
      </ns0:c>
      <ns0:c r="D38" s="6" t="n">
        <ns0:v>0.6720566204942495</ns0:v>
      </ns0:c>
      <ns0:c r="E38" s="6" t="n">
        <ns0:v>0.2862629877110334</ns0:v>
      </ns0:c>
      <ns0:c r="F38" s="6" t="n">
        <ns0:v>0.04355590808377186</ns0:v>
      </ns0:c>
      <ns0:c r="G38" s="6" t="n">
        <ns0:v>0.1313714572446489</ns0:v>
      </ns0:c>
      <ns0:c r="H38" s="7" t="n">
        <ns0:v>0.2470588235294118</ns0:v>
      </ns0:c>
      <ns0:c r="I38" s="7" t="n">
        <ns0:v>0.1882352941176471</ns0:v>
      </ns0:c>
      <ns0:c r="J38" s="6" t="n">
        <ns0:v>0.1801540841243777</ns0:v>
      </ns0:c>
      <ns0:c r="K38" s="6" t="n">
        <ns0:v>0.6404868969142314</ns0:v>
      </ns0:c>
    </ns0:row>
    <ns0:row r="39" ht="28" customHeight="1">
      <ns0:c r="A39" s="3" t="inlineStr">
        <ns0:is>
          <ns0:t>office2</ns0:t>
        </ns0:is>
      </ns0:c>
      <ns0:c r="B39" s="3" t="inlineStr">
        <ns0:is>
          <ns0:t>v7_merge</ns0:t>
        </ns0:is>
      </ns0:c>
      <ns0:c r="C39" s="4" t="n">
        <ns0:v>0.457450931130748</ns0:v>
      </ns0:c>
      <ns0:c r="D39" s="4" t="n">
        <ns0:v>0.676374749376237</ns0:v>
      </ns0:c>
      <ns0:c r="E39" s="4" t="n">
        <ns0:v>0.2728854910247132</ns0:v>
      </ns0:c>
      <ns0:c r="F39" s="4" t="n">
        <ns0:v>0.05660818168945104</ns0:v>
      </ns0:c>
      <ns0:c r="G39" s="4" t="n">
        <ns0:v>0.1226641744802187</ns0:v>
      </ns0:c>
      <ns0:c r="H39" s="4" t="n">
        <ns0:v>0.1882352941176471</ns0:v>
      </ns0:c>
      <ns0:c r="I39" s="4" t="n">
        <ns0:v>0.1882352941176471</ns0:v>
      </ns0:c>
      <ns0:c r="J39" s="4" t="n">
        <ns0:v>0.167214631863368</ns0:v>
      </ns0:c>
      <ns0:c r="K39" s="4" t="n">
        <ns0:v>0.646326491670837</ns0:v>
      </ns0:c>
    </ns0:row>
    <ns0:row r="40" ht="28" customHeight="1">
      <ns0:c r="A40" s="3" t="inlineStr">
        <ns0:is>
          <ns0:t>room0</ns0:t>
        </ns0:is>
      </ns0:c>
      <ns0:c r="B40" s="3" t="inlineStr">
        <ns0:is>
          <ns0:t>TwoRoad（融合旧读出）</ns0:t>
        </ns0:is>
      </ns0:c>
      <ns0:c r="C40" s="6" t="n">
        <ns0:v>0.4641733359877803</ns0:v>
      </ns0:c>
      <ns0:c r="D40" s="6" t="n">
        <ns0:v>0.5882035341289031</ns0:v>
      </ns0:c>
      <ns0:c r="E40" s="6" t="n">
        <ns0:v>0.3500447103479245</ns0:v>
      </ns0:c>
      <ns0:c r="F40" s="6" t="n">
        <ns0:v>0.066556381316938</ns0:v>
      </ns0:c>
      <ns0:c r="G40" s="6" t="n">
        <ns0:v>0.1755434233342291</ns0:v>
      </ns0:c>
      <ns0:c r="H40" s="6" t="n">
        <ns0:v>0.2666790674603174</ns0:v>
      </ns0:c>
      <ns0:c r="I40" s="6" t="n">
        <ns0:v>0.2385912698412699</ns0:v>
      </ns0:c>
      <ns0:c r="J40" s="6" t="n">
        <ns0:v>0.2776635147235777</ns0:v>
      </ns0:c>
      <ns0:c r="K40" s="6" t="n">
        <ns0:v>0.7917715398547892</ns0:v>
      </ns0:c>
    </ns0:row>
    <ns0:row r="41" ht="32" customHeight="1">
      <ns0:c r="A41" s="12" t="inlineStr">
        <ns0:is>
          <ns0:t>room0</ns0:t>
        </ns0:is>
      </ns0:c>
      <ns0:c r="B41" s="12" t="inlineStr">
        <ns0:is>
          <ns0:t>CLIP+bbox读出</ns0:t>
        </ns0:is>
      </ns0:c>
      <ns0:c r="C41" s="14" t="n">
        <ns0:v>0.4459973845205167</ns0:v>
      </ns0:c>
      <ns0:c r="D41" s="14" t="n">
        <ns0:v>0.5796719003160379</ns0:v>
      </ns0:c>
      <ns0:c r="E41" s="14" t="n">
        <ns0:v>0.3890281657883834</ns0:v>
      </ns0:c>
      <ns0:c r="F41" s="14" t="n">
        <ns0:v>0.05225624652684709</ns0:v>
      </ns0:c>
      <ns0:c r="G41" s="14" t="n">
        <ns0:v>0.1974612055610154</ns0:v>
      </ns0:c>
      <ns0:c r="H41" s="14" t="n">
        <ns0:v>0.2914806547619048</ns0:v>
      </ns0:c>
      <ns0:c r="I41" s="14" t="n">
        <ns0:v>0.2901785714285715</ns0:v>
      </ns0:c>
      <ns0:c r="J41" s="14" t="n">
        <ns0:v>0.3190472909885869</ns0:v>
      </ns0:c>
      <ns0:c r="K41" s="14" t="n">
        <ns0:v>0.7851162333645254</ns0:v>
      </ns0:c>
    </ns0:row>
    <ns0:row r="42" ht="32" customHeight="1">
      <ns0:c r="A42" s="12" t="inlineStr">
        <ns0:is>
          <ns0:t>room1</ns0:t>
        </ns0:is>
      </ns0:c>
      <ns0:c r="B42" s="12" t="inlineStr">
        <ns0:is>
          <ns0:t>CLIP+bbox读出</ns0:t>
        </ns0:is>
      </ns0:c>
      <ns0:c r="C42" s="14" t="n">
        <ns0:v>0.4912027306040631</ns0:v>
      </ns0:c>
      <ns0:c r="D42" s="14" t="n">
        <ns0:v>0.6312015912144155</ns0:v>
      </ns0:c>
      <ns0:c r="E42" s="14" t="n">
        <ns0:v>0.2567989750327216</ns0:v>
      </ns0:c>
      <ns0:c r="F42" s="14" t="n">
        <ns0:v>0.04332999655618973</ns0:v>
      </ns0:c>
      <ns0:c r="G42" s="14" t="n">
        <ns0:v>0.2366743853397498</ns0:v>
      </ns0:c>
      <ns0:c r="H42" s="14" t="n">
        <ns0:v>0.3833020050125313</ns0:v>
      </ns0:c>
      <ns0:c r="I42" s="14" t="n">
        <ns0:v>0.2670739348370927</ns0:v>
      </ns0:c>
      <ns0:c r="J42" s="14" t="n">
        <ns0:v>0.3995530452212845</ns0:v>
      </ns0:c>
      <ns0:c r="K42" s="14" t="n">
        <ns0:v>0.7612885442583471</ns0:v>
      </ns0:c>
    </ns0:row>
    <ns0:row r="43" ht="32" customHeight="1">
      <ns0:c r="A43" s="12" t="inlineStr">
        <ns0:is>
          <ns0:t>room2</ns0:t>
        </ns0:is>
      </ns0:c>
      <ns0:c r="B43" s="12" t="inlineStr">
        <ns0:is>
          <ns0:t>CLIP+bbox读出</ns0:t>
        </ns0:is>
      </ns0:c>
      <ns0:c r="C43" s="14" t="n">
        <ns0:v>0.399339036463037</ns0:v>
      </ns0:c>
      <ns0:c r="D43" s="14" t="n">
        <ns0:v>0.5420953523934778</ns0:v>
      </ns0:c>
      <ns0:c r="E43" s="14" t="n">
        <ns0:v>0.2312408736060368</ns0:v>
      </ns0:c>
      <ns0:c r="F43" s="14" t="n">
        <ns0:v>0.003102836879432624</ns0:v>
      </ns0:c>
      <ns0:c r="G43" s="14" t="n">
        <ns0:v>0.1750375217302293</ns0:v>
      </ns0:c>
      <ns0:c r="H43" s="14" t="n">
        <ns0:v>0.1952008928571428</ns0:v>
      </ns0:c>
      <ns0:c r="I43" s="14" t="n">
        <ns0:v>0.1556733630952381</ns0:v>
      </ns0:c>
      <ns0:c r="J43" s="14" t="n">
        <ns0:v>0.2901668873299487</ns0:v>
      </ns0:c>
      <ns0:c r="K43" s="14" t="n">
        <ns0:v>0.673829564950017</ns0:v>
      </ns0:c>
    </ns0:row>
    <ns0:row r="44" ht="32" customHeight="1">
      <ns0:c r="A44" s="12" t="inlineStr">
        <ns0:is>
          <ns0:t>office0</ns0:t>
        </ns0:is>
      </ns0:c>
      <ns0:c r="B44" s="12" t="inlineStr">
        <ns0:is>
          <ns0:t>CLIP+bbox读出</ns0:t>
        </ns0:is>
      </ns0:c>
      <ns0:c r="C44" s="14" t="n">
        <ns0:v>0.3646469747559358</ns0:v>
      </ns0:c>
      <ns0:c r="D44" s="14" t="n">
        <ns0:v>0.5963161674653411</ns0:v>
      </ns0:c>
      <ns0:c r="E44" s="14" t="n">
        <ns0:v>0.1898389285028961</ns0:v>
      </ns0:c>
      <ns0:c r="F44" s="14" t="n">
        <ns0:v>0.06570816689594972</ns0:v>
      </ns0:c>
      <ns0:c r="G44" s="14" t="n">
        <ns0:v>0.1845549303954507</ns0:v>
      </ns0:c>
      <ns0:c r="H44" s="14" t="n">
        <ns0:v>0.325</ns0:v>
      </ns0:c>
      <ns0:c r="I44" s="14" t="n">
        <ns0:v>0.225</ns0:v>
      </ns0:c>
      <ns0:c r="J44" s="14" t="n">
        <ns0:v>0.2591620750216325</ns0:v>
      </ns0:c>
      <ns0:c r="K44" s="14" t="n">
        <ns0:v>0.6369576990191949</ns0:v>
      </ns0:c>
    </ns0:row>
    <ns0:row r="45" ht="32" customHeight="1">
      <ns0:c r="A45" s="12" t="inlineStr">
        <ns0:is>
          <ns0:t>office1</ns0:t>
        </ns0:is>
      </ns0:c>
      <ns0:c r="B45" s="12" t="inlineStr">
        <ns0:is>
          <ns0:t>CLIP+bbox读出</ns0:t>
        </ns0:is>
      </ns0:c>
      <ns0:c r="C45" s="14" t="n">
        <ns0:v>0.4511795994883415</ns0:v>
      </ns0:c>
      <ns0:c r="D45" s="14" t="n">
        <ns0:v>0.6328415032679739</ns0:v>
      </ns0:c>
      <ns0:c r="E45" s="14" t="n">
        <ns0:v>0.4724691881905504</ns0:v>
      </ns0:c>
      <ns0:c r="F45" s="14" t="n">
        <ns0:v>0.1514444444444444</ns0:v>
      </ns0:c>
      <ns0:c r="G45" s="14" t="n">
        <ns0:v>0.1471146577267482</ns0:v>
      </ns0:c>
      <ns0:c r="H45" s="14" t="n">
        <ns0:v>0.2941176470588235</ns0:v>
      </ns0:c>
      <ns0:c r="I45" s="14" t="n">
        <ns0:v>0.2941176470588235</ns0:v>
      </ns0:c>
      <ns0:c r="J45" s="14" t="n">
        <ns0:v>0.2320110233042071</ns0:v>
      </ns0:c>
      <ns0:c r="K45" s="14" t="n">
        <ns0:v>0.7078874400691217</ns0:v>
      </ns0:c>
    </ns0:row>
    <ns0:row r="46" ht="32" customHeight="1">
      <ns0:c r="A46" s="12" t="inlineStr">
        <ns0:is>
          <ns0:t>office2</ns0:t>
        </ns0:is>
      </ns0:c>
      <ns0:c r="B46" s="12" t="inlineStr">
        <ns0:is>
          <ns0:t>CLIP+bbox读出</ns0:t>
        </ns0:is>
      </ns0:c>
      <ns0:c r="C46" s="14" t="n">
        <ns0:v>0.4491063861008109</ns0:v>
      </ns0:c>
      <ns0:c r="D46" s="14" t="n">
        <ns0:v>0.6567383578878236</ns0:v>
      </ns0:c>
      <ns0:c r="E46" s="14" t="n">
        <ns0:v>0.3263653732257894</ns0:v>
      </ns0:c>
      <ns0:c r="F46" s="14" t="n">
        <ns0:v>0.05978287373810829</ns0:v>
      </ns0:c>
      <ns0:c r="G46" s="14" t="n">
        <ns0:v>0.146293415658092</ns0:v>
      </ns0:c>
      <ns0:c r="H46" s="14" t="n">
        <ns0:v>0.1882352941176471</ns0:v>
      </ns0:c>
      <ns0:c r="I46" s="14" t="n">
        <ns0:v>0.1882352941176471</ns0:v>
      </ns0:c>
      <ns0:c r="J46" s="14" t="n">
        <ns0:v>0.1651755932702475</ns0:v>
      </ns0:c>
      <ns0:c r="K46" s="14" t="n">
        <ns0:v>0.6452968220651716</ns0:v>
      </ns0:c>
    </ns0:row>
    <ns0:row r="47" ht="32" customHeight="1">
      <ns0:c r="A47" s="12" t="inlineStr">
        <ns0:is>
          <ns0:t>office3</ns0:t>
        </ns0:is>
      </ns0:c>
      <ns0:c r="B47" s="12" t="inlineStr">
        <ns0:is>
          <ns0:t>CLIP+bbox读出</ns0:t>
        </ns0:is>
      </ns0:c>
      <ns0:c r="C47" s="14" t="n">
        <ns0:v>0.4355317405570338</ns0:v>
      </ns0:c>
      <ns0:c r="D47" s="14" t="n">
        <ns0:v>0.6756892796272691</ns0:v>
      </ns0:c>
      <ns0:c r="E47" s="14" t="n">
        <ns0:v>0.3182124286809896</ns0:v>
      </ns0:c>
      <ns0:c r="F47" s="14" t="n">
        <ns0:v>0.04336020478110761</ns0:v>
      </ns0:c>
      <ns0:c r="G47" s="14" t="n">
        <ns0:v>0.07808551307556755</ns0:v>
      </ns0:c>
      <ns0:c r="H47" s="14" t="n">
        <ns0:v>0.1934782608695652</ns0:v>
      </ns0:c>
      <ns0:c r="I47" s="14" t="n">
        <ns0:v>0.1347826086956522</ns0:v>
      </ns0:c>
      <ns0:c r="J47" s="14" t="n">
        <ns0:v>0.19282190929681</ns0:v>
      </ns0:c>
      <ns0:c r="K47" s="14" t="n">
        <ns0:v>0.6354166913491317</ns0:v>
      </ns0:c>
    </ns0:row>
    <ns0:row r="48" ht="32" customHeight="1">
      <ns0:c r="A48" s="12" t="inlineStr">
        <ns0:is>
          <ns0:t>office4</ns0:t>
        </ns0:is>
      </ns0:c>
      <ns0:c r="B48" s="12" t="inlineStr">
        <ns0:is>
          <ns0:t>CLIP+bbox读出</ns0:t>
        </ns0:is>
      </ns0:c>
      <ns0:c r="C48" s="14" t="n">
        <ns0:v>0.4834691830926694</ns0:v>
      </ns0:c>
      <ns0:c r="D48" s="14" t="n">
        <ns0:v>0.7286458333824957</ns0:v>
      </ns0:c>
      <ns0:c r="E48" s="14" t="n">
        <ns0:v>0.2685687506446646</ns0:v>
      </ns0:c>
      <ns0:c r="F48" s="14" t="n">
        <ns0:v>0.08152152131737292</ns0:v>
      </ns0:c>
      <ns0:c r="G48" s="14" t="n">
        <ns0:v>0.1267974138940052</ns0:v>
      </ns0:c>
      <ns0:c r="H48" s="14" t="n">
        <ns0:v>0.1538461538461539</ns0:v>
      </ns0:c>
      <ns0:c r="I48" s="14" t="n">
        <ns0:v>0.1538461538461539</ns0:v>
      </ns0:c>
      <ns0:c r="J48" s="14" t="n">
        <ns0:v>0.1570904426977555</ns0:v>
      </ns0:c>
      <ns0:c r="K48" s="14" t="n">
        <ns0:v>0.7197091859981378</ns0:v>
      </ns0:c>
    </ns0:row>
    <ns0:row r="49" ht="32" customHeight="1">
      <ns0:c r="A49" s="12" t="inlineStr">
        <ns0:is>
          <ns0:t>room0</ns0:t>
        </ns0:is>
      </ns0:c>
      <ns0:c r="B49" s="12" t="inlineStr">
        <ns0:is>
          <ns0:t>TwoRoad bbox读出</ns0:t>
        </ns0:is>
      </ns0:c>
      <ns0:c r="C49" s="14" t="n">
        <ns0:v>0.4641733359877803</ns0:v>
      </ns0:c>
      <ns0:c r="D49" s="14" t="n">
        <ns0:v>0.5882035341289031</ns0:v>
      </ns0:c>
      <ns0:c r="E49" s="14" t="n">
        <ns0:v>0.3500447103479245</ns0:v>
      </ns0:c>
      <ns0:c r="F49" s="14" t="n">
        <ns0:v>0.066556381316938</ns0:v>
      </ns0:c>
      <ns0:c r="G49" s="14" t="n">
        <ns0:v>0.2159402350275205</ns0:v>
      </ns0:c>
      <ns0:c r="H49" s="14" t="n">
        <ns0:v>0.2914806547619048</ns0:v>
      </ns0:c>
      <ns0:c r="I49" s="14" t="n">
        <ns0:v>0.2693452380952381</ns0:v>
      </ns0:c>
      <ns0:c r="J49" s="14" t="n">
        <ns0:v>0.3113481382138575</ns0:v>
      </ns0:c>
      <ns0:c r="K49" s="14" t="n">
        <ns0:v>0.7917715398547892</ns0:v>
      </ns0:c>
    </ns0:row>
    <ns0:row r="50" ht="28" customHeight="1">
      <ns0:c r="A50" s="21" t="inlineStr">
        <ns0:is>
          <ns0:t>room1</ns0:t>
        </ns0:is>
      </ns0:c>
      <ns0:c r="B50" s="21" t="inlineStr">
        <ns0:is>
          <ns0:t>v7_CLIP_v3</ns0:t>
        </ns0:is>
      </ns0:c>
      <ns0:c r="C50" s="22" t="n">
        <ns0:v>0.4699908273272869</ns0:v>
      </ns0:c>
      <ns0:c r="D50" s="22" t="n">
        <ns0:v>0.5889116570874752</ns0:v>
      </ns0:c>
      <ns0:c r="E50" s="22" t="n">
        <ns0:v>0.2162969664679144</ns0:v>
      </ns0:c>
      <ns0:c r="F50" s="22" t="n">
        <ns0:v>0.03532517748478702</ns0:v>
      </ns0:c>
      <ns0:c r="G50" s="22" t="n">
        <ns0:v>0.18681780781505</ns0:v>
      </ns0:c>
      <ns0:c r="H50" s="22" t="n">
        <ns0:v>0.356484962406015</ns0:v>
      </ns0:c>
      <ns0:c r="I50" s="22" t="n">
        <ns0:v>0.2515977443609023</ns0:v>
      </ns0:c>
      <ns0:c r="J50" s="22" t="n">
        <ns0:v>0.3614380815892212</ns0:v>
      </ns0:c>
      <ns0:c r="K50" s="22" t="n">
        <ns0:v>0.7621372251760832</ns0:v>
      </ns0:c>
    </ns0:row>
    <ns0:row r="51" ht="28" customHeight="1">
      <ns0:c r="A51" s="5" t="inlineStr">
        <ns0:is>
          <ns0:t>room2</ns0:t>
        </ns0:is>
      </ns0:c>
      <ns0:c r="B51" s="5" t="inlineStr">
        <ns0:is>
          <ns0:t>v7_CLIP_v3</ns0:t>
        </ns0:is>
      </ns0:c>
      <ns0:c r="C51" s="6" t="n">
        <ns0:v>0.4089689994867293</ns0:v>
      </ns0:c>
      <ns0:c r="D51" s="6" t="n">
        <ns0:v>0.5665696413019986</ns0:v>
      </ns0:c>
      <ns0:c r="E51" s="6" t="n">
        <ns0:v>0.2081216883218151</ns0:v>
      </ns0:c>
      <ns0:c r="F51" s="6" t="n">
        <ns0:v>0.003667874678512976</ns0:v>
      </ns0:c>
      <ns0:c r="G51" s="6" t="n">
        <ns0:v>0.1180390740310319</ns0:v>
      </ns0:c>
      <ns0:c r="H51" s="6" t="n">
        <ns0:v>0.221875</ns0:v>
      </ns0:c>
      <ns0:c r="I51" s="6" t="n">
        <ns0:v>0.1405133928571429</ns0:v>
      </ns0:c>
      <ns0:c r="J51" s="6" t="n">
        <ns0:v>0.2169820662060672</ns0:v>
      </ns0:c>
      <ns0:c r="K51" s="6" t="n">
        <ns0:v>0.6508314203153772</ns0:v>
      </ns0:c>
    </ns0:row>
    <ns0:row r="52" ht="28" customHeight="1">
      <ns0:c r="A52" s="21" t="inlineStr">
        <ns0:is>
          <ns0:t>office0</ns0:t>
        </ns0:is>
      </ns0:c>
      <ns0:c r="B52" s="21" t="inlineStr">
        <ns0:is>
          <ns0:t>v7_CLIP_v3</ns0:t>
        </ns0:is>
      </ns0:c>
      <ns0:c r="C52" s="22" t="n">
        <ns0:v>0.3672622710903128</ns0:v>
      </ns0:c>
      <ns0:c r="D52" s="22" t="n">
        <ns0:v>0.6394584557342575</ns0:v>
      </ns0:c>
      <ns0:c r="E52" s="22" t="n">
        <ns0:v>0.1849504721375417</ns0:v>
      </ns0:c>
      <ns0:c r="F52" s="22" t="n">
        <ns0:v>0.06796317717370348</ns0:v>
      </ns0:c>
      <ns0:c r="G52" s="22" t="n">
        <ns0:v>0.1380137482375874</ns0:v>
      </ns0:c>
      <ns0:c r="H52" s="22" t="n">
        <ns0:v>0.2625</ns0:v>
      </ns0:c>
      <ns0:c r="I52" s="22" t="n">
        <ns0:v>0.15</ns0:v>
      </ns0:c>
      <ns0:c r="J52" s="22" t="n">
        <ns0:v>0.2161995440963677</ns0:v>
      </ns0:c>
      <ns0:c r="K52" s="22" t="n">
        <ns0:v>0.6342940810718656</ns0:v>
      </ns0:c>
    </ns0:row>
    <ns0:row r="53" ht="28" customHeight="1">
      <ns0:c r="A53" s="5" t="inlineStr">
        <ns0:is>
          <ns0:t>office1</ns0:t>
        </ns0:is>
      </ns0:c>
      <ns0:c r="B53" s="5" t="inlineStr">
        <ns0:is>
          <ns0:t>v7_CLIP_v3</ns0:t>
        </ns0:is>
      </ns0:c>
      <ns0:c r="C53" s="6" t="n">
        <ns0:v>0.4706203682172728</ns0:v>
      </ns0:c>
      <ns0:c r="D53" s="6" t="n">
        <ns0:v>0.6639217037692272</ns0:v>
      </ns0:c>
      <ns0:c r="E53" s="6" t="n">
        <ns0:v>0.5138362933076555</ns0:v>
      </ns0:c>
      <ns0:c r="F53" s="6" t="n">
        <ns0:v>0.1638622782446312</ns0:v>
      </ns0:c>
      <ns0:c r="G53" s="6" t="n">
        <ns0:v>0.1392906166603993</ns0:v>
      </ns0:c>
      <ns0:c r="H53" s="6" t="n">
        <ns0:v>0.25</ns0:v>
      </ns0:c>
      <ns0:c r="I53" s="6" t="n">
        <ns0:v>0.25</ns0:v>
      </ns0:c>
      <ns0:c r="J53" s="6" t="n">
        <ns0:v>0.2337903185796067</ns0:v>
      </ns0:c>
      <ns0:c r="K53" s="6" t="n">
        <ns0:v>0.7078196737049566</ns0:v>
      </ns0:c>
    </ns0:row>
    <ns0:row r="54" ht="28" customHeight="1">
      <ns0:c r="A54" s="21" t="inlineStr">
        <ns0:is>
          <ns0:t>office2</ns0:t>
        </ns0:is>
      </ns0:c>
      <ns0:c r="B54" s="21" t="inlineStr">
        <ns0:is>
          <ns0:t>v7_CLIP_v3</ns0:t>
        </ns0:is>
      </ns0:c>
      <ns0:c r="C54" s="22" t="n">
        <ns0:v>0.4584174526565762</ns0:v>
      </ns0:c>
      <ns0:c r="D54" s="22" t="n">
        <ns0:v>0.675308126805523</ns0:v>
      </ns0:c>
      <ns0:c r="E54" s="22" t="n">
        <ns0:v>0.2722655265369418</ns0:v>
      </ns0:c>
      <ns0:c r="F54" s="22" t="n">
        <ns0:v>0.05576520858155495</ns0:v>
      </ns0:c>
      <ns0:c r="G54" s="22" t="n">
        <ns0:v>0.1011504910842528</ns0:v>
      </ns0:c>
      <ns0:c r="H54" s="22" t="n">
        <ns0:v>0.1490196078431373</ns0:v>
      </ns0:c>
      <ns0:c r="I54" s="22" t="n">
        <ns0:v>0.1294117647058824</ns0:v>
      </ns0:c>
      <ns0:c r="J54" s="22" t="n">
        <ns0:v>0.1322574034426712</ns0:v>
      </ns0:c>
      <ns0:c r="K54" s="22" t="n">
        <ns0:v>0.6446163760670222</ns0:v>
      </ns0:c>
    </ns0:row>
    <ns0:row r="55" ht="42" customHeight="1">
      <ns0:c r="A55" s="21" t="inlineStr">
        <ns0:is>
          <ns0:t>room0</ns0:t>
        </ns0:is>
      </ns0:c>
      <ns0:c r="B55" s="21" t="inlineStr">
        <ns0:is>
          <ns0:t>A ali-my bff233f</ns0:t>
        </ns0:is>
      </ns0:c>
      <ns0:c r="C55" s="22" t="n">
        <ns0:v>0.3637402590649125</ns0:v>
      </ns0:c>
      <ns0:c r="D55" s="22" t="n">
        <ns0:v>0.4257461073838992</ns0:v>
      </ns0:c>
      <ns0:c r="E55" s="22" t="n">
        <ns0:v>0.2716480862677419</ns0:v>
      </ns0:c>
      <ns0:c r="F55" s="22" t="n">
        <ns0:v>0.03146829251988424</ns0:v>
      </ns0:c>
      <ns0:c r="G55" s="22" t="n">
        <ns0:v>0.1565739705836436</ns0:v>
      </ns0:c>
      <ns0:c r="H55" s="22" t="n">
        <ns0:v>0.1922743055555556</ns0:v>
      </ns0:c>
      <ns0:c r="I55" s="22" t="n">
        <ns0:v>0.1909722222222222</ns0:v>
      </ns0:c>
      <ns0:c r="J55" s="22" t="n">
        <ns0:v>0.2575115639343521</ns0:v>
      </ns0:c>
      <ns0:c r="K55" s="22" t="n">
        <ns0:v>0.6803219560347773</ns0:v>
      </ns0:c>
    </ns0:row>
    <ns0:row r="56" ht="42" customHeight="1">
      <ns0:c r="A56" s="21" t="inlineStr">
        <ns0:is>
          <ns0:t>room0</ns0:t>
        </ns0:is>
      </ns0:c>
      <ns0:c r="B56" s="21" t="inlineStr">
        <ns0:is>
          <ns0:t>B 原图（无VLM）</ns0:t>
        </ns0:is>
      </ns0:c>
      <ns0:c r="C56" s="22" t="n">
        <ns0:v>0.4562684194859186</ns0:v>
      </ns0:c>
      <ns0:c r="D56" s="22" t="n">
        <ns0:v>0.6271038656254686</ns0:v>
      </ns0:c>
      <ns0:c r="E56" s="22" t="n">
        <ns0:v>0.3033525427061517</ns0:v>
      </ns0:c>
      <ns0:c r="F56" s="22" t="n">
        <ns0:v>0.04957048519209237</ns0:v>
      </ns0:c>
      <ns0:c r="G56" s="22" t="n">
        <ns0:v>0.1801140211919021</ns0:v>
      </ns0:c>
      <ns0:c r="H56" s="22" t="n">
        <ns0:v>0.2814980158730159</ns0:v>
      </ns0:c>
      <ns0:c r="I56" s="22" t="n">
        <ns0:v>0.2450396825396826</ns0:v>
      </ns0:c>
      <ns0:c r="J56" s="22" t="n">
        <ns0:v>0.3040697936139173</ns0:v>
      </ns0:c>
      <ns0:c r="K56" s="22" t="n">
        <ns0:v>0.7942527631805218</ns0:v>
      </ns0:c>
    </ns0:row>
    <ns0:row r="57" ht="42" customHeight="1">
      <ns0:c r="A57" s="21" t="inlineStr">
        <ns0:is>
          <ns0:t>room0</ns0:t>
        </ns0:is>
      </ns0:c>
      <ns0:c r="B57" s="21" t="inlineStr">
        <ns0:is>
          <ns0:t>C 原图+CLIP（无VLM）</ns0:t>
        </ns0:is>
      </ns0:c>
      <ns0:c r="C57" s="22" t="n">
        <ns0:v>0.4566818855574561</ns0:v>
      </ns0:c>
      <ns0:c r="D57" s="22" t="n">
        <ns0:v>0.6399740513829686</ns0:v>
      </ns0:c>
      <ns0:c r="E57" s="22" t="n">
        <ns0:v>0.3107075875659532</ns0:v>
      </ns0:c>
      <ns0:c r="F57" s="22" t="n">
        <ns0:v>0.05040682999194148</ns0:v>
      </ns0:c>
      <ns0:c r="G57" s="22" t="n">
        <ns0:v>0.1469110799950082</ns0:v>
      </ns0:c>
      <ns0:c r="H57" s="22" t="n">
        <ns0:v>0.2497519841269841</ns0:v>
      </ns0:c>
      <ns0:c r="I57" s="22" t="n">
        <ns0:v>0.2281746031746032</ns0:v>
      </ns0:c>
      <ns0:c r="J57" s="22" t="n">
        <ns0:v>0.235854646973188</ns0:v>
      </ns0:c>
      <ns0:c r="K57" s="22" t="n">
        <ns0:v>0.7942460632075451</ns0:v>
      </ns0:c>
    </ns0:row>
    <ns0:row r="58" ht="42" customHeight="1">
      <ns0:c r="A58" s="21" t="inlineStr">
        <ns0:is>
          <ns0:t>room1</ns0:t>
        </ns0:is>
      </ns0:c>
      <ns0:c r="B58" s="21" t="inlineStr">
        <ns0:is>
          <ns0:t>A ali-my bff233f</ns0:t>
        </ns0:is>
      </ns0:c>
      <ns0:c r="C58" s="22" t="n">
        <ns0:v>0.4057704824186006</ns0:v>
      </ns0:c>
      <ns0:c r="D58" s="22" t="n">
        <ns0:v>0.5385901460650347</ns0:v>
      </ns0:c>
      <ns0:c r="E58" s="22" t="n">
        <ns0:v>0.1607705170113091</ns0:v>
      </ns0:c>
      <ns0:c r="F58" s="22" t="n">
        <ns0:v>0.03205546802054154</ns0:v>
      </ns0:c>
      <ns0:c r="G58" s="22" t="n">
        <ns0:v>0.2000931751856478</ns0:v>
      </ns0:c>
      <ns0:c r="H58" s="22" t="n">
        <ns0:v>0.3067042606516291</ns0:v>
      </ns0:c>
      <ns0:c r="I58" s="22" t="n">
        <ns0:v>0.2431077694235589</ns0:v>
      </ns0:c>
      <ns0:c r="J58" s="22" t="n">
        <ns0:v>0.3474329149333769</ns0:v>
      </ns0:c>
      <ns0:c r="K58" s="22" t="n">
        <ns0:v>0.7622133888481877</ns0:v>
      </ns0:c>
    </ns0:row>
    <ns0:row r="59" ht="42" customHeight="1">
      <ns0:c r="A59" s="21" t="inlineStr">
        <ns0:is>
          <ns0:t>room1</ns0:t>
        </ns0:is>
      </ns0:c>
      <ns0:c r="B59" s="21" t="inlineStr">
        <ns0:is>
          <ns0:t>B 原图（无VLM）</ns0:t>
        </ns0:is>
      </ns0:c>
      <ns0:c r="C59" s="22" t="n">
        <ns0:v>0.4165648670418985</ns0:v>
      </ns0:c>
      <ns0:c r="D59" s="22" t="n">
        <ns0:v>0.557620411627763</ns0:v>
      </ns0:c>
      <ns0:c r="E59" s="22" t="n">
        <ns0:v>0.1665911359008001</ns0:v>
      </ns0:c>
      <ns0:c r="F59" s="22" t="n">
        <ns0:v>0.03661744505494505</ns0:v>
      </ns0:c>
      <ns0:c r="G59" s="22" t="n">
        <ns0:v>0.2256066989114967</ns0:v>
      </ns0:c>
      <ns0:c r="H59" s="22" t="n">
        <ns0:v>0.3757832080200501</ns0:v>
      </ns0:c>
      <ns0:c r="I59" s="22" t="n">
        <ns0:v>0.2069235588972431</ns0:v>
      </ns0:c>
      <ns0:c r="J59" s="22" t="n">
        <ns0:v>0.4011443390205662</ns0:v>
      </ns0:c>
      <ns0:c r="K59" s="22" t="n">
        <ns0:v>0.7637366622902779</ns0:v>
      </ns0:c>
    </ns0:row>
    <ns0:row r="60" ht="42" customHeight="1">
      <ns0:c r="A60" s="21" t="inlineStr">
        <ns0:is>
          <ns0:t>room1</ns0:t>
        </ns0:is>
      </ns0:c>
      <ns0:c r="B60" s="21" t="inlineStr">
        <ns0:is>
          <ns0:t>C 原图+CLIP（无VLM）</ns0:t>
        </ns0:is>
      </ns0:c>
      <ns0:c r="C60" s="22" t="n">
        <ns0:v>0.4181198305560399</ns0:v>
      </ns0:c>
      <ns0:c r="D60" s="22" t="n">
        <ns0:v>0.557620411627763</ns0:v>
      </ns0:c>
      <ns0:c r="E60" s="22" t="n">
        <ns0:v>0.1665911359008001</ns0:v>
      </ns0:c>
      <ns0:c r="F60" s="22" t="n">
        <ns0:v>0.03661744505494505</ns0:v>
      </ns0:c>
      <ns0:c r="G60" s="22" t="n">
        <ns0:v>0.1792344390280264</ns0:v>
      </ns0:c>
      <ns0:c r="H60" s="22" t="n">
        <ns0:v>0.3475877192982456</ns0:v>
      </ns0:c>
      <ns0:c r="I60" s="22" t="n">
        <ns0:v>0.1962719298245614</ns0:v>
      </ns0:c>
      <ns0:c r="J60" s="22" t="n">
        <ns0:v>0.3642018397284388</ns0:v>
      </ns0:c>
      <ns0:c r="K60" s="22" t="n">
        <ns0:v>0.7637257817656915</ns0:v>
      </ns0:c>
    </ns0:row>
    <ns0:row r="61" ht="42" customHeight="1">
      <ns0:c r="A61" s="21" t="inlineStr">
        <ns0:is>
          <ns0:t>room2</ns0:t>
        </ns0:is>
      </ns0:c>
      <ns0:c r="B61" s="21" t="inlineStr">
        <ns0:is>
          <ns0:t>A ali-my bff233f</ns0:t>
        </ns0:is>
      </ns0:c>
      <ns0:c r="C61" s="22" t="n">
        <ns0:v>0.3066587707428885</ns0:v>
      </ns0:c>
      <ns0:c r="D61" s="22" t="n">
        <ns0:v>0.4468625054751035</ns0:v>
      </ns0:c>
      <ns0:c r="E61" s="22" t="n">
        <ns0:v>0.1193336493914976</ns0:v>
      </ns0:c>
      <ns0:c r="F61" s="22" t="n">
        <ns0:v>0</ns0:v>
      </ns0:c>
      <ns0:c r="G61" s="22" t="n">
        <ns0:v>0.1511335181354062</ns0:v>
      </ns0:c>
      <ns0:c r="H61" s="22" t="n">
        <ns0:v>0.1878255208333333</ns0:v>
      </ns0:c>
      <ns0:c r="I61" s="22" t="n">
        <ns0:v>0.1354166666666667</ns0:v>
      </ns0:c>
      <ns0:c r="J61" s="22" t="n">
        <ns0:v>0.2825288246850953</ns0:v>
      </ns0:c>
      <ns0:c r="K61" s="22" t="n">
        <ns0:v>0.6458069092268612</ns0:v>
      </ns0:c>
    </ns0:row>
    <ns0:row r="62" ht="42" customHeight="1">
      <ns0:c r="A62" s="21" t="inlineStr">
        <ns0:is>
          <ns0:t>room2</ns0:t>
        </ns0:is>
      </ns0:c>
      <ns0:c r="B62" s="21" t="inlineStr">
        <ns0:is>
          <ns0:t>B 原图（无VLM）</ns0:t>
        </ns0:is>
      </ns0:c>
      <ns0:c r="C62" s="22" t="n">
        <ns0:v>0.3875546124738971</ns0:v>
      </ns0:c>
      <ns0:c r="D62" s="22" t="n">
        <ns0:v>0.5242989456121494</ns0:v>
      </ns0:c>
      <ns0:c r="E62" s="22" t="n">
        <ns0:v>0.1515584467217977</ns0:v>
      </ns0:c>
      <ns0:c r="F62" s="22" t="n">
        <ns0:v>0.003508105369807497</ns0:v>
      </ns0:c>
      <ns0:c r="G62" s="22" t="n">
        <ns0:v>0.1752866264880044</ns0:v>
      </ns0:c>
      <ns0:c r="H62" s="22" t="n">
        <ns0:v>0.19140625</ns0:v>
      </ns0:c>
      <ns0:c r="I62" s="22" t="n">
        <ns0:v>0.13671875</ns0:v>
      </ns0:c>
      <ns0:c r="J62" s="22" t="n">
        <ns0:v>0.290294976758335</ns0:v>
      </ns0:c>
      <ns0:c r="K62" s="22" t="n">
        <ns0:v>0.6816039301599947</ns0:v>
      </ns0:c>
    </ns0:row>
    <ns0:row r="63" ht="42" customHeight="1">
      <ns0:c r="A63" s="21" t="inlineStr">
        <ns0:is>
          <ns0:t>room2</ns0:t>
        </ns0:is>
      </ns0:c>
      <ns0:c r="B63" s="21" t="inlineStr">
        <ns0:is>
          <ns0:t>C 原图+CLIP（无VLM）</ns0:t>
        </ns0:is>
      </ns0:c>
      <ns0:c r="C63" s="22" t="n">
        <ns0:v>0.3840957294450087</ns0:v>
      </ns0:c>
      <ns0:c r="D63" s="22" t="n">
        <ns0:v>0.5074434214410927</ns0:v>
      </ns0:c>
      <ns0:c r="E63" s="22" t="n">
        <ns0:v>0.1531533877317172</ns0:v>
      </ns0:c>
      <ns0:c r="F63" s="22" t="n">
        <ns0:v>0.003508105369807497</ns0:v>
      </ns0:c>
      <ns0:c r="G63" s="22" t="n">
        <ns0:v>0.1297694209395298</ns0:v>
      </ns0:c>
      <ns0:c r="H63" s="22" t="n">
        <ns0:v>0.2177083333333333</ns0:v>
      </ns0:c>
      <ns0:c r="I63" s="22" t="n">
        <ns0:v>0.1291666666666667</ns0:v>
      </ns0:c>
      <ns0:c r="J63" s="22" t="n">
        <ns0:v>0.2575086486914407</ns0:v>
      </ns0:c>
      <ns0:c r="K63" s="22" t="n">
        <ns0:v>0.6816039301599947</ns0:v>
      </ns0:c>
    </ns0:row>
    <ns0:row r="64" ht="42" customHeight="1">
      <ns0:c r="A64" s="21" t="inlineStr">
        <ns0:is>
          <ns0:t>office0</ns0:t>
        </ns0:is>
      </ns0:c>
      <ns0:c r="B64" s="21" t="inlineStr">
        <ns0:is>
          <ns0:t>A ali-my bff233f</ns0:t>
        </ns0:is>
      </ns0:c>
      <ns0:c r="C64" s="22" t="n">
        <ns0:v>0.3133584077766908</ns0:v>
      </ns0:c>
      <ns0:c r="D64" s="22" t="n">
        <ns0:v>0.595544822179884</ns0:v>
      </ns0:c>
      <ns0:c r="E64" s="22" t="n">
        <ns0:v>0.1981485834427011</ns0:v>
      </ns0:c>
      <ns0:c r="F64" s="22" t="n">
        <ns0:v>0.05926573426573427</ns0:v>
      </ns0:c>
      <ns0:c r="G64" s="22" t="n">
        <ns0:v>0.1294941435581326</ns0:v>
      </ns0:c>
      <ns0:c r="H64" s="22" t="n">
        <ns0:v>0.25</ns0:v>
      </ns0:c>
      <ns0:c r="I64" s="22" t="n">
        <ns0:v>0.15</ns0:v>
      </ns0:c>
      <ns0:c r="J64" s="22" t="n">
        <ns0:v>0.2385333849047172</ns0:v>
      </ns0:c>
      <ns0:c r="K64" s="22" t="n">
        <ns0:v>0.5854343422187456</ns0:v>
      </ns0:c>
    </ns0:row>
    <ns0:row r="65" ht="42" customHeight="1">
      <ns0:c r="A65" s="21" t="inlineStr">
        <ns0:is>
          <ns0:t>office0</ns0:t>
        </ns0:is>
      </ns0:c>
      <ns0:c r="B65" s="21" t="inlineStr">
        <ns0:is>
          <ns0:t>B 原图（无VLM）</ns0:t>
        </ns0:is>
      </ns0:c>
      <ns0:c r="C65" s="22" t="n">
        <ns0:v>0.3408584989431081</ns0:v>
      </ns0:c>
      <ns0:c r="D65" s="22" t="n">
        <ns0:v>0.5918561375287225</ns0:v>
      </ns0:c>
      <ns0:c r="E65" s="22" t="n">
        <ns0:v>0.1882673021887069</ns0:v>
      </ns0:c>
      <ns0:c r="F65" s="22" t="n">
        <ns0:v>0.0657081668959497</ns0:v>
      </ns0:c>
      <ns0:c r="G65" s="22" t="n">
        <ns0:v>0.1955029295647595</ns0:v>
      </ns0:c>
      <ns0:c r="H65" s="22" t="n">
        <ns0:v>0.325</ns0:v>
      </ns0:c>
      <ns0:c r="I65" s="22" t="n">
        <ns0:v>0.225</ns0:v>
      </ns0:c>
      <ns0:c r="J65" s="22" t="n">
        <ns0:v>0.2734086720374219</ns0:v>
      </ns0:c>
      <ns0:c r="K65" s="22" t="n">
        <ns0:v>0.6439697534949956</ns0:v>
      </ns0:c>
    </ns0:row>
    <ns0:row r="66" ht="42" customHeight="1">
      <ns0:c r="A66" s="21" t="inlineStr">
        <ns0:is>
          <ns0:t>office0</ns0:t>
        </ns0:is>
      </ns0:c>
      <ns0:c r="B66" s="21" t="inlineStr">
        <ns0:is>
          <ns0:t>C 原图+CLIP（无VLM）</ns0:t>
        </ns0:is>
      </ns0:c>
      <ns0:c r="C66" s="22" t="n">
        <ns0:v>0.3363655241826327</ns0:v>
      </ns0:c>
      <ns0:c r="D66" s="22" t="n">
        <ns0:v>0.562706627495507</ns0:v>
      </ns0:c>
      <ns0:c r="E66" s="22" t="n">
        <ns0:v>0.1898389285028961</ns0:v>
      </ns0:c>
      <ns0:c r="F66" s="22" t="n">
        <ns0:v>0.06617165357267168</ns0:v>
      </ns0:c>
      <ns0:c r="G66" s="22" t="n">
        <ns0:v>0.147935571172336</ns0:v>
      </ns0:c>
      <ns0:c r="H66" s="22" t="n">
        <ns0:v>0.25</ns0:v>
      </ns0:c>
      <ns0:c r="I66" s="22" t="n">
        <ns0:v>0.15</ns0:v>
      </ns0:c>
      <ns0:c r="J66" s="22" t="n">
        <ns0:v>0.2275172695828565</ns0:v>
      </ns0:c>
      <ns0:c r="K66" s="22" t="n">
        <ns0:v>0.6439617305493712</ns0:v>
      </ns0:c>
    </ns0:row>
    <ns0:row r="67" ht="42" customHeight="1">
      <ns0:c r="A67" s="21" t="inlineStr">
        <ns0:is>
          <ns0:t>office1</ns0:t>
        </ns0:is>
      </ns0:c>
      <ns0:c r="B67" s="21" t="inlineStr">
        <ns0:is>
          <ns0:t>A ali-my bff233f</ns0:t>
        </ns0:is>
      </ns0:c>
      <ns0:c r="C67" s="22" t="n">
        <ns0:v>0.3785159267500634</ns0:v>
      </ns0:c>
      <ns0:c r="D67" s="22" t="n">
        <ns0:v>0.5199999999999999</ns0:v>
      </ns0:c>
      <ns0:c r="E67" s="22" t="n">
        <ns0:v>0.3278896658896658</ns0:v>
      </ns0:c>
      <ns0:c r="F67" s="22" t="n">
        <ns0:v>0.05866883116883116</ns0:v>
      </ns0:c>
      <ns0:c r="G67" s="22" t="n">
        <ns0:v>0.1438352037936087</ns0:v>
      </ns0:c>
      <ns0:c r="H67" s="22" t="n">
        <ns0:v>0.2941176470588235</ns0:v>
      </ns0:c>
      <ns0:c r="I67" s="22" t="n">
        <ns0:v>0.25</ns0:v>
      </ns0:c>
      <ns0:c r="J67" s="22" t="n">
        <ns0:v>0.2333964304343212</ns0:v>
      </ns0:c>
      <ns0:c r="K67" s="22" t="n">
        <ns0:v>0.5801986683909441</ns0:v>
      </ns0:c>
    </ns0:row>
    <ns0:row r="68" ht="42" customHeight="1">
      <ns0:c r="A68" s="21" t="inlineStr">
        <ns0:is>
          <ns0:t>office1</ns0:t>
        </ns0:is>
      </ns0:c>
      <ns0:c r="B68" s="21" t="inlineStr">
        <ns0:is>
          <ns0:t>B 原图（无VLM）</ns0:t>
        </ns0:is>
      </ns0:c>
      <ns0:c r="C68" s="22" t="n">
        <ns0:v>0.4575007792620276</ns0:v>
      </ns0:c>
      <ns0:c r="D68" s="22" t="n">
        <ns0:v>0.6328415032679739</ns0:v>
      </ns0:c>
      <ns0:c r="E68" s="22" t="n">
        <ns0:v>0.5260033332680392</ns0:v>
      </ns0:c>
      <ns0:c r="F68" s="22" t="n">
        <ns0:v>0.1826984126984127</ns0:v>
      </ns0:c>
      <ns0:c r="G68" s="22" t="n">
        <ns0:v>0.1423903323837177</ns0:v>
      </ns0:c>
      <ns0:c r="H68" s="22" t="n">
        <ns0:v>0.2818627450980392</ns0:v>
      </ns0:c>
      <ns0:c r="I68" s="22" t="n">
        <ns0:v>0.2818627450980392</ns0:v>
      </ns0:c>
      <ns0:c r="J68" s="22" t="n">
        <ns0:v>0.2327024541436576</ns0:v>
      </ns0:c>
      <ns0:c r="K68" s="22" t="n">
        <ns0:v>0.7085255733316769</ns0:v>
      </ns0:c>
    </ns0:row>
    <ns0:row r="69" ht="42" customHeight="1">
      <ns0:c r="A69" s="21" t="inlineStr">
        <ns0:is>
          <ns0:t>office1</ns0:t>
        </ns0:is>
      </ns0:c>
      <ns0:c r="B69" s="21" t="inlineStr">
        <ns0:is>
          <ns0:t>C 原图+CLIP（无VLM）</ns0:t>
        </ns0:is>
      </ns0:c>
      <ns0:c r="C69" s="22" t="n">
        <ns0:v>0.4574954556002807</ns0:v>
      </ns0:c>
      <ns0:c r="D69" s="22" t="n">
        <ns0:v>0.6328415032679739</ns0:v>
      </ns0:c>
      <ns0:c r="E69" s="22" t="n">
        <ns0:v>0.5260033332680392</ns0:v>
      </ns0:c>
      <ns0:c r="F69" s="22" t="n">
        <ns0:v>0.1826984126984127</ns0:v>
      </ns0:c>
      <ns0:c r="G69" s="22" t="n">
        <ns0:v>0.1458646020184084</ns0:v>
      </ns0:c>
      <ns0:c r="H69" s="22" t="n">
        <ns0:v>0.25</ns0:v>
      </ns0:c>
      <ns0:c r="I69" s="22" t="n">
        <ns0:v>0.25</ns0:v>
      </ns0:c>
      <ns0:c r="J69" s="22" t="n">
        <ns0:v>0.2326939244860381</ns0:v>
      </ns0:c>
      <ns0:c r="K69" s="22" t="n">
        <ns0:v>0.7085312205286906</ns0:v>
      </ns0:c>
    </ns0:row>
    <ns0:row r="70" ht="42" customHeight="1">
      <ns0:c r="A70" s="21" t="inlineStr">
        <ns0:is>
          <ns0:t>office2</ns0:t>
        </ns0:is>
      </ns0:c>
      <ns0:c r="B70" s="21" t="inlineStr">
        <ns0:is>
          <ns0:t>A ali-my bff233f</ns0:t>
        </ns0:is>
      </ns0:c>
      <ns0:c r="C70" s="22" t="n">
        <ns0:v>0.3112246365288973</ns0:v>
      </ns0:c>
      <ns0:c r="D70" s="22" t="n">
        <ns0:v>0.4581866432603831</ns0:v>
      </ns0:c>
      <ns0:c r="E70" s="22" t="n">
        <ns0:v>0.1176396581359817</ns0:v>
      </ns0:c>
      <ns0:c r="F70" s="22" t="n">
        <ns0:v>0.006587009803921568</ns0:v>
      </ns0:c>
      <ns0:c r="G70" s="22" t="n">
        <ns0:v>0.1181135487639056</ns0:v>
      </ns0:c>
      <ns0:c r="H70" s="22" t="n">
        <ns0:v>0.1588235294117647</ns0:v>
      </ns0:c>
      <ns0:c r="I70" s="22" t="n">
        <ns0:v>0.1294117647058824</ns0:v>
      </ns0:c>
      <ns0:c r="J70" s="22" t="n">
        <ns0:v>0.1397158315227187</ns0:v>
      </ns0:c>
      <ns0:c r="K70" s="22" t="n">
        <ns0:v>0.5870880871546916</ns0:v>
      </ns0:c>
    </ns0:row>
    <ns0:row r="71" ht="42" customHeight="1">
      <ns0:c r="A71" s="21" t="inlineStr">
        <ns0:is>
          <ns0:t>office2</ns0:t>
        </ns0:is>
      </ns0:c>
      <ns0:c r="B71" s="21" t="inlineStr">
        <ns0:is>
          <ns0:t>B 原图（无VLM）</ns0:t>
        </ns0:is>
      </ns0:c>
      <ns0:c r="C71" s="22" t="n">
        <ns0:v>0.4248931690802397</ns0:v>
      </ns0:c>
      <ns0:c r="D71" s="22" t="n">
        <ns0:v>0.6008520335825053</ns0:v>
      </ns0:c>
      <ns0:c r="E71" s="22" t="n">
        <ns0:v>0.2254454311592827</ns0:v>
      </ns0:c>
      <ns0:c r="F71" s="22" t="n">
        <ns0:v>0.05299195116700837</ns0:v>
      </ns0:c>
      <ns0:c r="G71" s="22" t="n">
        <ns0:v>0.124204504211322</ns0:v>
      </ns0:c>
      <ns0:c r="H71" s="22" t="n">
        <ns0:v>0.1882352941176471</ns0:v>
      </ns0:c>
      <ns0:c r="I71" s="22" t="n">
        <ns0:v>0.1882352941176471</ns0:v>
      </ns0:c>
      <ns0:c r="J71" s="22" t="n">
        <ns0:v>0.1635583511537326</ns0:v>
      </ns0:c>
      <ns0:c r="K71" s="22" t="n">
        <ns0:v>0.655442307900014</ns0:v>
      </ns0:c>
    </ns0:row>
    <ns0:row r="72" ht="42" customHeight="1">
      <ns0:c r="A72" s="21" t="inlineStr">
        <ns0:is>
          <ns0:t>office2</ns0:t>
        </ns0:is>
      </ns0:c>
      <ns0:c r="B72" s="21" t="inlineStr">
        <ns0:is>
          <ns0:t>C 原图+CLIP（无VLM）</ns0:t>
        </ns0:is>
      </ns0:c>
      <ns0:c r="C72" s="22" t="n">
        <ns0:v>0.4274213123126236</ns0:v>
      </ns0:c>
      <ns0:c r="D72" s="22" t="n">
        <ns0:v>0.6029752958868543</ns0:v>
      </ns0:c>
      <ns0:c r="E72" s="22" t="n">
        <ns0:v>0.2531119530107198</ns0:v>
      </ns0:c>
      <ns0:c r="F72" s="22" t="n">
        <ns0:v>0.05261318914350951</ns0:v>
      </ns0:c>
      <ns0:c r="G72" s="22" t="n">
        <ns0:v>0.08926405319354429</ns0:v>
      </ns0:c>
      <ns0:c r="H72" s="22" t="n">
        <ns0:v>0.1490196078431373</ns0:v>
      </ns0:c>
      <ns0:c r="I72" s="22" t="n">
        <ns0:v>0.09509803921568627</ns0:v>
      </ns0:c>
      <ns0:c r="J72" s="22" t="n">
        <ns0:v>0.1330212197387609</ns0:v>
      </ns0:c>
      <ns0:c r="K72" s="22" t="n">
        <ns0:v>0.655402705222873</ns0:v>
      </ns0:c>
    </ns0:row>
    <ns0:row r="73" ht="42" customHeight="1">
      <ns0:c r="A73" s="21" t="inlineStr">
        <ns0:is>
          <ns0:t>office3</ns0:t>
        </ns0:is>
      </ns0:c>
      <ns0:c r="B73" s="21" t="inlineStr">
        <ns0:is>
          <ns0:t>A ali-my bff233f</ns0:t>
        </ns0:is>
      </ns0:c>
      <ns0:c r="C73" s="22" t="n">
        <ns0:v>0.3031920464641051</ns0:v>
      </ns0:c>
      <ns0:c r="D73" s="22" t="n">
        <ns0:v>0.4426522191182974</ns0:v>
      </ns0:c>
      <ns0:c r="E73" s="22" t="n">
        <ns0:v>0.1592394404725498</ns0:v>
      </ns0:c>
      <ns0:c r="F73" s="22" t="n">
        <ns0:v>0.01795175628606751</ns0:v>
      </ns0:c>
      <ns0:c r="G73" s="22" t="n">
        <ns0:v>0.1052486661589725</ns0:v>
      </ns0:c>
      <ns0:c r="H73" s="22" t="n">
        <ns0:v>0.1373188405797101</ns0:v>
      </ns0:c>
      <ns0:c r="I73" s="22" t="n">
        <ns0:v>0.1304347826086956</ns0:v>
      </ns0:c>
      <ns0:c r="J73" s="22" t="n">
        <ns0:v>0.1521446895176796</ns0:v>
      </ns0:c>
      <ns0:c r="K73" s="22" t="n">
        <ns0:v>0.5990754146061745</ns0:v>
      </ns0:c>
    </ns0:row>
    <ns0:row r="74" ht="42" customHeight="1">
      <ns0:c r="A74" s="21" t="inlineStr">
        <ns0:is>
          <ns0:t>office3</ns0:t>
        </ns0:is>
      </ns0:c>
      <ns0:c r="B74" s="21" t="inlineStr">
        <ns0:is>
          <ns0:t>B 原图（无VLM）</ns0:t>
        </ns0:is>
      </ns0:c>
      <ns0:c r="C74" s="22" t="n">
        <ns0:v>0.4324845007222496</ns0:v>
      </ns0:c>
      <ns0:c r="D74" s="22" t="n">
        <ns0:v>0.6364324629210492</ns0:v>
      </ns0:c>
      <ns0:c r="E74" s="22" t="n">
        <ns0:v>0.2589548794964225</ns0:v>
      </ns0:c>
      <ns0:c r="F74" s="22" t="n">
        <ns0:v>0.03918635209779091</ns0:v>
      </ns0:c>
      <ns0:c r="G74" s="22" t="n">
        <ns0:v>0.083186455481815</ns0:v>
      </ns0:c>
      <ns0:c r="H74" s="22" t="n">
        <ns0:v>0.1934782608695652</ns0:v>
      </ns0:c>
      <ns0:c r="I74" s="22" t="n">
        <ns0:v>0.1304347826086956</ns0:v>
      </ns0:c>
      <ns0:c r="J74" s="22" t="n">
        <ns0:v>0.1998005560112297</ns0:v>
      </ns0:c>
      <ns0:c r="K74" s="22" t="n">
        <ns0:v>0.6538041404933808</ns0:v>
      </ns0:c>
    </ns0:row>
    <ns0:row r="75" ht="42" customHeight="1">
      <ns0:c r="A75" s="21" t="inlineStr">
        <ns0:is>
          <ns0:t>office3</ns0:t>
        </ns0:is>
      </ns0:c>
      <ns0:c r="B75" s="21" t="inlineStr">
        <ns0:is>
          <ns0:t>C 原图+CLIP（无VLM）</ns0:t>
        </ns0:is>
      </ns0:c>
      <ns0:c r="C75" s="22" t="n">
        <ns0:v>0.4423465313396859</ns0:v>
      </ns0:c>
      <ns0:c r="D75" s="22" t="n">
        <ns0:v>0.6496420415089457</ns0:v>
      </ns0:c>
      <ns0:c r="E75" s="22" t="n">
        <ns0:v>0.3241833818221775</ns0:v>
      </ns0:c>
      <ns0:c r="F75" s="22" t="n">
        <ns0:v>0.04975504820841847</ns0:v>
      </ns0:c>
      <ns0:c r="G75" s="22" t="n">
        <ns0:v>0.1131723864014363</ns0:v>
      </ns0:c>
      <ns0:c r="H75" s="22" t="n">
        <ns0:v>0.2369565217391305</ns0:v>
      </ns0:c>
      <ns0:c r="I75" s="22" t="n">
        <ns0:v>0.1391304347826087</ns0:v>
      </ns0:c>
      <ns0:c r="J75" s="22" t="n">
        <ns0:v>0.2283815015939253</ns0:v>
      </ns0:c>
      <ns0:c r="K75" s="22" t="n">
        <ns0:v>0.6537401635440386</ns0:v>
      </ns0:c>
    </ns0:row>
    <ns0:row r="76" ht="42" customHeight="1">
      <ns0:c r="A76" s="21" t="inlineStr">
        <ns0:is>
          <ns0:t>office4</ns0:t>
        </ns0:is>
      </ns0:c>
      <ns0:c r="B76" s="21" t="inlineStr">
        <ns0:is>
          <ns0:t>A ali-my bff233f</ns0:t>
        </ns0:is>
      </ns0:c>
      <ns0:c r="C76" s="22" t="n">
        <ns0:v>0.4182680127036357</ns0:v>
      </ns0:c>
      <ns0:c r="D76" s="22" t="n">
        <ns0:v>0.7080927902151345</ns0:v>
      </ns0:c>
      <ns0:c r="E76" s="22" t="n">
        <ns0:v>0.3138602612853974</ns0:v>
      </ns0:c>
      <ns0:c r="F76" s="22" t="n">
        <ns0:v>0.02184135716053967</ns0:v>
      </ns0:c>
      <ns0:c r="G76" s="22" t="n">
        <ns0:v>0.1368461364452016</ns0:v>
      </ns0:c>
      <ns0:c r="H76" s="22" t="n">
        <ns0:v>0.1230769230769231</ns0:v>
      </ns0:c>
      <ns0:c r="I76" s="22" t="n">
        <ns0:v>0.07692307692307693</ns0:v>
      </ns0:c>
      <ns0:c r="J76" s="22" t="n">
        <ns0:v>0.1662807186698505</ns0:v>
      </ns0:c>
      <ns0:c r="K76" s="22" t="n">
        <ns0:v>0.6045088056419501</ns0:v>
      </ns0:c>
    </ns0:row>
    <ns0:row r="77" ht="42" customHeight="1">
      <ns0:c r="A77" s="21" t="inlineStr">
        <ns0:is>
          <ns0:t>office4</ns0:t>
        </ns0:is>
      </ns0:c>
      <ns0:c r="B77" s="21" t="inlineStr">
        <ns0:is>
          <ns0:t>B 原图（无VLM）</ns0:t>
        </ns0:is>
      </ns0:c>
      <ns0:c r="C77" s="22" t="n">
        <ns0:v>0.485370029265821</ns0:v>
      </ns0:c>
      <ns0:c r="D77" s="22" t="n">
        <ns0:v>0.7321650149554306</ns0:v>
      </ns0:c>
      <ns0:c r="E77" s="22" t="n">
        <ns0:v>0.2648509968358268</ns0:v>
      </ns0:c>
      <ns0:c r="F77" s="22" t="n">
        <ns0:v>0.08080078334852064</ns0:v>
      </ns0:c>
      <ns0:c r="G77" s="22" t="n">
        <ns0:v>0.1378964356039799</ns0:v>
      </ns0:c>
      <ns0:c r="H77" s="22" t="n">
        <ns0:v>0.1692307692307692</ns0:v>
      </ns0:c>
      <ns0:c r="I77" s="22" t="n">
        <ns0:v>0.1615384615384615</ns0:v>
      </ns0:c>
      <ns0:c r="J77" s="22" t="n">
        <ns0:v>0.1722902285392912</ns0:v>
      </ns0:c>
      <ns0:c r="K77" s="22" t="n">
        <ns0:v>0.7203114166286971</ns0:v>
      </ns0:c>
    </ns0:row>
    <ns0:row r="78" ht="42" customHeight="1">
      <ns0:c r="A78" s="21" t="inlineStr">
        <ns0:is>
          <ns0:t>office4</ns0:t>
        </ns0:is>
      </ns0:c>
      <ns0:c r="B78" s="21" t="inlineStr">
        <ns0:is>
          <ns0:t>C 原图+CLIP（无VLM）</ns0:t>
        </ns0:is>
      </ns0:c>
      <ns0:c r="C78" s="22" t="n">
        <ns0:v>0.4928598800340697</ns0:v>
      </ns0:c>
      <ns0:c r="D78" s="22" t="n">
        <ns0:v>0.7688218660032112</ns0:v>
      </ns0:c>
      <ns0:c r="E78" s="22" t="n">
        <ns0:v>0.2612046701208119</ns0:v>
      </ns0:c>
      <ns0:c r="F78" s="22" t="n">
        <ns0:v>0.07998552355760163</ns0:v>
      </ns0:c>
      <ns0:c r="G78" s="22" t="n">
        <ns0:v>0.1435141115002427</ns0:v>
      </ns0:c>
      <ns0:c r="H78" s="22" t="n">
        <ns0:v>0.2076923076923077</ns0:v>
      </ns0:c>
      <ns0:c r="I78" s="22" t="n">
        <ns0:v>0.2</ns0:v>
      </ns0:c>
      <ns0:c r="J78" s="22" t="n">
        <ns0:v>0.1784745534140487</ns0:v>
      </ns0:c>
      <ns0:c r="K78" s="22" t="n">
        <ns0:v>0.7202836823233424</ns0:v>
      </ns0:c>
    </ns0:row>
  </ns0:sheetData>
  <ns0:autoFilter ref="A4:K78"/>
  <ns0:mergeCells count="2">
    <ns0:mergeCell ref="A2:K2"/>
    <ns0:mergeCell ref="A1:K1"/>
  </ns0:mergeCells>
  <ns0:pageMargins left="0.75" right="0.75" top="1" bottom="1" header="0.5" footer="0.5"/>
  <ns0:pageSetup orientation="landscape" paperSize="8" fitToHeight="0" fitToWidth="1"/>
  <ns0:rowBreaks count="1" manualBreakCount="1">
    <ns0:brk id="21" min="0" max="16383" man="1"/>
  </ns0:rowBreaks>
</ns0:worksheet>
</file>

<file path=xl/worksheets/sheet3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K78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3" customWidth="1" min="2" max="2"/>
    <ns0:col width="19" customWidth="1" min="3" max="3"/>
    <ns0:col width="16" customWidth="1" min="4" max="4"/>
    <ns0:col width="16" customWidth="1" min="5" max="5"/>
    <ns0:col width="12" customWidth="1" min="6" max="6"/>
    <ns0:col width="12" customWidth="1" min="7" max="7"/>
    <ns0:col width="12" customWidth="1" min="8" max="8"/>
    <ns0:col width="16" customWidth="1" min="9" max="9"/>
    <ns0:col width="16" customWidth="1" min="10" max="10"/>
    <ns0:col width="16" customWidth="1" min="11" max="11"/>
  </ns0:cols>
  <ns0:sheetData>
    <ns0:row r="1" ht="30" customHeight="1">
      <ns0:c r="A1" s="1" t="inlineStr">
        <ns0:is>
          <ns0:t>诊断指标：解释错合并、错拆分与漏检，不替代主表</ns0:t>
        </ns0:is>
      </ns0:c>
    </ns0:row>
    <ns0:row r="2" ht="30" customHeight="1">
      <ns0:c r="A2" s="1" t="inlineStr">
        <ns0:is>
          <ns0:t>一对一 mIoU、TP/FP/FN 使用100点门槛；F1匹配 IoU&gt;=0.5。无匹配预测记FP，不沿用AP的void忽略。</ns0:t>
        </ns0:is>
      </ns0:c>
    </ns0:row>
    <ns0:row r="3"/>
    <ns0:row r="4" ht="38" customHeight="1">
      <ns0:c r="A4" s="2" t="inlineStr">
        <ns0:is>
          <ns0:t>场景</ns0:t>
        </ns0:is>
      </ns0:c>
      <ns0:c r="B4" s="2" t="inlineStr">
        <ns0:is>
          <ns0:t>方法</ns0:t>
        </ns0:is>
      </ns0:c>
      <ns0:c r="C4" s="2" t="inlineStr">
        <ns0:is>
          <ns0:t>一对一 mIoU</ns0:t>
        </ns0:is>
      </ns0:c>
      <ns0:c r="D4" s="2" t="inlineStr">
        <ns0:is>
          <ns0:t>GT数（10点）</ns0:t>
        </ns0:is>
      </ns0:c>
      <ns0:c r="E4" s="2" t="inlineStr">
        <ns0:is>
          <ns0:t>GT数（100点）</ns0:t>
        </ns0:is>
      </ns0:c>
      <ns0:c r="F4" s="2" t="inlineStr">
        <ns0:is>
          <ns0:t>TP50</ns0:t>
        </ns0:is>
      </ns0:c>
      <ns0:c r="G4" s="2" t="inlineStr">
        <ns0:is>
          <ns0:t>FP50</ns0:t>
        </ns0:is>
      </ns0:c>
      <ns0:c r="H4" s="2" t="inlineStr">
        <ns0:is>
          <ns0:t>FN50</ns0:t>
        </ns0:is>
      </ns0:c>
      <ns0:c r="I4" s="2" t="inlineStr">
        <ns0:is>
          <ns0:t>Precision50</ns0:t>
        </ns0:is>
      </ns0:c>
      <ns0:c r="J4" s="2" t="inlineStr">
        <ns0:is>
          <ns0:t>Recall50</ns0:t>
        </ns0:is>
      </ns0:c>
      <ns0:c r="K4" s="2" t="inlineStr">
        <ns0:is>
          <ns0:t>F1@50</ns0:t>
        </ns0:is>
      </ns0:c>
    </ns0:row>
    <ns0:row r="5" ht="28" customHeight="1">
      <ns0:c r="A5" s="3" t="inlineStr">
        <ns0:is>
          <ns0:t>room0</ns0:t>
        </ns0:is>
      </ns0:c>
      <ns0:c r="B5" s="3" t="inlineStr">
        <ns0:is>
          <ns0:t>Baseline_gateoff</ns0:t>
        </ns0:is>
      </ns0:c>
      <ns0:c r="C5" s="4" t="n">
        <ns0:v>0.4447485047002728</ns0:v>
      </ns0:c>
      <ns0:c r="D5" s="3" t="n">
        <ns0:v>73</ns0:v>
      </ns0:c>
      <ns0:c r="E5" s="3" t="n">
        <ns0:v>68</ns0:v>
      </ns0:c>
      <ns0:c r="F5" s="3" t="n">
        <ns0:v>34</ns0:v>
      </ns0:c>
      <ns0:c r="G5" s="3" t="n">
        <ns0:v>45</ns0:v>
      </ns0:c>
      <ns0:c r="H5" s="3" t="n">
        <ns0:v>34</ns0:v>
      </ns0:c>
      <ns0:c r="I5" s="4" t="n">
        <ns0:v>0.4303797468354431</ns0:v>
      </ns0:c>
      <ns0:c r="J5" s="4" t="n">
        <ns0:v>0.5</ns0:v>
      </ns0:c>
      <ns0:c r="K5" s="4" t="n">
        <ns0:v>0.4625850340136055</ns0:v>
      </ns0:c>
    </ns0:row>
    <ns0:row r="6" ht="28" customHeight="1">
      <ns0:c r="A6" s="5" t="inlineStr">
        <ns0:is>
          <ns0:t>room0</ns0:t>
        </ns0:is>
      </ns0:c>
      <ns0:c r="B6" s="5" t="inlineStr">
        <ns0:is>
          <ns0:t>v7_CLIP</ns0:t>
        </ns0:is>
      </ns0:c>
      <ns0:c r="C6" s="6" t="n">
        <ns0:v>0.4386003587094476</ns0:v>
      </ns0:c>
      <ns0:c r="D6" s="5" t="n">
        <ns0:v>73</ns0:v>
      </ns0:c>
      <ns0:c r="E6" s="5" t="n">
        <ns0:v>68</ns0:v>
      </ns0:c>
      <ns0:c r="F6" s="5" t="n">
        <ns0:v>36</ns0:v>
      </ns0:c>
      <ns0:c r="G6" s="5" t="n">
        <ns0:v>37</ns0:v>
      </ns0:c>
      <ns0:c r="H6" s="5" t="n">
        <ns0:v>32</ns0:v>
      </ns0:c>
      <ns0:c r="I6" s="6" t="n">
        <ns0:v>0.4931506849315068</ns0:v>
      </ns0:c>
      <ns0:c r="J6" s="6" t="n">
        <ns0:v>0.5294117647058824</ns0:v>
      </ns0:c>
      <ns0:c r="K6" s="6" t="n">
        <ns0:v>0.5106382978723404</ns0:v>
      </ns0:c>
    </ns0:row>
    <ns0:row r="7" ht="28" customHeight="1">
      <ns0:c r="A7" s="3" t="inlineStr">
        <ns0:is>
          <ns0:t>room0</ns0:t>
        </ns0:is>
      </ns0:c>
      <ns0:c r="B7" s="3" t="inlineStr">
        <ns0:is>
          <ns0:t>OVI_MAP</ns0:t>
        </ns0:is>
      </ns0:c>
      <ns0:c r="C7" s="4" t="n">
        <ns0:v>0.428580548265044</ns0:v>
      </ns0:c>
      <ns0:c r="D7" s="3" t="n">
        <ns0:v>73</ns0:v>
      </ns0:c>
      <ns0:c r="E7" s="3" t="n">
        <ns0:v>68</ns0:v>
      </ns0:c>
      <ns0:c r="F7" s="3" t="n">
        <ns0:v>34</ns0:v>
      </ns0:c>
      <ns0:c r="G7" s="3" t="n">
        <ns0:v>22</ns0:v>
      </ns0:c>
      <ns0:c r="H7" s="3" t="n">
        <ns0:v>34</ns0:v>
      </ns0:c>
      <ns0:c r="I7" s="4" t="n">
        <ns0:v>0.6071428571428571</ns0:v>
      </ns0:c>
      <ns0:c r="J7" s="4" t="n">
        <ns0:v>0.5</ns0:v>
      </ns0:c>
      <ns0:c r="K7" s="4" t="n">
        <ns0:v>0.5483870967741935</ns0:v>
      </ns0:c>
    </ns0:row>
    <ns0:row r="8" ht="28" customHeight="1">
      <ns0:c r="A8" s="5" t="inlineStr">
        <ns0:is>
          <ns0:t>room0</ns0:t>
        </ns0:is>
      </ns0:c>
      <ns0:c r="B8" s="5" t="inlineStr">
        <ns0:is>
          <ns0:t>ali_my</ns0:t>
        </ns0:is>
      </ns0:c>
      <ns0:c r="C8" s="6" t="n">
        <ns0:v>0.3396711791487467</ns0:v>
      </ns0:c>
      <ns0:c r="D8" s="5" t="n">
        <ns0:v>73</ns0:v>
      </ns0:c>
      <ns0:c r="E8" s="5" t="n">
        <ns0:v>68</ns0:v>
      </ns0:c>
      <ns0:c r="F8" s="5" t="n">
        <ns0:v>28</ns0:v>
      </ns0:c>
      <ns0:c r="G8" s="5" t="n">
        <ns0:v>36</ns0:v>
      </ns0:c>
      <ns0:c r="H8" s="5" t="n">
        <ns0:v>40</ns0:v>
      </ns0:c>
      <ns0:c r="I8" s="6" t="n">
        <ns0:v>0.4375</ns0:v>
      </ns0:c>
      <ns0:c r="J8" s="6" t="n">
        <ns0:v>0.4117647058823529</ns0:v>
      </ns0:c>
      <ns0:c r="K8" s="6" t="n">
        <ns0:v>0.4242424242424243</ns0:v>
      </ns0:c>
    </ns0:row>
    <ns0:row r="9" ht="28" customHeight="1">
      <ns0:c r="A9" s="3" t="inlineStr">
        <ns0:is>
          <ns0:t>room0</ns0:t>
        </ns0:is>
      </ns0:c>
      <ns0:c r="B9" s="3" t="inlineStr">
        <ns0:is>
          <ns0:t>merge_2</ns0:t>
        </ns0:is>
      </ns0:c>
      <ns0:c r="C9" s="4" t="n">
        <ns0:v>0.4570358587828885</ns0:v>
      </ns0:c>
      <ns0:c r="D9" s="3" t="n">
        <ns0:v>73</ns0:v>
      </ns0:c>
      <ns0:c r="E9" s="3" t="n">
        <ns0:v>68</ns0:v>
      </ns0:c>
      <ns0:c r="F9" s="3" t="n">
        <ns0:v>35</ns0:v>
      </ns0:c>
      <ns0:c r="G9" s="3" t="n">
        <ns0:v>38</ns0:v>
      </ns0:c>
      <ns0:c r="H9" s="3" t="n">
        <ns0:v>33</ns0:v>
      </ns0:c>
      <ns0:c r="I9" s="4" t="n">
        <ns0:v>0.4794520547945205</ns0:v>
      </ns0:c>
      <ns0:c r="J9" s="4" t="n">
        <ns0:v>0.5147058823529411</ns0:v>
      </ns0:c>
      <ns0:c r="K9" s="4" t="n">
        <ns0:v>0.4964539007092199</ns0:v>
      </ns0:c>
    </ns0:row>
    <ns0:row r="10" ht="28" customHeight="1">
      <ns0:c r="A10" s="5" t="inlineStr">
        <ns0:is>
          <ns0:t>room1</ns0:t>
        </ns0:is>
      </ns0:c>
      <ns0:c r="B10" s="5" t="inlineStr">
        <ns0:is>
          <ns0:t>Baseline_gateoff</ns0:t>
        </ns0:is>
      </ns0:c>
      <ns0:c r="C10" s="6" t="n">
        <ns0:v>0.3687619088693429</ns0:v>
      </ns0:c>
      <ns0:c r="D10" s="5" t="n">
        <ns0:v>45</ns0:v>
      </ns0:c>
      <ns0:c r="E10" s="5" t="n">
        <ns0:v>40</ns0:v>
      </ns0:c>
      <ns0:c r="F10" s="5" t="n">
        <ns0:v>14</ns0:v>
      </ns0:c>
      <ns0:c r="G10" s="5" t="n">
        <ns0:v>35</ns0:v>
      </ns0:c>
      <ns0:c r="H10" s="5" t="n">
        <ns0:v>26</ns0:v>
      </ns0:c>
      <ns0:c r="I10" s="6" t="n">
        <ns0:v>0.2857142857142857</ns0:v>
      </ns0:c>
      <ns0:c r="J10" s="6" t="n">
        <ns0:v>0.35</ns0:v>
      </ns0:c>
      <ns0:c r="K10" s="6" t="n">
        <ns0:v>0.3146067415730337</ns0:v>
      </ns0:c>
    </ns0:row>
    <ns0:row r="11" ht="28" customHeight="1">
      <ns0:c r="A11" s="3" t="inlineStr">
        <ns0:is>
          <ns0:t>room1</ns0:t>
        </ns0:is>
      </ns0:c>
      <ns0:c r="B11" s="3" t="inlineStr">
        <ns0:is>
          <ns0:t>v7_CLIP</ns0:t>
        </ns0:is>
      </ns0:c>
      <ns0:c r="C11" s="4" t="n">
        <ns0:v>0.4315999409124848</ns0:v>
      </ns0:c>
      <ns0:c r="D11" s="3" t="n">
        <ns0:v>45</ns0:v>
      </ns0:c>
      <ns0:c r="E11" s="3" t="n">
        <ns0:v>40</ns0:v>
      </ns0:c>
      <ns0:c r="F11" s="3" t="n">
        <ns0:v>18</ns0:v>
      </ns0:c>
      <ns0:c r="G11" s="3" t="n">
        <ns0:v>35</ns0:v>
      </ns0:c>
      <ns0:c r="H11" s="3" t="n">
        <ns0:v>22</ns0:v>
      </ns0:c>
      <ns0:c r="I11" s="4" t="n">
        <ns0:v>0.3396226415094339</ns0:v>
      </ns0:c>
      <ns0:c r="J11" s="4" t="n">
        <ns0:v>0.45</ns0:v>
      </ns0:c>
      <ns0:c r="K11" s="4" t="n">
        <ns0:v>0.3870967741935484</ns0:v>
      </ns0:c>
    </ns0:row>
    <ns0:row r="12" ht="28" customHeight="1">
      <ns0:c r="A12" s="5" t="inlineStr">
        <ns0:is>
          <ns0:t>room1</ns0:t>
        </ns0:is>
      </ns0:c>
      <ns0:c r="B12" s="5" t="inlineStr">
        <ns0:is>
          <ns0:t>OVI_MAP</ns0:t>
        </ns0:is>
      </ns0:c>
      <ns0:c r="C12" s="6" t="n">
        <ns0:v>0.4682698813001805</ns0:v>
      </ns0:c>
      <ns0:c r="D12" s="5" t="n">
        <ns0:v>45</ns0:v>
      </ns0:c>
      <ns0:c r="E12" s="5" t="n">
        <ns0:v>40</ns0:v>
      </ns0:c>
      <ns0:c r="F12" s="5" t="n">
        <ns0:v>19</ns0:v>
      </ns0:c>
      <ns0:c r="G12" s="5" t="n">
        <ns0:v>21</ns0:v>
      </ns0:c>
      <ns0:c r="H12" s="5" t="n">
        <ns0:v>21</ns0:v>
      </ns0:c>
      <ns0:c r="I12" s="6" t="n">
        <ns0:v>0.475</ns0:v>
      </ns0:c>
      <ns0:c r="J12" s="6" t="n">
        <ns0:v>0.475</ns0:v>
      </ns0:c>
      <ns0:c r="K12" s="6" t="n">
        <ns0:v>0.475</ns0:v>
      </ns0:c>
    </ns0:row>
    <ns0:row r="13" ht="28" customHeight="1">
      <ns0:c r="A13" s="3" t="inlineStr">
        <ns0:is>
          <ns0:t>room1</ns0:t>
        </ns0:is>
      </ns0:c>
      <ns0:c r="B13" s="3" t="inlineStr">
        <ns0:is>
          <ns0:t>ali_my</ns0:t>
        </ns0:is>
      </ns0:c>
      <ns0:c r="C13" s="4" t="n">
        <ns0:v>0.3378023900973664</ns0:v>
      </ns0:c>
      <ns0:c r="D13" s="3" t="n">
        <ns0:v>45</ns0:v>
      </ns0:c>
      <ns0:c r="E13" s="3" t="n">
        <ns0:v>40</ns0:v>
      </ns0:c>
      <ns0:c r="F13" s="3" t="n">
        <ns0:v>12</ns0:v>
      </ns0:c>
      <ns0:c r="G13" s="3" t="n">
        <ns0:v>38</ns0:v>
      </ns0:c>
      <ns0:c r="H13" s="3" t="n">
        <ns0:v>28</ns0:v>
      </ns0:c>
      <ns0:c r="I13" s="4" t="n">
        <ns0:v>0.24</ns0:v>
      </ns0:c>
      <ns0:c r="J13" s="4" t="n">
        <ns0:v>0.3</ns0:v>
      </ns0:c>
      <ns0:c r="K13" s="4" t="n">
        <ns0:v>0.2666666666666667</ns0:v>
      </ns0:c>
    </ns0:row>
    <ns0:row r="14" ht="28" customHeight="1">
      <ns0:c r="A14" s="5" t="inlineStr">
        <ns0:is>
          <ns0:t>room2</ns0:t>
        </ns0:is>
      </ns0:c>
      <ns0:c r="B14" s="5" t="inlineStr">
        <ns0:is>
          <ns0:t>Baseline_gateoff</ns0:t>
        </ns0:is>
      </ns0:c>
      <ns0:c r="C14" s="6" t="n">
        <ns0:v>0.2973787170672515</ns0:v>
      </ns0:c>
      <ns0:c r="D14" s="5" t="n">
        <ns0:v>52</ns0:v>
      </ns0:c>
      <ns0:c r="E14" s="5" t="n">
        <ns0:v>47</ns0:v>
      </ns0:c>
      <ns0:c r="F14" s="5" t="n">
        <ns0:v>14</ns0:v>
      </ns0:c>
      <ns0:c r="G14" s="5" t="n">
        <ns0:v>42</ns0:v>
      </ns0:c>
      <ns0:c r="H14" s="5" t="n">
        <ns0:v>33</ns0:v>
      </ns0:c>
      <ns0:c r="I14" s="6" t="n">
        <ns0:v>0.25</ns0:v>
      </ns0:c>
      <ns0:c r="J14" s="6" t="n">
        <ns0:v>0.2978723404255319</ns0:v>
      </ns0:c>
      <ns0:c r="K14" s="6" t="n">
        <ns0:v>0.2718446601941747</ns0:v>
      </ns0:c>
    </ns0:row>
    <ns0:row r="15" ht="28" customHeight="1">
      <ns0:c r="A15" s="3" t="inlineStr">
        <ns0:is>
          <ns0:t>room2</ns0:t>
        </ns0:is>
      </ns0:c>
      <ns0:c r="B15" s="3" t="inlineStr">
        <ns0:is>
          <ns0:t>v7_CLIP</ns0:t>
        </ns0:is>
      </ns0:c>
      <ns0:c r="C15" s="4" t="n">
        <ns0:v>0.3186971105274999</ns0:v>
      </ns0:c>
      <ns0:c r="D15" s="3" t="n">
        <ns0:v>52</ns0:v>
      </ns0:c>
      <ns0:c r="E15" s="3" t="n">
        <ns0:v>47</ns0:v>
      </ns0:c>
      <ns0:c r="F15" s="3" t="n">
        <ns0:v>18</ns0:v>
      </ns0:c>
      <ns0:c r="G15" s="3" t="n">
        <ns0:v>33</ns0:v>
      </ns0:c>
      <ns0:c r="H15" s="3" t="n">
        <ns0:v>29</ns0:v>
      </ns0:c>
      <ns0:c r="I15" s="4" t="n">
        <ns0:v>0.3529411764705883</ns0:v>
      </ns0:c>
      <ns0:c r="J15" s="4" t="n">
        <ns0:v>0.3829787234042553</ns0:v>
      </ns0:c>
      <ns0:c r="K15" s="4" t="n">
        <ns0:v>0.3673469387755102</ns0:v>
      </ns0:c>
    </ns0:row>
    <ns0:row r="16" ht="28" customHeight="1">
      <ns0:c r="A16" s="5" t="inlineStr">
        <ns0:is>
          <ns0:t>room2</ns0:t>
        </ns0:is>
      </ns0:c>
      <ns0:c r="B16" s="5" t="inlineStr">
        <ns0:is>
          <ns0:t>OVI_MAP</ns0:t>
        </ns0:is>
      </ns0:c>
      <ns0:c r="C16" s="6" t="n">
        <ns0:v>0.3991812364212894</ns0:v>
      </ns0:c>
      <ns0:c r="D16" s="5" t="n">
        <ns0:v>52</ns0:v>
      </ns0:c>
      <ns0:c r="E16" s="5" t="n">
        <ns0:v>47</ns0:v>
      </ns0:c>
      <ns0:c r="F16" s="5" t="n">
        <ns0:v>23</ns0:v>
      </ns0:c>
      <ns0:c r="G16" s="5" t="n">
        <ns0:v>23</ns0:v>
      </ns0:c>
      <ns0:c r="H16" s="5" t="n">
        <ns0:v>24</ns0:v>
      </ns0:c>
      <ns0:c r="I16" s="6" t="n">
        <ns0:v>0.5</ns0:v>
      </ns0:c>
      <ns0:c r="J16" s="6" t="n">
        <ns0:v>0.4893617021276596</ns0:v>
      </ns0:c>
      <ns0:c r="K16" s="6" t="n">
        <ns0:v>0.4946236559139785</ns0:v>
      </ns0:c>
    </ns0:row>
    <ns0:row r="17" ht="28" customHeight="1">
      <ns0:c r="A17" s="3" t="inlineStr">
        <ns0:is>
          <ns0:t>room2</ns0:t>
        </ns0:is>
      </ns0:c>
      <ns0:c r="B17" s="3" t="inlineStr">
        <ns0:is>
          <ns0:t>ali_my</ns0:t>
        </ns0:is>
      </ns0:c>
      <ns0:c r="C17" s="4" t="n">
        <ns0:v>0.2477284125174392</ns0:v>
      </ns0:c>
      <ns0:c r="D17" s="3" t="n">
        <ns0:v>52</ns0:v>
      </ns0:c>
      <ns0:c r="E17" s="3" t="n">
        <ns0:v>47</ns0:v>
      </ns0:c>
      <ns0:c r="F17" s="3" t="n">
        <ns0:v>12</ns0:v>
      </ns0:c>
      <ns0:c r="G17" s="3" t="n">
        <ns0:v>36</ns0:v>
      </ns0:c>
      <ns0:c r="H17" s="3" t="n">
        <ns0:v>35</ns0:v>
      </ns0:c>
      <ns0:c r="I17" s="4" t="n">
        <ns0:v>0.25</ns0:v>
      </ns0:c>
      <ns0:c r="J17" s="4" t="n">
        <ns0:v>0.2553191489361702</ns0:v>
      </ns0:c>
      <ns0:c r="K17" s="4" t="n">
        <ns0:v>0.2526315789473684</ns0:v>
      </ns0:c>
    </ns0:row>
    <ns0:row r="18" ht="28" customHeight="1">
      <ns0:c r="A18" s="5" t="inlineStr">
        <ns0:is>
          <ns0:t>office0</ns0:t>
        </ns0:is>
      </ns0:c>
      <ns0:c r="B18" s="5" t="inlineStr">
        <ns0:is>
          <ns0:t>Baseline_gateoff</ns0:t>
        </ns0:is>
      </ns0:c>
      <ns0:c r="C18" s="6" t="n">
        <ns0:v>0.387674911185089</ns0:v>
      </ns0:c>
      <ns0:c r="D18" s="5" t="n">
        <ns0:v>34</ns0:v>
      </ns0:c>
      <ns0:c r="E18" s="5" t="n">
        <ns0:v>26</ns0:v>
      </ns0:c>
      <ns0:c r="F18" s="5" t="n">
        <ns0:v>10</ns0:v>
      </ns0:c>
      <ns0:c r="G18" s="5" t="n">
        <ns0:v>34</ns0:v>
      </ns0:c>
      <ns0:c r="H18" s="5" t="n">
        <ns0:v>16</ns0:v>
      </ns0:c>
      <ns0:c r="I18" s="6" t="n">
        <ns0:v>0.2272727272727273</ns0:v>
      </ns0:c>
      <ns0:c r="J18" s="6" t="n">
        <ns0:v>0.3846153846153846</ns0:v>
      </ns0:c>
      <ns0:c r="K18" s="6" t="n">
        <ns0:v>0.2857142857142857</ns0:v>
      </ns0:c>
    </ns0:row>
    <ns0:row r="19" ht="28" customHeight="1">
      <ns0:c r="A19" s="3" t="inlineStr">
        <ns0:is>
          <ns0:t>office0</ns0:t>
        </ns0:is>
      </ns0:c>
      <ns0:c r="B19" s="3" t="inlineStr">
        <ns0:is>
          <ns0:t>v7_CLIP</ns0:t>
        </ns0:is>
      </ns0:c>
      <ns0:c r="C19" s="4" t="n">
        <ns0:v>0.3930128475211291</ns0:v>
      </ns0:c>
      <ns0:c r="D19" s="3" t="n">
        <ns0:v>34</ns0:v>
      </ns0:c>
      <ns0:c r="E19" s="3" t="n">
        <ns0:v>26</ns0:v>
      </ns0:c>
      <ns0:c r="F19" s="3" t="n">
        <ns0:v>10</ns0:v>
      </ns0:c>
      <ns0:c r="G19" s="3" t="n">
        <ns0:v>32</ns0:v>
      </ns0:c>
      <ns0:c r="H19" s="3" t="n">
        <ns0:v>16</ns0:v>
      </ns0:c>
      <ns0:c r="I19" s="4" t="n">
        <ns0:v>0.2380952380952381</ns0:v>
      </ns0:c>
      <ns0:c r="J19" s="4" t="n">
        <ns0:v>0.3846153846153846</ns0:v>
      </ns0:c>
      <ns0:c r="K19" s="4" t="n">
        <ns0:v>0.2941176470588235</ns0:v>
      </ns0:c>
    </ns0:row>
    <ns0:row r="20" ht="28" customHeight="1">
      <ns0:c r="A20" s="5" t="inlineStr">
        <ns0:is>
          <ns0:t>office0</ns0:t>
        </ns0:is>
      </ns0:c>
      <ns0:c r="B20" s="5" t="inlineStr">
        <ns0:is>
          <ns0:t>OVI_MAP</ns0:t>
        </ns0:is>
      </ns0:c>
      <ns0:c r="C20" s="6" t="n">
        <ns0:v>0.3839031753625454</ns0:v>
      </ns0:c>
      <ns0:c r="D20" s="5" t="n">
        <ns0:v>34</ns0:v>
      </ns0:c>
      <ns0:c r="E20" s="5" t="n">
        <ns0:v>26</ns0:v>
      </ns0:c>
      <ns0:c r="F20" s="5" t="n">
        <ns0:v>11</ns0:v>
      </ns0:c>
      <ns0:c r="G20" s="5" t="n">
        <ns0:v>19</ns0:v>
      </ns0:c>
      <ns0:c r="H20" s="5" t="n">
        <ns0:v>15</ns0:v>
      </ns0:c>
      <ns0:c r="I20" s="6" t="n">
        <ns0:v>0.3666666666666666</ns0:v>
      </ns0:c>
      <ns0:c r="J20" s="6" t="n">
        <ns0:v>0.4230769230769231</ns0:v>
      </ns0:c>
      <ns0:c r="K20" s="6" t="n">
        <ns0:v>0.3928571428571428</ns0:v>
      </ns0:c>
    </ns0:row>
    <ns0:row r="21" ht="28" customHeight="1">
      <ns0:c r="A21" s="3" t="inlineStr">
        <ns0:is>
          <ns0:t>office0</ns0:t>
        </ns0:is>
      </ns0:c>
      <ns0:c r="B21" s="3" t="inlineStr">
        <ns0:is>
          <ns0:t>ali_my</ns0:t>
        </ns0:is>
      </ns0:c>
      <ns0:c r="C21" s="4" t="n">
        <ns0:v>0.3539959558021713</ns0:v>
      </ns0:c>
      <ns0:c r="D21" s="3" t="n">
        <ns0:v>34</ns0:v>
      </ns0:c>
      <ns0:c r="E21" s="3" t="n">
        <ns0:v>26</ns0:v>
      </ns0:c>
      <ns0:c r="F21" s="3" t="n">
        <ns0:v>9</ns0:v>
      </ns0:c>
      <ns0:c r="G21" s="3" t="n">
        <ns0:v>24</ns0:v>
      </ns0:c>
      <ns0:c r="H21" s="3" t="n">
        <ns0:v>17</ns0:v>
      </ns0:c>
      <ns0:c r="I21" s="4" t="n">
        <ns0:v>0.2727272727272727</ns0:v>
      </ns0:c>
      <ns0:c r="J21" s="4" t="n">
        <ns0:v>0.3461538461538461</ns0:v>
      </ns0:c>
      <ns0:c r="K21" s="4" t="n">
        <ns0:v>0.3050847457627119</ns0:v>
      </ns0:c>
    </ns0:row>
    <ns0:row r="22" ht="28" customHeight="1">
      <ns0:c r="A22" s="5" t="inlineStr">
        <ns0:is>
          <ns0:t>office1</ns0:t>
        </ns0:is>
      </ns0:c>
      <ns0:c r="B22" s="5" t="inlineStr">
        <ns0:is>
          <ns0:t>Baseline_gateoff</ns0:t>
        </ns0:is>
      </ns0:c>
      <ns0:c r="C22" s="6" t="n">
        <ns0:v>0.473088828253871</ns0:v>
      </ns0:c>
      <ns0:c r="D22" s="5" t="n">
        <ns0:v>28</ns0:v>
      </ns0:c>
      <ns0:c r="E22" s="5" t="n">
        <ns0:v>25</ns0:v>
      </ns0:c>
      <ns0:c r="F22" s="5" t="n">
        <ns0:v>15</ns0:v>
      </ns0:c>
      <ns0:c r="G22" s="5" t="n">
        <ns0:v>16</ns0:v>
      </ns0:c>
      <ns0:c r="H22" s="5" t="n">
        <ns0:v>10</ns0:v>
      </ns0:c>
      <ns0:c r="I22" s="6" t="n">
        <ns0:v>0.4838709677419355</ns0:v>
      </ns0:c>
      <ns0:c r="J22" s="6" t="n">
        <ns0:v>0.6</ns0:v>
      </ns0:c>
      <ns0:c r="K22" s="6" t="n">
        <ns0:v>0.5357142857142857</ns0:v>
      </ns0:c>
    </ns0:row>
    <ns0:row r="23" ht="28" customHeight="1">
      <ns0:c r="A23" s="3" t="inlineStr">
        <ns0:is>
          <ns0:t>office1</ns0:t>
        </ns0:is>
      </ns0:c>
      <ns0:c r="B23" s="3" t="inlineStr">
        <ns0:is>
          <ns0:t>v7_CLIP</ns0:t>
        </ns0:is>
      </ns0:c>
      <ns0:c r="C23" s="4" t="n">
        <ns0:v>0.4571774281005055</ns0:v>
      </ns0:c>
      <ns0:c r="D23" s="3" t="n">
        <ns0:v>28</ns0:v>
      </ns0:c>
      <ns0:c r="E23" s="3" t="n">
        <ns0:v>25</ns0:v>
      </ns0:c>
      <ns0:c r="F23" s="3" t="n">
        <ns0:v>14</ns0:v>
      </ns0:c>
      <ns0:c r="G23" s="3" t="n">
        <ns0:v>16</ns0:v>
      </ns0:c>
      <ns0:c r="H23" s="3" t="n">
        <ns0:v>11</ns0:v>
      </ns0:c>
      <ns0:c r="I23" s="4" t="n">
        <ns0:v>0.4666666666666667</ns0:v>
      </ns0:c>
      <ns0:c r="J23" s="4" t="n">
        <ns0:v>0.5600000000000001</ns0:v>
      </ns0:c>
      <ns0:c r="K23" s="4" t="n">
        <ns0:v>0.509090909090909</ns0:v>
      </ns0:c>
    </ns0:row>
    <ns0:row r="24" ht="28" customHeight="1">
      <ns0:c r="A24" s="5" t="inlineStr">
        <ns0:is>
          <ns0:t>office1</ns0:t>
        </ns0:is>
      </ns0:c>
      <ns0:c r="B24" s="5" t="inlineStr">
        <ns0:is>
          <ns0:t>OVI_MAP</ns0:t>
        </ns0:is>
      </ns0:c>
      <ns0:c r="C24" s="6" t="n">
        <ns0:v>0.4247840346231446</ns0:v>
      </ns0:c>
      <ns0:c r="D24" s="5" t="n">
        <ns0:v>28</ns0:v>
      </ns0:c>
      <ns0:c r="E24" s="5" t="n">
        <ns0:v>25</ns0:v>
      </ns0:c>
      <ns0:c r="F24" s="5" t="n">
        <ns0:v>12</ns0:v>
      </ns0:c>
      <ns0:c r="G24" s="5" t="n">
        <ns0:v>19</ns0:v>
      </ns0:c>
      <ns0:c r="H24" s="5" t="n">
        <ns0:v>13</ns0:v>
      </ns0:c>
      <ns0:c r="I24" s="6" t="n">
        <ns0:v>0.3870967741935484</ns0:v>
      </ns0:c>
      <ns0:c r="J24" s="6" t="n">
        <ns0:v>0.48</ns0:v>
      </ns0:c>
      <ns0:c r="K24" s="6" t="n">
        <ns0:v>0.4285714285714285</ns0:v>
      </ns0:c>
    </ns0:row>
    <ns0:row r="25" ht="28" customHeight="1">
      <ns0:c r="A25" s="3" t="inlineStr">
        <ns0:is>
          <ns0:t>office1</ns0:t>
        </ns0:is>
      </ns0:c>
      <ns0:c r="B25" s="3" t="inlineStr">
        <ns0:is>
          <ns0:t>ali_my</ns0:t>
        </ns0:is>
      </ns0:c>
      <ns0:c r="C25" s="4" t="n">
        <ns0:v>0.369723833746493</ns0:v>
      </ns0:c>
      <ns0:c r="D25" s="3" t="n">
        <ns0:v>28</ns0:v>
      </ns0:c>
      <ns0:c r="E25" s="3" t="n">
        <ns0:v>25</ns0:v>
      </ns0:c>
      <ns0:c r="F25" s="3" t="n">
        <ns0:v>12</ns0:v>
      </ns0:c>
      <ns0:c r="G25" s="3" t="n">
        <ns0:v>13</ns0:v>
      </ns0:c>
      <ns0:c r="H25" s="3" t="n">
        <ns0:v>13</ns0:v>
      </ns0:c>
      <ns0:c r="I25" s="4" t="n">
        <ns0:v>0.48</ns0:v>
      </ns0:c>
      <ns0:c r="J25" s="4" t="n">
        <ns0:v>0.48</ns0:v>
      </ns0:c>
      <ns0:c r="K25" s="4" t="n">
        <ns0:v>0.48</ns0:v>
      </ns0:c>
    </ns0:row>
    <ns0:row r="26" ht="28" customHeight="1">
      <ns0:c r="A26" s="5" t="inlineStr">
        <ns0:is>
          <ns0:t>office2</ns0:t>
        </ns0:is>
      </ns0:c>
      <ns0:c r="B26" s="5" t="inlineStr">
        <ns0:is>
          <ns0:t>Baseline_gateoff</ns0:t>
        </ns0:is>
      </ns0:c>
      <ns0:c r="C26" s="6" t="n">
        <ns0:v>0.4143823440012097</ns0:v>
      </ns0:c>
      <ns0:c r="D26" s="5" t="n">
        <ns0:v>43</ns0:v>
      </ns0:c>
      <ns0:c r="E26" s="5" t="n">
        <ns0:v>40</ns0:v>
      </ns0:c>
      <ns0:c r="F26" s="5" t="n">
        <ns0:v>18</ns0:v>
      </ns0:c>
      <ns0:c r="G26" s="5" t="n">
        <ns0:v>33</ns0:v>
      </ns0:c>
      <ns0:c r="H26" s="5" t="n">
        <ns0:v>22</ns0:v>
      </ns0:c>
      <ns0:c r="I26" s="6" t="n">
        <ns0:v>0.3529411764705883</ns0:v>
      </ns0:c>
      <ns0:c r="J26" s="6" t="n">
        <ns0:v>0.45</ns0:v>
      </ns0:c>
      <ns0:c r="K26" s="6" t="n">
        <ns0:v>0.3956043956043956</ns0:v>
      </ns0:c>
    </ns0:row>
    <ns0:row r="27" ht="28" customHeight="1">
      <ns0:c r="A27" s="3" t="inlineStr">
        <ns0:is>
          <ns0:t>office2</ns0:t>
        </ns0:is>
      </ns0:c>
      <ns0:c r="B27" s="3" t="inlineStr">
        <ns0:is>
          <ns0:t>v7_CLIP</ns0:t>
        </ns0:is>
      </ns0:c>
      <ns0:c r="C27" s="4" t="n">
        <ns0:v>0.444450827741351</ns0:v>
      </ns0:c>
      <ns0:c r="D27" s="3" t="n">
        <ns0:v>43</ns0:v>
      </ns0:c>
      <ns0:c r="E27" s="3" t="n">
        <ns0:v>40</ns0:v>
      </ns0:c>
      <ns0:c r="F27" s="3" t="n">
        <ns0:v>19</ns0:v>
      </ns0:c>
      <ns0:c r="G27" s="3" t="n">
        <ns0:v>36</ns0:v>
      </ns0:c>
      <ns0:c r="H27" s="3" t="n">
        <ns0:v>21</ns0:v>
      </ns0:c>
      <ns0:c r="I27" s="4" t="n">
        <ns0:v>0.3454545454545455</ns0:v>
      </ns0:c>
      <ns0:c r="J27" s="4" t="n">
        <ns0:v>0.475</ns0:v>
      </ns0:c>
      <ns0:c r="K27" s="4" t="n">
        <ns0:v>0.4</ns0:v>
      </ns0:c>
    </ns0:row>
    <ns0:row r="28" ht="28" customHeight="1">
      <ns0:c r="A28" s="5" t="inlineStr">
        <ns0:is>
          <ns0:t>office2</ns0:t>
        </ns0:is>
      </ns0:c>
      <ns0:c r="B28" s="5" t="inlineStr">
        <ns0:is>
          <ns0:t>OVI_MAP</ns0:t>
        </ns0:is>
      </ns0:c>
      <ns0:c r="C28" s="6" t="n">
        <ns0:v>0.43542491958223</ns0:v>
      </ns0:c>
      <ns0:c r="D28" s="5" t="n">
        <ns0:v>43</ns0:v>
      </ns0:c>
      <ns0:c r="E28" s="5" t="n">
        <ns0:v>40</ns0:v>
      </ns0:c>
      <ns0:c r="F28" s="5" t="n">
        <ns0:v>19</ns0:v>
      </ns0:c>
      <ns0:c r="G28" s="5" t="n">
        <ns0:v>25</ns0:v>
      </ns0:c>
      <ns0:c r="H28" s="5" t="n">
        <ns0:v>21</ns0:v>
      </ns0:c>
      <ns0:c r="I28" s="6" t="n">
        <ns0:v>0.4318181818181818</ns0:v>
      </ns0:c>
      <ns0:c r="J28" s="6" t="n">
        <ns0:v>0.475</ns0:v>
      </ns0:c>
      <ns0:c r="K28" s="6" t="n">
        <ns0:v>0.4523809523809524</ns0:v>
      </ns0:c>
    </ns0:row>
    <ns0:row r="29" ht="28" customHeight="1">
      <ns0:c r="A29" s="3" t="inlineStr">
        <ns0:is>
          <ns0:t>office2</ns0:t>
        </ns0:is>
      </ns0:c>
      <ns0:c r="B29" s="3" t="inlineStr">
        <ns0:is>
          <ns0:t>ali_my</ns0:t>
        </ns0:is>
      </ns0:c>
      <ns0:c r="C29" s="4" t="n">
        <ns0:v>0.2613590032262919</ns0:v>
      </ns0:c>
      <ns0:c r="D29" s="3" t="n">
        <ns0:v>43</ns0:v>
      </ns0:c>
      <ns0:c r="E29" s="3" t="n">
        <ns0:v>40</ns0:v>
      </ns0:c>
      <ns0:c r="F29" s="3" t="n">
        <ns0:v>9</ns0:v>
      </ns0:c>
      <ns0:c r="G29" s="3" t="n">
        <ns0:v>36</ns0:v>
      </ns0:c>
      <ns0:c r="H29" s="3" t="n">
        <ns0:v>31</ns0:v>
      </ns0:c>
      <ns0:c r="I29" s="4" t="n">
        <ns0:v>0.2</ns0:v>
      </ns0:c>
      <ns0:c r="J29" s="4" t="n">
        <ns0:v>0.225</ns0:v>
      </ns0:c>
      <ns0:c r="K29" s="4" t="n">
        <ns0:v>0.2117647058823529</ns0:v>
      </ns0:c>
    </ns0:row>
    <ns0:row r="30" ht="28" customHeight="1">
      <ns0:c r="A30" s="5" t="inlineStr">
        <ns0:is>
          <ns0:t>office3</ns0:t>
        </ns0:is>
      </ns0:c>
      <ns0:c r="B30" s="5" t="inlineStr">
        <ns0:is>
          <ns0:t>Baseline_gateoff</ns0:t>
        </ns0:is>
      </ns0:c>
      <ns0:c r="C30" s="6" t="n">
        <ns0:v>0.4406367182932677</ns0:v>
      </ns0:c>
      <ns0:c r="D30" s="5" t="n">
        <ns0:v>61</ns0:v>
      </ns0:c>
      <ns0:c r="E30" s="5" t="n">
        <ns0:v>57</ns0:v>
      </ns0:c>
      <ns0:c r="F30" s="5" t="n">
        <ns0:v>28</ns0:v>
      </ns0:c>
      <ns0:c r="G30" s="5" t="n">
        <ns0:v>35</ns0:v>
      </ns0:c>
      <ns0:c r="H30" s="5" t="n">
        <ns0:v>29</ns0:v>
      </ns0:c>
      <ns0:c r="I30" s="6" t="n">
        <ns0:v>0.4444444444444444</ns0:v>
      </ns0:c>
      <ns0:c r="J30" s="6" t="n">
        <ns0:v>0.4912280701754386</ns0:v>
      </ns0:c>
      <ns0:c r="K30" s="6" t="n">
        <ns0:v>0.4666666666666667</ns0:v>
      </ns0:c>
    </ns0:row>
    <ns0:row r="31" ht="28" customHeight="1">
      <ns0:c r="A31" s="3" t="inlineStr">
        <ns0:is>
          <ns0:t>office3</ns0:t>
        </ns0:is>
      </ns0:c>
      <ns0:c r="B31" s="3" t="inlineStr">
        <ns0:is>
          <ns0:t>v7_CLIP</ns0:t>
        </ns0:is>
      </ns0:c>
      <ns0:c r="C31" s="4" t="n">
        <ns0:v>0.4397168599488855</ns0:v>
      </ns0:c>
      <ns0:c r="D31" s="3" t="n">
        <ns0:v>61</ns0:v>
      </ns0:c>
      <ns0:c r="E31" s="3" t="n">
        <ns0:v>57</ns0:v>
      </ns0:c>
      <ns0:c r="F31" s="3" t="n">
        <ns0:v>27</ns0:v>
      </ns0:c>
      <ns0:c r="G31" s="3" t="n">
        <ns0:v>36</ns0:v>
      </ns0:c>
      <ns0:c r="H31" s="3" t="n">
        <ns0:v>30</ns0:v>
      </ns0:c>
      <ns0:c r="I31" s="4" t="n">
        <ns0:v>0.4285714285714285</ns0:v>
      </ns0:c>
      <ns0:c r="J31" s="4" t="n">
        <ns0:v>0.4736842105263158</ns0:v>
      </ns0:c>
      <ns0:c r="K31" s="4" t="n">
        <ns0:v>0.45</ns0:v>
      </ns0:c>
    </ns0:row>
    <ns0:row r="32" ht="28" customHeight="1">
      <ns0:c r="A32" s="5" t="inlineStr">
        <ns0:is>
          <ns0:t>office3</ns0:t>
        </ns0:is>
      </ns0:c>
      <ns0:c r="B32" s="5" t="inlineStr">
        <ns0:is>
          <ns0:t>OVI_MAP</ns0:t>
        </ns0:is>
      </ns0:c>
      <ns0:c r="C32" s="6" t="n">
        <ns0:v>0.3630060980956765</ns0:v>
      </ns0:c>
      <ns0:c r="D32" s="5" t="n">
        <ns0:v>61</ns0:v>
      </ns0:c>
      <ns0:c r="E32" s="5" t="n">
        <ns0:v>57</ns0:v>
      </ns0:c>
      <ns0:c r="F32" s="5" t="n">
        <ns0:v>22</ns0:v>
      </ns0:c>
      <ns0:c r="G32" s="5" t="n">
        <ns0:v>26</ns0:v>
      </ns0:c>
      <ns0:c r="H32" s="5" t="n">
        <ns0:v>35</ns0:v>
      </ns0:c>
      <ns0:c r="I32" s="6" t="n">
        <ns0:v>0.4583333333333333</ns0:v>
      </ns0:c>
      <ns0:c r="J32" s="6" t="n">
        <ns0:v>0.3859649122807017</ns0:v>
      </ns0:c>
      <ns0:c r="K32" s="6" t="n">
        <ns0:v>0.4190476190476191</ns0:v>
      </ns0:c>
    </ns0:row>
    <ns0:row r="33" ht="28" customHeight="1">
      <ns0:c r="A33" s="3" t="inlineStr">
        <ns0:is>
          <ns0:t>office3</ns0:t>
        </ns0:is>
      </ns0:c>
      <ns0:c r="B33" s="3" t="inlineStr">
        <ns0:is>
          <ns0:t>ali_my</ns0:t>
        </ns0:is>
      </ns0:c>
      <ns0:c r="C33" s="4" t="n">
        <ns0:v>0.296658061133688</ns0:v>
      </ns0:c>
      <ns0:c r="D33" s="3" t="n">
        <ns0:v>61</ns0:v>
      </ns0:c>
      <ns0:c r="E33" s="3" t="n">
        <ns0:v>57</ns0:v>
      </ns0:c>
      <ns0:c r="F33" s="3" t="n">
        <ns0:v>17</ns0:v>
      </ns0:c>
      <ns0:c r="G33" s="3" t="n">
        <ns0:v>38</ns0:v>
      </ns0:c>
      <ns0:c r="H33" s="3" t="n">
        <ns0:v>40</ns0:v>
      </ns0:c>
      <ns0:c r="I33" s="4" t="n">
        <ns0:v>0.3090909090909091</ns0:v>
      </ns0:c>
      <ns0:c r="J33" s="4" t="n">
        <ns0:v>0.2982456140350877</ns0:v>
      </ns0:c>
      <ns0:c r="K33" s="4" t="n">
        <ns0:v>0.3035714285714285</ns0:v>
      </ns0:c>
    </ns0:row>
    <ns0:row r="34" ht="28" customHeight="1">
      <ns0:c r="A34" s="5" t="inlineStr">
        <ns0:is>
          <ns0:t>office4</ns0:t>
        </ns0:is>
      </ns0:c>
      <ns0:c r="B34" s="5" t="inlineStr">
        <ns0:is>
          <ns0:t>Baseline_gateoff</ns0:t>
        </ns0:is>
      </ns0:c>
      <ns0:c r="C34" s="6" t="n">
        <ns0:v>0.5042055922751295</ns0:v>
      </ns0:c>
      <ns0:c r="D34" s="5" t="n">
        <ns0:v>31</ns0:v>
      </ns0:c>
      <ns0:c r="E34" s="5" t="n">
        <ns0:v>29</ns0:v>
      </ns0:c>
      <ns0:c r="F34" s="5" t="n">
        <ns0:v>13</ns0:v>
      </ns0:c>
      <ns0:c r="G34" s="5" t="n">
        <ns0:v>39</ns0:v>
      </ns0:c>
      <ns0:c r="H34" s="5" t="n">
        <ns0:v>16</ns0:v>
      </ns0:c>
      <ns0:c r="I34" s="6" t="n">
        <ns0:v>0.25</ns0:v>
      </ns0:c>
      <ns0:c r="J34" s="6" t="n">
        <ns0:v>0.4482758620689655</ns0:v>
      </ns0:c>
      <ns0:c r="K34" s="6" t="n">
        <ns0:v>0.3209876543209876</ns0:v>
      </ns0:c>
    </ns0:row>
    <ns0:row r="35" ht="28" customHeight="1">
      <ns0:c r="A35" s="3" t="inlineStr">
        <ns0:is>
          <ns0:t>office4</ns0:t>
        </ns0:is>
      </ns0:c>
      <ns0:c r="B35" s="3" t="inlineStr">
        <ns0:is>
          <ns0:t>v7_CLIP</ns0:t>
        </ns0:is>
      </ns0:c>
      <ns0:c r="C35" s="4" t="n">
        <ns0:v>0.4988121925414004</ns0:v>
      </ns0:c>
      <ns0:c r="D35" s="3" t="n">
        <ns0:v>31</ns0:v>
      </ns0:c>
      <ns0:c r="E35" s="3" t="n">
        <ns0:v>29</ns0:v>
      </ns0:c>
      <ns0:c r="F35" s="3" t="n">
        <ns0:v>13</ns0:v>
      </ns0:c>
      <ns0:c r="G35" s="3" t="n">
        <ns0:v>39</ns0:v>
      </ns0:c>
      <ns0:c r="H35" s="3" t="n">
        <ns0:v>16</ns0:v>
      </ns0:c>
      <ns0:c r="I35" s="4" t="n">
        <ns0:v>0.25</ns0:v>
      </ns0:c>
      <ns0:c r="J35" s="4" t="n">
        <ns0:v>0.4482758620689655</ns0:v>
      </ns0:c>
      <ns0:c r="K35" s="4" t="n">
        <ns0:v>0.3209876543209876</ns0:v>
      </ns0:c>
    </ns0:row>
    <ns0:row r="36" ht="28" customHeight="1">
      <ns0:c r="A36" s="5" t="inlineStr">
        <ns0:is>
          <ns0:t>office4</ns0:t>
        </ns0:is>
      </ns0:c>
      <ns0:c r="B36" s="5" t="inlineStr">
        <ns0:is>
          <ns0:t>OVI_MAP</ns0:t>
        </ns0:is>
      </ns0:c>
      <ns0:c r="C36" s="6" t="n">
        <ns0:v>0.4462952460224766</ns0:v>
      </ns0:c>
      <ns0:c r="D36" s="5" t="n">
        <ns0:v>31</ns0:v>
      </ns0:c>
      <ns0:c r="E36" s="5" t="n">
        <ns0:v>29</ns0:v>
      </ns0:c>
      <ns0:c r="F36" s="5" t="n">
        <ns0:v>11</ns0:v>
      </ns0:c>
      <ns0:c r="G36" s="5" t="n">
        <ns0:v>30</ns0:v>
      </ns0:c>
      <ns0:c r="H36" s="5" t="n">
        <ns0:v>18</ns0:v>
      </ns0:c>
      <ns0:c r="I36" s="6" t="n">
        <ns0:v>0.2682926829268293</ns0:v>
      </ns0:c>
      <ns0:c r="J36" s="6" t="n">
        <ns0:v>0.3793103448275862</ns0:v>
      </ns0:c>
      <ns0:c r="K36" s="6" t="n">
        <ns0:v>0.3142857142857143</ns0:v>
      </ns0:c>
    </ns0:row>
    <ns0:row r="37" ht="28" customHeight="1">
      <ns0:c r="A37" s="3" t="inlineStr">
        <ns0:is>
          <ns0:t>office4</ns0:t>
        </ns0:is>
      </ns0:c>
      <ns0:c r="B37" s="3" t="inlineStr">
        <ns0:is>
          <ns0:t>ali_my</ns0:t>
        </ns0:is>
      </ns0:c>
      <ns0:c r="C37" s="4" t="n">
        <ns0:v>0.4214368378073216</ns0:v>
      </ns0:c>
      <ns0:c r="D37" s="3" t="n">
        <ns0:v>31</ns0:v>
      </ns0:c>
      <ns0:c r="E37" s="3" t="n">
        <ns0:v>29</ns0:v>
      </ns0:c>
      <ns0:c r="F37" s="3" t="n">
        <ns0:v>11</ns0:v>
      </ns0:c>
      <ns0:c r="G37" s="3" t="n">
        <ns0:v>31</ns0:v>
      </ns0:c>
      <ns0:c r="H37" s="3" t="n">
        <ns0:v>18</ns0:v>
      </ns0:c>
      <ns0:c r="I37" s="4" t="n">
        <ns0:v>0.2619047619047619</ns0:v>
      </ns0:c>
      <ns0:c r="J37" s="4" t="n">
        <ns0:v>0.3793103448275862</ns0:v>
      </ns0:c>
      <ns0:c r="K37" s="4" t="n">
        <ns0:v>0.3098591549295774</ns0:v>
      </ns0:c>
    </ns0:row>
    <ns0:row r="38" ht="28" customHeight="1">
      <ns0:c r="A38" s="3" t="inlineStr">
        <ns0:is>
          <ns0:t>office2</ns0:t>
        </ns0:is>
      </ns0:c>
      <ns0:c r="B38" s="3" t="inlineStr">
        <ns0:is>
          <ns0:t>v7_merge_re</ns0:t>
        </ns0:is>
      </ns0:c>
      <ns0:c r="C38" s="4" t="n">
        <ns0:v>0.4321209165059144</ns0:v>
      </ns0:c>
      <ns0:c r="D38" s="3" t="n">
        <ns0:v>43</ns0:v>
      </ns0:c>
      <ns0:c r="E38" s="3" t="n">
        <ns0:v>40</ns0:v>
      </ns0:c>
      <ns0:c r="F38" s="3" t="n">
        <ns0:v>18</ns0:v>
      </ns0:c>
      <ns0:c r="G38" s="3" t="n">
        <ns0:v>36</ns0:v>
      </ns0:c>
      <ns0:c r="H38" s="3" t="n">
        <ns0:v>22</ns0:v>
      </ns0:c>
      <ns0:c r="I38" s="4" t="n">
        <ns0:v>0.3333333333333333</ns0:v>
      </ns0:c>
      <ns0:c r="J38" s="4" t="n">
        <ns0:v>0.45</ns0:v>
      </ns0:c>
      <ns0:c r="K38" s="4" t="n">
        <ns0:v>0.3829787234042553</ns0:v>
      </ns0:c>
    </ns0:row>
    <ns0:row r="39" ht="28" customHeight="1">
      <ns0:c r="A39" s="3" t="inlineStr">
        <ns0:is>
          <ns0:t>office2</ns0:t>
        </ns0:is>
      </ns0:c>
      <ns0:c r="B39" s="3" t="inlineStr">
        <ns0:is>
          <ns0:t>v7_merge</ns0:t>
        </ns0:is>
      </ns0:c>
      <ns0:c r="C39" s="4" t="n">
        <ns0:v>0.4501461608204587</ns0:v>
      </ns0:c>
      <ns0:c r="D39" s="3" t="n">
        <ns0:v>43</ns0:v>
      </ns0:c>
      <ns0:c r="E39" s="3" t="n">
        <ns0:v>40</ns0:v>
      </ns0:c>
      <ns0:c r="F39" s="3" t="n">
        <ns0:v>18</ns0:v>
      </ns0:c>
      <ns0:c r="G39" s="3" t="n">
        <ns0:v>36</ns0:v>
      </ns0:c>
      <ns0:c r="H39" s="3" t="n">
        <ns0:v>22</ns0:v>
      </ns0:c>
      <ns0:c r="I39" s="4" t="n">
        <ns0:v>0.3333333333333333</ns0:v>
      </ns0:c>
      <ns0:c r="J39" s="4" t="n">
        <ns0:v>0.45</ns0:v>
      </ns0:c>
      <ns0:c r="K39" s="4" t="n">
        <ns0:v>0.3829787234042553</ns0:v>
      </ns0:c>
    </ns0:row>
    <ns0:row r="40" ht="28" customHeight="1">
      <ns0:c r="A40" s="3" t="inlineStr">
        <ns0:is>
          <ns0:t>room0</ns0:t>
        </ns0:is>
      </ns0:c>
      <ns0:c r="B40" s="3" t="inlineStr">
        <ns0:is>
          <ns0:t>TwoRoad（融合旧读出）</ns0:t>
        </ns0:is>
      </ns0:c>
      <ns0:c r="C40" s="4" t="n">
        <ns0:v>0.4559449583694215</ns0:v>
      </ns0:c>
      <ns0:c r="D40" s="3" t="n">
        <ns0:v>73</ns0:v>
      </ns0:c>
      <ns0:c r="E40" s="3" t="n">
        <ns0:v>68</ns0:v>
      </ns0:c>
      <ns0:c r="F40" s="3" t="n">
        <ns0:v>35</ns0:v>
      </ns0:c>
      <ns0:c r="G40" s="3" t="n">
        <ns0:v>40</ns0:v>
      </ns0:c>
      <ns0:c r="H40" s="3" t="n">
        <ns0:v>33</ns0:v>
      </ns0:c>
      <ns0:c r="I40" s="4" t="n">
        <ns0:v>0.4666666666666667</ns0:v>
      </ns0:c>
      <ns0:c r="J40" s="4" t="n">
        <ns0:v>0.5147058823529411</ns0:v>
      </ns0:c>
      <ns0:c r="K40" s="4" t="n">
        <ns0:v>0.4895104895104895</ns0:v>
      </ns0:c>
    </ns0:row>
    <ns0:row r="41" ht="32" customHeight="1">
      <ns0:c r="A41" s="12" t="inlineStr">
        <ns0:is>
          <ns0:t>room0</ns0:t>
        </ns0:is>
      </ns0:c>
      <ns0:c r="B41" s="12" t="inlineStr">
        <ns0:is>
          <ns0:t>CLIP+bbox读出</ns0:t>
        </ns0:is>
      </ns0:c>
      <ns0:c r="C41" s="16" t="n">
        <ns0:v>0.4386003587094476</ns0:v>
      </ns0:c>
      <ns0:c r="D41" s="17" t="n">
        <ns0:v>73</ns0:v>
      </ns0:c>
      <ns0:c r="E41" s="17" t="n">
        <ns0:v>68</ns0:v>
      </ns0:c>
      <ns0:c r="F41" s="17" t="n">
        <ns0:v>36</ns0:v>
      </ns0:c>
      <ns0:c r="G41" s="17" t="n">
        <ns0:v>37</ns0:v>
      </ns0:c>
      <ns0:c r="H41" s="17" t="n">
        <ns0:v>32</ns0:v>
      </ns0:c>
      <ns0:c r="I41" s="16" t="n">
        <ns0:v>0.4931506849315068</ns0:v>
      </ns0:c>
      <ns0:c r="J41" s="16" t="n">
        <ns0:v>0.5294117647058824</ns0:v>
      </ns0:c>
      <ns0:c r="K41" s="16" t="n">
        <ns0:v>0.5106382978723404</ns0:v>
      </ns0:c>
    </ns0:row>
    <ns0:row r="42" ht="32" customHeight="1">
      <ns0:c r="A42" s="12" t="inlineStr">
        <ns0:is>
          <ns0:t>room1</ns0:t>
        </ns0:is>
      </ns0:c>
      <ns0:c r="B42" s="12" t="inlineStr">
        <ns0:is>
          <ns0:t>CLIP+bbox读出</ns0:t>
        </ns0:is>
      </ns0:c>
      <ns0:c r="C42" s="16" t="n">
        <ns0:v>0.4315999409124848</ns0:v>
      </ns0:c>
      <ns0:c r="D42" s="17" t="n">
        <ns0:v>45</ns0:v>
      </ns0:c>
      <ns0:c r="E42" s="17" t="n">
        <ns0:v>40</ns0:v>
      </ns0:c>
      <ns0:c r="F42" s="17" t="n">
        <ns0:v>18</ns0:v>
      </ns0:c>
      <ns0:c r="G42" s="17" t="n">
        <ns0:v>35</ns0:v>
      </ns0:c>
      <ns0:c r="H42" s="17" t="n">
        <ns0:v>22</ns0:v>
      </ns0:c>
      <ns0:c r="I42" s="16" t="n">
        <ns0:v>0.3396226415094339</ns0:v>
      </ns0:c>
      <ns0:c r="J42" s="16" t="n">
        <ns0:v>0.45</ns0:v>
      </ns0:c>
      <ns0:c r="K42" s="16" t="n">
        <ns0:v>0.3870967741935484</ns0:v>
      </ns0:c>
    </ns0:row>
    <ns0:row r="43" ht="32" customHeight="1">
      <ns0:c r="A43" s="12" t="inlineStr">
        <ns0:is>
          <ns0:t>room2</ns0:t>
        </ns0:is>
      </ns0:c>
      <ns0:c r="B43" s="12" t="inlineStr">
        <ns0:is>
          <ns0:t>CLIP+bbox读出</ns0:t>
        </ns0:is>
      </ns0:c>
      <ns0:c r="C43" s="16" t="n">
        <ns0:v>0.3186971105274999</ns0:v>
      </ns0:c>
      <ns0:c r="D43" s="17" t="n">
        <ns0:v>52</ns0:v>
      </ns0:c>
      <ns0:c r="E43" s="17" t="n">
        <ns0:v>47</ns0:v>
      </ns0:c>
      <ns0:c r="F43" s="17" t="n">
        <ns0:v>18</ns0:v>
      </ns0:c>
      <ns0:c r="G43" s="17" t="n">
        <ns0:v>33</ns0:v>
      </ns0:c>
      <ns0:c r="H43" s="17" t="n">
        <ns0:v>29</ns0:v>
      </ns0:c>
      <ns0:c r="I43" s="16" t="n">
        <ns0:v>0.3529411764705883</ns0:v>
      </ns0:c>
      <ns0:c r="J43" s="16" t="n">
        <ns0:v>0.3829787234042553</ns0:v>
      </ns0:c>
      <ns0:c r="K43" s="16" t="n">
        <ns0:v>0.3673469387755102</ns0:v>
      </ns0:c>
    </ns0:row>
    <ns0:row r="44" ht="32" customHeight="1">
      <ns0:c r="A44" s="12" t="inlineStr">
        <ns0:is>
          <ns0:t>office0</ns0:t>
        </ns0:is>
      </ns0:c>
      <ns0:c r="B44" s="12" t="inlineStr">
        <ns0:is>
          <ns0:t>CLIP+bbox读出</ns0:t>
        </ns0:is>
      </ns0:c>
      <ns0:c r="C44" s="16" t="n">
        <ns0:v>0.3930128475211291</ns0:v>
      </ns0:c>
      <ns0:c r="D44" s="17" t="n">
        <ns0:v>34</ns0:v>
      </ns0:c>
      <ns0:c r="E44" s="17" t="n">
        <ns0:v>26</ns0:v>
      </ns0:c>
      <ns0:c r="F44" s="17" t="n">
        <ns0:v>10</ns0:v>
      </ns0:c>
      <ns0:c r="G44" s="17" t="n">
        <ns0:v>32</ns0:v>
      </ns0:c>
      <ns0:c r="H44" s="17" t="n">
        <ns0:v>16</ns0:v>
      </ns0:c>
      <ns0:c r="I44" s="16" t="n">
        <ns0:v>0.2380952380952381</ns0:v>
      </ns0:c>
      <ns0:c r="J44" s="16" t="n">
        <ns0:v>0.3846153846153846</ns0:v>
      </ns0:c>
      <ns0:c r="K44" s="16" t="n">
        <ns0:v>0.2941176470588235</ns0:v>
      </ns0:c>
    </ns0:row>
    <ns0:row r="45" ht="32" customHeight="1">
      <ns0:c r="A45" s="12" t="inlineStr">
        <ns0:is>
          <ns0:t>office1</ns0:t>
        </ns0:is>
      </ns0:c>
      <ns0:c r="B45" s="12" t="inlineStr">
        <ns0:is>
          <ns0:t>CLIP+bbox读出</ns0:t>
        </ns0:is>
      </ns0:c>
      <ns0:c r="C45" s="16" t="n">
        <ns0:v>0.4571774281005055</ns0:v>
      </ns0:c>
      <ns0:c r="D45" s="17" t="n">
        <ns0:v>28</ns0:v>
      </ns0:c>
      <ns0:c r="E45" s="17" t="n">
        <ns0:v>25</ns0:v>
      </ns0:c>
      <ns0:c r="F45" s="17" t="n">
        <ns0:v>14</ns0:v>
      </ns0:c>
      <ns0:c r="G45" s="17" t="n">
        <ns0:v>16</ns0:v>
      </ns0:c>
      <ns0:c r="H45" s="17" t="n">
        <ns0:v>11</ns0:v>
      </ns0:c>
      <ns0:c r="I45" s="16" t="n">
        <ns0:v>0.4666666666666667</ns0:v>
      </ns0:c>
      <ns0:c r="J45" s="16" t="n">
        <ns0:v>0.5600000000000001</ns0:v>
      </ns0:c>
      <ns0:c r="K45" s="16" t="n">
        <ns0:v>0.509090909090909</ns0:v>
      </ns0:c>
    </ns0:row>
    <ns0:row r="46" ht="32" customHeight="1">
      <ns0:c r="A46" s="12" t="inlineStr">
        <ns0:is>
          <ns0:t>office2</ns0:t>
        </ns0:is>
      </ns0:c>
      <ns0:c r="B46" s="12" t="inlineStr">
        <ns0:is>
          <ns0:t>CLIP+bbox读出</ns0:t>
        </ns0:is>
      </ns0:c>
      <ns0:c r="C46" s="16" t="n">
        <ns0:v>0.444450827741351</ns0:v>
      </ns0:c>
      <ns0:c r="D46" s="17" t="n">
        <ns0:v>43</ns0:v>
      </ns0:c>
      <ns0:c r="E46" s="17" t="n">
        <ns0:v>40</ns0:v>
      </ns0:c>
      <ns0:c r="F46" s="17" t="n">
        <ns0:v>19</ns0:v>
      </ns0:c>
      <ns0:c r="G46" s="17" t="n">
        <ns0:v>36</ns0:v>
      </ns0:c>
      <ns0:c r="H46" s="17" t="n">
        <ns0:v>21</ns0:v>
      </ns0:c>
      <ns0:c r="I46" s="16" t="n">
        <ns0:v>0.3454545454545455</ns0:v>
      </ns0:c>
      <ns0:c r="J46" s="16" t="n">
        <ns0:v>0.475</ns0:v>
      </ns0:c>
      <ns0:c r="K46" s="16" t="n">
        <ns0:v>0.4</ns0:v>
      </ns0:c>
    </ns0:row>
    <ns0:row r="47" ht="32" customHeight="1">
      <ns0:c r="A47" s="12" t="inlineStr">
        <ns0:is>
          <ns0:t>office3</ns0:t>
        </ns0:is>
      </ns0:c>
      <ns0:c r="B47" s="12" t="inlineStr">
        <ns0:is>
          <ns0:t>CLIP+bbox读出</ns0:t>
        </ns0:is>
      </ns0:c>
      <ns0:c r="C47" s="16" t="n">
        <ns0:v>0.4397168599488855</ns0:v>
      </ns0:c>
      <ns0:c r="D47" s="17" t="n">
        <ns0:v>61</ns0:v>
      </ns0:c>
      <ns0:c r="E47" s="17" t="n">
        <ns0:v>57</ns0:v>
      </ns0:c>
      <ns0:c r="F47" s="17" t="n">
        <ns0:v>27</ns0:v>
      </ns0:c>
      <ns0:c r="G47" s="17" t="n">
        <ns0:v>36</ns0:v>
      </ns0:c>
      <ns0:c r="H47" s="17" t="n">
        <ns0:v>30</ns0:v>
      </ns0:c>
      <ns0:c r="I47" s="16" t="n">
        <ns0:v>0.4285714285714285</ns0:v>
      </ns0:c>
      <ns0:c r="J47" s="16" t="n">
        <ns0:v>0.4736842105263158</ns0:v>
      </ns0:c>
      <ns0:c r="K47" s="16" t="n">
        <ns0:v>0.45</ns0:v>
      </ns0:c>
    </ns0:row>
    <ns0:row r="48" ht="32" customHeight="1">
      <ns0:c r="A48" s="12" t="inlineStr">
        <ns0:is>
          <ns0:t>office4</ns0:t>
        </ns0:is>
      </ns0:c>
      <ns0:c r="B48" s="12" t="inlineStr">
        <ns0:is>
          <ns0:t>CLIP+bbox读出</ns0:t>
        </ns0:is>
      </ns0:c>
      <ns0:c r="C48" s="16" t="n">
        <ns0:v>0.4988121925414004</ns0:v>
      </ns0:c>
      <ns0:c r="D48" s="17" t="n">
        <ns0:v>31</ns0:v>
      </ns0:c>
      <ns0:c r="E48" s="17" t="n">
        <ns0:v>29</ns0:v>
      </ns0:c>
      <ns0:c r="F48" s="17" t="n">
        <ns0:v>13</ns0:v>
      </ns0:c>
      <ns0:c r="G48" s="17" t="n">
        <ns0:v>39</ns0:v>
      </ns0:c>
      <ns0:c r="H48" s="17" t="n">
        <ns0:v>16</ns0:v>
      </ns0:c>
      <ns0:c r="I48" s="16" t="n">
        <ns0:v>0.25</ns0:v>
      </ns0:c>
      <ns0:c r="J48" s="16" t="n">
        <ns0:v>0.4482758620689655</ns0:v>
      </ns0:c>
      <ns0:c r="K48" s="16" t="n">
        <ns0:v>0.3209876543209876</ns0:v>
      </ns0:c>
    </ns0:row>
    <ns0:row r="49" ht="32" customHeight="1">
      <ns0:c r="A49" s="12" t="inlineStr">
        <ns0:is>
          <ns0:t>room0</ns0:t>
        </ns0:is>
      </ns0:c>
      <ns0:c r="B49" s="12" t="inlineStr">
        <ns0:is>
          <ns0:t>TwoRoad bbox读出</ns0:t>
        </ns0:is>
      </ns0:c>
      <ns0:c r="C49" s="16" t="n">
        <ns0:v>0.4559449583694215</ns0:v>
      </ns0:c>
      <ns0:c r="D49" s="17" t="n">
        <ns0:v>73</ns0:v>
      </ns0:c>
      <ns0:c r="E49" s="17" t="n">
        <ns0:v>68</ns0:v>
      </ns0:c>
      <ns0:c r="F49" s="17" t="n">
        <ns0:v>35</ns0:v>
      </ns0:c>
      <ns0:c r="G49" s="17" t="n">
        <ns0:v>40</ns0:v>
      </ns0:c>
      <ns0:c r="H49" s="17" t="n">
        <ns0:v>33</ns0:v>
      </ns0:c>
      <ns0:c r="I49" s="16" t="n">
        <ns0:v>0.4666666666666667</ns0:v>
      </ns0:c>
      <ns0:c r="J49" s="16" t="n">
        <ns0:v>0.5147058823529411</ns0:v>
      </ns0:c>
      <ns0:c r="K49" s="16" t="n">
        <ns0:v>0.4895104895104895</ns0:v>
      </ns0:c>
    </ns0:row>
    <ns0:row r="50" ht="28" customHeight="1">
      <ns0:c r="A50" s="21" t="inlineStr">
        <ns0:is>
          <ns0:t>room1</ns0:t>
        </ns0:is>
      </ns0:c>
      <ns0:c r="B50" s="21" t="inlineStr">
        <ns0:is>
          <ns0:t>v7_CLIP_v3</ns0:t>
        </ns0:is>
      </ns0:c>
      <ns0:c r="C50" s="22" t="n">
        <ns0:v>0.3976670263994156</ns0:v>
      </ns0:c>
      <ns0:c r="D50" s="21" t="n">
        <ns0:v>45</ns0:v>
      </ns0:c>
      <ns0:c r="E50" s="21" t="n">
        <ns0:v>40</ns0:v>
      </ns0:c>
      <ns0:c r="F50" s="21" t="n">
        <ns0:v>16</ns0:v>
      </ns0:c>
      <ns0:c r="G50" s="21" t="n">
        <ns0:v>35</ns0:v>
      </ns0:c>
      <ns0:c r="H50" s="21" t="n">
        <ns0:v>24</ns0:v>
      </ns0:c>
      <ns0:c r="I50" s="22" t="n">
        <ns0:v>0.3137254901960784</ns0:v>
      </ns0:c>
      <ns0:c r="J50" s="22" t="n">
        <ns0:v>0.4</ns0:v>
      </ns0:c>
      <ns0:c r="K50" s="22" t="n">
        <ns0:v>0.3516483516483517</ns0:v>
      </ns0:c>
    </ns0:row>
    <ns0:row r="51" ht="28" customHeight="1">
      <ns0:c r="A51" s="5" t="inlineStr">
        <ns0:is>
          <ns0:t>room2</ns0:t>
        </ns0:is>
      </ns0:c>
      <ns0:c r="B51" s="5" t="inlineStr">
        <ns0:is>
          <ns0:t>v7_CLIP_v3</ns0:t>
        </ns0:is>
      </ns0:c>
      <ns0:c r="C51" s="6" t="n">
        <ns0:v>0.3238137065362277</ns0:v>
      </ns0:c>
      <ns0:c r="D51" s="5" t="n">
        <ns0:v>52</ns0:v>
      </ns0:c>
      <ns0:c r="E51" s="5" t="n">
        <ns0:v>47</ns0:v>
      </ns0:c>
      <ns0:c r="F51" s="5" t="n">
        <ns0:v>17</ns0:v>
      </ns0:c>
      <ns0:c r="G51" s="5" t="n">
        <ns0:v>34</ns0:v>
      </ns0:c>
      <ns0:c r="H51" s="5" t="n">
        <ns0:v>30</ns0:v>
      </ns0:c>
      <ns0:c r="I51" s="6" t="n">
        <ns0:v>0.3333333333333333</ns0:v>
      </ns0:c>
      <ns0:c r="J51" s="6" t="n">
        <ns0:v>0.3617021276595745</ns0:v>
      </ns0:c>
      <ns0:c r="K51" s="6" t="n">
        <ns0:v>0.3469387755102041</ns0:v>
      </ns0:c>
    </ns0:row>
    <ns0:row r="52" ht="28" customHeight="1">
      <ns0:c r="A52" s="21" t="inlineStr">
        <ns0:is>
          <ns0:t>office0</ns0:t>
        </ns0:is>
      </ns0:c>
      <ns0:c r="B52" s="21" t="inlineStr">
        <ns0:is>
          <ns0:t>v7_CLIP_v3</ns0:t>
        </ns0:is>
      </ns0:c>
      <ns0:c r="C52" s="22" t="n">
        <ns0:v>0.4057677166647506</ns0:v>
      </ns0:c>
      <ns0:c r="D52" s="21" t="n">
        <ns0:v>34</ns0:v>
      </ns0:c>
      <ns0:c r="E52" s="21" t="n">
        <ns0:v>26</ns0:v>
      </ns0:c>
      <ns0:c r="F52" s="21" t="n">
        <ns0:v>10</ns0:v>
      </ns0:c>
      <ns0:c r="G52" s="21" t="n">
        <ns0:v>34</ns0:v>
      </ns0:c>
      <ns0:c r="H52" s="21" t="n">
        <ns0:v>16</ns0:v>
      </ns0:c>
      <ns0:c r="I52" s="22" t="n">
        <ns0:v>0.2272727272727273</ns0:v>
      </ns0:c>
      <ns0:c r="J52" s="22" t="n">
        <ns0:v>0.3846153846153846</ns0:v>
      </ns0:c>
      <ns0:c r="K52" s="22" t="n">
        <ns0:v>0.2857142857142857</ns0:v>
      </ns0:c>
    </ns0:row>
    <ns0:row r="53" ht="28" customHeight="1">
      <ns0:c r="A53" s="5" t="inlineStr">
        <ns0:is>
          <ns0:t>office1</ns0:t>
        </ns0:is>
      </ns0:c>
      <ns0:c r="B53" s="5" t="inlineStr">
        <ns0:is>
          <ns0:t>v7_CLIP_v3</ns0:t>
        </ns0:is>
      </ns0:c>
      <ns0:c r="C53" s="6" t="n">
        <ns0:v>0.490956561282533</ns0:v>
      </ns0:c>
      <ns0:c r="D53" s="5" t="n">
        <ns0:v>28</ns0:v>
      </ns0:c>
      <ns0:c r="E53" s="5" t="n">
        <ns0:v>25</ns0:v>
      </ns0:c>
      <ns0:c r="F53" s="5" t="n">
        <ns0:v>15</ns0:v>
      </ns0:c>
      <ns0:c r="G53" s="5" t="n">
        <ns0:v>19</ns0:v>
      </ns0:c>
      <ns0:c r="H53" s="5" t="n">
        <ns0:v>10</ns0:v>
      </ns0:c>
      <ns0:c r="I53" s="6" t="n">
        <ns0:v>0.4411764705882353</ns0:v>
      </ns0:c>
      <ns0:c r="J53" s="6" t="n">
        <ns0:v>0.6</ns0:v>
      </ns0:c>
      <ns0:c r="K53" s="6" t="n">
        <ns0:v>0.5084745762711864</ns0:v>
      </ns0:c>
    </ns0:row>
    <ns0:row r="54" ht="28" customHeight="1">
      <ns0:c r="A54" s="21" t="inlineStr">
        <ns0:is>
          <ns0:t>office2</ns0:t>
        </ns0:is>
      </ns0:c>
      <ns0:c r="B54" s="21" t="inlineStr">
        <ns0:is>
          <ns0:t>v7_CLIP_v3</ns0:t>
        </ns0:is>
      </ns0:c>
      <ns0:c r="C54" s="22" t="n">
        <ns0:v>0.4548285055957306</ns0:v>
      </ns0:c>
      <ns0:c r="D54" s="21" t="n">
        <ns0:v>43</ns0:v>
      </ns0:c>
      <ns0:c r="E54" s="21" t="n">
        <ns0:v>40</ns0:v>
      </ns0:c>
      <ns0:c r="F54" s="21" t="n">
        <ns0:v>18</ns0:v>
      </ns0:c>
      <ns0:c r="G54" s="21" t="n">
        <ns0:v>39</ns0:v>
      </ns0:c>
      <ns0:c r="H54" s="21" t="n">
        <ns0:v>22</ns0:v>
      </ns0:c>
      <ns0:c r="I54" s="22" t="n">
        <ns0:v>0.3157894736842105</ns0:v>
      </ns0:c>
      <ns0:c r="J54" s="22" t="n">
        <ns0:v>0.45</ns0:v>
      </ns0:c>
      <ns0:c r="K54" s="22" t="n">
        <ns0:v>0.3711340206185567</ns0:v>
      </ns0:c>
    </ns0:row>
    <ns0:row r="55" ht="42" customHeight="1">
      <ns0:c r="A55" s="21" t="inlineStr">
        <ns0:is>
          <ns0:t>room0</ns0:t>
        </ns0:is>
      </ns0:c>
      <ns0:c r="B55" s="21" t="inlineStr">
        <ns0:is>
          <ns0:t>A ali-my bff233f</ns0:t>
        </ns0:is>
      </ns0:c>
      <ns0:c r="C55" s="22" t="n">
        <ns0:v>0.3396711791487467</ns0:v>
      </ns0:c>
      <ns0:c r="D55" s="21" t="n">
        <ns0:v>73</ns0:v>
      </ns0:c>
      <ns0:c r="E55" s="21" t="n">
        <ns0:v>68</ns0:v>
      </ns0:c>
      <ns0:c r="F55" s="21" t="n">
        <ns0:v>28</ns0:v>
      </ns0:c>
      <ns0:c r="G55" s="21" t="n">
        <ns0:v>36</ns0:v>
      </ns0:c>
      <ns0:c r="H55" s="21" t="n">
        <ns0:v>40</ns0:v>
      </ns0:c>
      <ns0:c r="I55" s="22" t="n">
        <ns0:v>0.4375</ns0:v>
      </ns0:c>
      <ns0:c r="J55" s="22" t="n">
        <ns0:v>0.4117647058823529</ns0:v>
      </ns0:c>
      <ns0:c r="K55" s="22" t="n">
        <ns0:v>0.4242424242424243</ns0:v>
      </ns0:c>
    </ns0:row>
    <ns0:row r="56" ht="42" customHeight="1">
      <ns0:c r="A56" s="21" t="inlineStr">
        <ns0:is>
          <ns0:t>room0</ns0:t>
        </ns0:is>
      </ns0:c>
      <ns0:c r="B56" s="21" t="inlineStr">
        <ns0:is>
          <ns0:t>B 原图（无VLM）</ns0:t>
        </ns0:is>
      </ns0:c>
      <ns0:c r="C56" s="22" t="n">
        <ns0:v>0.4442065123372826</ns0:v>
      </ns0:c>
      <ns0:c r="D56" s="21" t="n">
        <ns0:v>73</ns0:v>
      </ns0:c>
      <ns0:c r="E56" s="21" t="n">
        <ns0:v>68</ns0:v>
      </ns0:c>
      <ns0:c r="F56" s="21" t="n">
        <ns0:v>34</ns0:v>
      </ns0:c>
      <ns0:c r="G56" s="21" t="n">
        <ns0:v>47</ns0:v>
      </ns0:c>
      <ns0:c r="H56" s="21" t="n">
        <ns0:v>34</ns0:v>
      </ns0:c>
      <ns0:c r="I56" s="22" t="n">
        <ns0:v>0.4197530864197531</ns0:v>
      </ns0:c>
      <ns0:c r="J56" s="22" t="n">
        <ns0:v>0.5</ns0:v>
      </ns0:c>
      <ns0:c r="K56" s="22" t="n">
        <ns0:v>0.4563758389261745</ns0:v>
      </ns0:c>
    </ns0:row>
    <ns0:row r="57" ht="42" customHeight="1">
      <ns0:c r="A57" s="21" t="inlineStr">
        <ns0:is>
          <ns0:t>room0</ns0:t>
        </ns0:is>
      </ns0:c>
      <ns0:c r="B57" s="21" t="inlineStr">
        <ns0:is>
          <ns0:t>C 原图+CLIP（无VLM）</ns0:t>
        </ns0:is>
      </ns0:c>
      <ns0:c r="C57" s="22" t="n">
        <ns0:v>0.4447485047002728</ns0:v>
      </ns0:c>
      <ns0:c r="D57" s="21" t="n">
        <ns0:v>73</ns0:v>
      </ns0:c>
      <ns0:c r="E57" s="21" t="n">
        <ns0:v>68</ns0:v>
      </ns0:c>
      <ns0:c r="F57" s="21" t="n">
        <ns0:v>34</ns0:v>
      </ns0:c>
      <ns0:c r="G57" s="21" t="n">
        <ns0:v>45</ns0:v>
      </ns0:c>
      <ns0:c r="H57" s="21" t="n">
        <ns0:v>34</ns0:v>
      </ns0:c>
      <ns0:c r="I57" s="22" t="n">
        <ns0:v>0.4303797468354431</ns0:v>
      </ns0:c>
      <ns0:c r="J57" s="22" t="n">
        <ns0:v>0.5</ns0:v>
      </ns0:c>
      <ns0:c r="K57" s="22" t="n">
        <ns0:v>0.4625850340136055</ns0:v>
      </ns0:c>
    </ns0:row>
    <ns0:row r="58" ht="42" customHeight="1">
      <ns0:c r="A58" s="21" t="inlineStr">
        <ns0:is>
          <ns0:t>room1</ns0:t>
        </ns0:is>
      </ns0:c>
      <ns0:c r="B58" s="21" t="inlineStr">
        <ns0:is>
          <ns0:t>A ali-my bff233f</ns0:t>
        </ns0:is>
      </ns0:c>
      <ns0:c r="C58" s="22" t="n">
        <ns0:v>0.3378023900973664</ns0:v>
      </ns0:c>
      <ns0:c r="D58" s="21" t="n">
        <ns0:v>45</ns0:v>
      </ns0:c>
      <ns0:c r="E58" s="21" t="n">
        <ns0:v>40</ns0:v>
      </ns0:c>
      <ns0:c r="F58" s="21" t="n">
        <ns0:v>12</ns0:v>
      </ns0:c>
      <ns0:c r="G58" s="21" t="n">
        <ns0:v>38</ns0:v>
      </ns0:c>
      <ns0:c r="H58" s="21" t="n">
        <ns0:v>28</ns0:v>
      </ns0:c>
      <ns0:c r="I58" s="22" t="n">
        <ns0:v>0.24</ns0:v>
      </ns0:c>
      <ns0:c r="J58" s="22" t="n">
        <ns0:v>0.3</ns0:v>
      </ns0:c>
      <ns0:c r="K58" s="22" t="n">
        <ns0:v>0.2666666666666667</ns0:v>
      </ns0:c>
    </ns0:row>
    <ns0:row r="59" ht="42" customHeight="1">
      <ns0:c r="A59" s="21" t="inlineStr">
        <ns0:is>
          <ns0:t>room1</ns0:t>
        </ns0:is>
      </ns0:c>
      <ns0:c r="B59" s="21" t="inlineStr">
        <ns0:is>
          <ns0:t>B 原图（无VLM）</ns0:t>
        </ns0:is>
      </ns0:c>
      <ns0:c r="C59" s="22" t="n">
        <ns0:v>0.3674777456305733</ns0:v>
      </ns0:c>
      <ns0:c r="D59" s="21" t="n">
        <ns0:v>45</ns0:v>
      </ns0:c>
      <ns0:c r="E59" s="21" t="n">
        <ns0:v>40</ns0:v>
      </ns0:c>
      <ns0:c r="F59" s="21" t="n">
        <ns0:v>14</ns0:v>
      </ns0:c>
      <ns0:c r="G59" s="21" t="n">
        <ns0:v>40</ns0:v>
      </ns0:c>
      <ns0:c r="H59" s="21" t="n">
        <ns0:v>26</ns0:v>
      </ns0:c>
      <ns0:c r="I59" s="22" t="n">
        <ns0:v>0.2592592592592592</ns0:v>
      </ns0:c>
      <ns0:c r="J59" s="22" t="n">
        <ns0:v>0.35</ns0:v>
      </ns0:c>
      <ns0:c r="K59" s="22" t="n">
        <ns0:v>0.2978723404255319</ns0:v>
      </ns0:c>
    </ns0:row>
    <ns0:row r="60" ht="42" customHeight="1">
      <ns0:c r="A60" s="21" t="inlineStr">
        <ns0:is>
          <ns0:t>room1</ns0:t>
        </ns0:is>
      </ns0:c>
      <ns0:c r="B60" s="21" t="inlineStr">
        <ns0:is>
          <ns0:t>C 原图+CLIP（无VLM）</ns0:t>
        </ns0:is>
      </ns0:c>
      <ns0:c r="C60" s="22" t="n">
        <ns0:v>0.3687619088693429</ns0:v>
      </ns0:c>
      <ns0:c r="D60" s="21" t="n">
        <ns0:v>45</ns0:v>
      </ns0:c>
      <ns0:c r="E60" s="21" t="n">
        <ns0:v>40</ns0:v>
      </ns0:c>
      <ns0:c r="F60" s="21" t="n">
        <ns0:v>14</ns0:v>
      </ns0:c>
      <ns0:c r="G60" s="21" t="n">
        <ns0:v>35</ns0:v>
      </ns0:c>
      <ns0:c r="H60" s="21" t="n">
        <ns0:v>26</ns0:v>
      </ns0:c>
      <ns0:c r="I60" s="22" t="n">
        <ns0:v>0.2857142857142857</ns0:v>
      </ns0:c>
      <ns0:c r="J60" s="22" t="n">
        <ns0:v>0.35</ns0:v>
      </ns0:c>
      <ns0:c r="K60" s="22" t="n">
        <ns0:v>0.3146067415730337</ns0:v>
      </ns0:c>
    </ns0:row>
    <ns0:row r="61" ht="42" customHeight="1">
      <ns0:c r="A61" s="21" t="inlineStr">
        <ns0:is>
          <ns0:t>room2</ns0:t>
        </ns0:is>
      </ns0:c>
      <ns0:c r="B61" s="21" t="inlineStr">
        <ns0:is>
          <ns0:t>A ali-my bff233f</ns0:t>
        </ns0:is>
      </ns0:c>
      <ns0:c r="C61" s="22" t="n">
        <ns0:v>0.2477284125174392</ns0:v>
      </ns0:c>
      <ns0:c r="D61" s="21" t="n">
        <ns0:v>52</ns0:v>
      </ns0:c>
      <ns0:c r="E61" s="21" t="n">
        <ns0:v>47</ns0:v>
      </ns0:c>
      <ns0:c r="F61" s="21" t="n">
        <ns0:v>12</ns0:v>
      </ns0:c>
      <ns0:c r="G61" s="21" t="n">
        <ns0:v>36</ns0:v>
      </ns0:c>
      <ns0:c r="H61" s="21" t="n">
        <ns0:v>35</ns0:v>
      </ns0:c>
      <ns0:c r="I61" s="22" t="n">
        <ns0:v>0.25</ns0:v>
      </ns0:c>
      <ns0:c r="J61" s="22" t="n">
        <ns0:v>0.2553191489361702</ns0:v>
      </ns0:c>
      <ns0:c r="K61" s="22" t="n">
        <ns0:v>0.2526315789473684</ns0:v>
      </ns0:c>
    </ns0:row>
    <ns0:row r="62" ht="42" customHeight="1">
      <ns0:c r="A62" s="21" t="inlineStr">
        <ns0:is>
          <ns0:t>room2</ns0:t>
        </ns0:is>
      </ns0:c>
      <ns0:c r="B62" s="21" t="inlineStr">
        <ns0:is>
          <ns0:t>B 原图（无VLM）</ns0:t>
        </ns0:is>
      </ns0:c>
      <ns0:c r="C62" s="22" t="n">
        <ns0:v>0.3033128570814459</ns0:v>
      </ns0:c>
      <ns0:c r="D62" s="21" t="n">
        <ns0:v>52</ns0:v>
      </ns0:c>
      <ns0:c r="E62" s="21" t="n">
        <ns0:v>47</ns0:v>
      </ns0:c>
      <ns0:c r="F62" s="21" t="n">
        <ns0:v>14</ns0:v>
      </ns0:c>
      <ns0:c r="G62" s="21" t="n">
        <ns0:v>44</ns0:v>
      </ns0:c>
      <ns0:c r="H62" s="21" t="n">
        <ns0:v>33</ns0:v>
      </ns0:c>
      <ns0:c r="I62" s="22" t="n">
        <ns0:v>0.2413793103448276</ns0:v>
      </ns0:c>
      <ns0:c r="J62" s="22" t="n">
        <ns0:v>0.2978723404255319</ns0:v>
      </ns0:c>
      <ns0:c r="K62" s="22" t="n">
        <ns0:v>0.2666666666666667</ns0:v>
      </ns0:c>
    </ns0:row>
    <ns0:row r="63" ht="42" customHeight="1">
      <ns0:c r="A63" s="21" t="inlineStr">
        <ns0:is>
          <ns0:t>room2</ns0:t>
        </ns0:is>
      </ns0:c>
      <ns0:c r="B63" s="21" t="inlineStr">
        <ns0:is>
          <ns0:t>C 原图+CLIP（无VLM）</ns0:t>
        </ns0:is>
      </ns0:c>
      <ns0:c r="C63" s="22" t="n">
        <ns0:v>0.2973787170672515</ns0:v>
      </ns0:c>
      <ns0:c r="D63" s="21" t="n">
        <ns0:v>52</ns0:v>
      </ns0:c>
      <ns0:c r="E63" s="21" t="n">
        <ns0:v>47</ns0:v>
      </ns0:c>
      <ns0:c r="F63" s="21" t="n">
        <ns0:v>14</ns0:v>
      </ns0:c>
      <ns0:c r="G63" s="21" t="n">
        <ns0:v>42</ns0:v>
      </ns0:c>
      <ns0:c r="H63" s="21" t="n">
        <ns0:v>33</ns0:v>
      </ns0:c>
      <ns0:c r="I63" s="22" t="n">
        <ns0:v>0.25</ns0:v>
      </ns0:c>
      <ns0:c r="J63" s="22" t="n">
        <ns0:v>0.2978723404255319</ns0:v>
      </ns0:c>
      <ns0:c r="K63" s="22" t="n">
        <ns0:v>0.2718446601941747</ns0:v>
      </ns0:c>
    </ns0:row>
    <ns0:row r="64" ht="42" customHeight="1">
      <ns0:c r="A64" s="21" t="inlineStr">
        <ns0:is>
          <ns0:t>office0</ns0:t>
        </ns0:is>
      </ns0:c>
      <ns0:c r="B64" s="21" t="inlineStr">
        <ns0:is>
          <ns0:t>A ali-my bff233f</ns0:t>
        </ns0:is>
      </ns0:c>
      <ns0:c r="C64" s="22" t="n">
        <ns0:v>0.3539959558021713</ns0:v>
      </ns0:c>
      <ns0:c r="D64" s="21" t="n">
        <ns0:v>34</ns0:v>
      </ns0:c>
      <ns0:c r="E64" s="21" t="n">
        <ns0:v>26</ns0:v>
      </ns0:c>
      <ns0:c r="F64" s="21" t="n">
        <ns0:v>9</ns0:v>
      </ns0:c>
      <ns0:c r="G64" s="21" t="n">
        <ns0:v>24</ns0:v>
      </ns0:c>
      <ns0:c r="H64" s="21" t="n">
        <ns0:v>17</ns0:v>
      </ns0:c>
      <ns0:c r="I64" s="22" t="n">
        <ns0:v>0.2727272727272727</ns0:v>
      </ns0:c>
      <ns0:c r="J64" s="22" t="n">
        <ns0:v>0.3461538461538461</ns0:v>
      </ns0:c>
      <ns0:c r="K64" s="22" t="n">
        <ns0:v>0.3050847457627119</ns0:v>
      </ns0:c>
    </ns0:row>
    <ns0:row r="65" ht="42" customHeight="1">
      <ns0:c r="A65" s="21" t="inlineStr">
        <ns0:is>
          <ns0:t>office0</ns0:t>
        </ns0:is>
      </ns0:c>
      <ns0:c r="B65" s="21" t="inlineStr">
        <ns0:is>
          <ns0:t>B 原图（无VLM）</ns0:t>
        </ns0:is>
      </ns0:c>
      <ns0:c r="C65" s="22" t="n">
        <ns0:v>0.3935513577215573</ns0:v>
      </ns0:c>
      <ns0:c r="D65" s="21" t="n">
        <ns0:v>34</ns0:v>
      </ns0:c>
      <ns0:c r="E65" s="21" t="n">
        <ns0:v>26</ns0:v>
      </ns0:c>
      <ns0:c r="F65" s="21" t="n">
        <ns0:v>10</ns0:v>
      </ns0:c>
      <ns0:c r="G65" s="21" t="n">
        <ns0:v>39</ns0:v>
      </ns0:c>
      <ns0:c r="H65" s="21" t="n">
        <ns0:v>16</ns0:v>
      </ns0:c>
      <ns0:c r="I65" s="22" t="n">
        <ns0:v>0.2040816326530612</ns0:v>
      </ns0:c>
      <ns0:c r="J65" s="22" t="n">
        <ns0:v>0.3846153846153846</ns0:v>
      </ns0:c>
      <ns0:c r="K65" s="22" t="n">
        <ns0:v>0.2666666666666667</ns0:v>
      </ns0:c>
    </ns0:row>
    <ns0:row r="66" ht="42" customHeight="1">
      <ns0:c r="A66" s="21" t="inlineStr">
        <ns0:is>
          <ns0:t>office0</ns0:t>
        </ns0:is>
      </ns0:c>
      <ns0:c r="B66" s="21" t="inlineStr">
        <ns0:is>
          <ns0:t>C 原图+CLIP（无VLM）</ns0:t>
        </ns0:is>
      </ns0:c>
      <ns0:c r="C66" s="22" t="n">
        <ns0:v>0.387674911185089</ns0:v>
      </ns0:c>
      <ns0:c r="D66" s="21" t="n">
        <ns0:v>34</ns0:v>
      </ns0:c>
      <ns0:c r="E66" s="21" t="n">
        <ns0:v>26</ns0:v>
      </ns0:c>
      <ns0:c r="F66" s="21" t="n">
        <ns0:v>10</ns0:v>
      </ns0:c>
      <ns0:c r="G66" s="21" t="n">
        <ns0:v>34</ns0:v>
      </ns0:c>
      <ns0:c r="H66" s="21" t="n">
        <ns0:v>16</ns0:v>
      </ns0:c>
      <ns0:c r="I66" s="22" t="n">
        <ns0:v>0.2272727272727273</ns0:v>
      </ns0:c>
      <ns0:c r="J66" s="22" t="n">
        <ns0:v>0.3846153846153846</ns0:v>
      </ns0:c>
      <ns0:c r="K66" s="22" t="n">
        <ns0:v>0.2857142857142857</ns0:v>
      </ns0:c>
    </ns0:row>
    <ns0:row r="67" ht="42" customHeight="1">
      <ns0:c r="A67" s="21" t="inlineStr">
        <ns0:is>
          <ns0:t>office1</ns0:t>
        </ns0:is>
      </ns0:c>
      <ns0:c r="B67" s="21" t="inlineStr">
        <ns0:is>
          <ns0:t>A ali-my bff233f</ns0:t>
        </ns0:is>
      </ns0:c>
      <ns0:c r="C67" s="22" t="n">
        <ns0:v>0.369723833746493</ns0:v>
      </ns0:c>
      <ns0:c r="D67" s="21" t="n">
        <ns0:v>28</ns0:v>
      </ns0:c>
      <ns0:c r="E67" s="21" t="n">
        <ns0:v>25</ns0:v>
      </ns0:c>
      <ns0:c r="F67" s="21" t="n">
        <ns0:v>12</ns0:v>
      </ns0:c>
      <ns0:c r="G67" s="21" t="n">
        <ns0:v>13</ns0:v>
      </ns0:c>
      <ns0:c r="H67" s="21" t="n">
        <ns0:v>13</ns0:v>
      </ns0:c>
      <ns0:c r="I67" s="22" t="n">
        <ns0:v>0.48</ns0:v>
      </ns0:c>
      <ns0:c r="J67" s="22" t="n">
        <ns0:v>0.48</ns0:v>
      </ns0:c>
      <ns0:c r="K67" s="22" t="n">
        <ns0:v>0.48</ns0:v>
      </ns0:c>
    </ns0:row>
    <ns0:row r="68" ht="42" customHeight="1">
      <ns0:c r="A68" s="21" t="inlineStr">
        <ns0:is>
          <ns0:t>office1</ns0:t>
        </ns0:is>
      </ns0:c>
      <ns0:c r="B68" s="21" t="inlineStr">
        <ns0:is>
          <ns0:t>B 原图（无VLM）</ns0:t>
        </ns0:is>
      </ns0:c>
      <ns0:c r="C68" s="22" t="n">
        <ns0:v>0.4730950872858384</ns0:v>
      </ns0:c>
      <ns0:c r="D68" s="21" t="n">
        <ns0:v>28</ns0:v>
      </ns0:c>
      <ns0:c r="E68" s="21" t="n">
        <ns0:v>25</ns0:v>
      </ns0:c>
      <ns0:c r="F68" s="21" t="n">
        <ns0:v>15</ns0:v>
      </ns0:c>
      <ns0:c r="G68" s="21" t="n">
        <ns0:v>16</ns0:v>
      </ns0:c>
      <ns0:c r="H68" s="21" t="n">
        <ns0:v>10</ns0:v>
      </ns0:c>
      <ns0:c r="I68" s="22" t="n">
        <ns0:v>0.4838709677419355</ns0:v>
      </ns0:c>
      <ns0:c r="J68" s="22" t="n">
        <ns0:v>0.6</ns0:v>
      </ns0:c>
      <ns0:c r="K68" s="22" t="n">
        <ns0:v>0.5357142857142857</ns0:v>
      </ns0:c>
    </ns0:row>
    <ns0:row r="69" ht="42" customHeight="1">
      <ns0:c r="A69" s="21" t="inlineStr">
        <ns0:is>
          <ns0:t>office1</ns0:t>
        </ns0:is>
      </ns0:c>
      <ns0:c r="B69" s="21" t="inlineStr">
        <ns0:is>
          <ns0:t>C 原图+CLIP（无VLM）</ns0:t>
        </ns0:is>
      </ns0:c>
      <ns0:c r="C69" s="22" t="n">
        <ns0:v>0.473088828253871</ns0:v>
      </ns0:c>
      <ns0:c r="D69" s="21" t="n">
        <ns0:v>28</ns0:v>
      </ns0:c>
      <ns0:c r="E69" s="21" t="n">
        <ns0:v>25</ns0:v>
      </ns0:c>
      <ns0:c r="F69" s="21" t="n">
        <ns0:v>15</ns0:v>
      </ns0:c>
      <ns0:c r="G69" s="21" t="n">
        <ns0:v>16</ns0:v>
      </ns0:c>
      <ns0:c r="H69" s="21" t="n">
        <ns0:v>10</ns0:v>
      </ns0:c>
      <ns0:c r="I69" s="22" t="n">
        <ns0:v>0.4838709677419355</ns0:v>
      </ns0:c>
      <ns0:c r="J69" s="22" t="n">
        <ns0:v>0.6</ns0:v>
      </ns0:c>
      <ns0:c r="K69" s="22" t="n">
        <ns0:v>0.5357142857142857</ns0:v>
      </ns0:c>
    </ns0:row>
    <ns0:row r="70" ht="42" customHeight="1">
      <ns0:c r="A70" s="21" t="inlineStr">
        <ns0:is>
          <ns0:t>office2</ns0:t>
        </ns0:is>
      </ns0:c>
      <ns0:c r="B70" s="21" t="inlineStr">
        <ns0:is>
          <ns0:t>A ali-my bff233f</ns0:t>
        </ns0:is>
      </ns0:c>
      <ns0:c r="C70" s="22" t="n">
        <ns0:v>0.2613590032262919</ns0:v>
      </ns0:c>
      <ns0:c r="D70" s="21" t="n">
        <ns0:v>43</ns0:v>
      </ns0:c>
      <ns0:c r="E70" s="21" t="n">
        <ns0:v>40</ns0:v>
      </ns0:c>
      <ns0:c r="F70" s="21" t="n">
        <ns0:v>9</ns0:v>
      </ns0:c>
      <ns0:c r="G70" s="21" t="n">
        <ns0:v>36</ns0:v>
      </ns0:c>
      <ns0:c r="H70" s="21" t="n">
        <ns0:v>31</ns0:v>
      </ns0:c>
      <ns0:c r="I70" s="22" t="n">
        <ns0:v>0.2</ns0:v>
      </ns0:c>
      <ns0:c r="J70" s="22" t="n">
        <ns0:v>0.225</ns0:v>
      </ns0:c>
      <ns0:c r="K70" s="22" t="n">
        <ns0:v>0.2117647058823529</ns0:v>
      </ns0:c>
    </ns0:row>
    <ns0:row r="71" ht="42" customHeight="1">
      <ns0:c r="A71" s="21" t="inlineStr">
        <ns0:is>
          <ns0:t>office2</ns0:t>
        </ns0:is>
      </ns0:c>
      <ns0:c r="B71" s="21" t="inlineStr">
        <ns0:is>
          <ns0:t>B 原图（无VLM）</ns0:t>
        </ns0:is>
      </ns0:c>
      <ns0:c r="C71" s="22" t="n">
        <ns0:v>0.4116639300084007</ns0:v>
      </ns0:c>
      <ns0:c r="D71" s="21" t="n">
        <ns0:v>43</ns0:v>
      </ns0:c>
      <ns0:c r="E71" s="21" t="n">
        <ns0:v>40</ns0:v>
      </ns0:c>
      <ns0:c r="F71" s="21" t="n">
        <ns0:v>17</ns0:v>
      </ns0:c>
      <ns0:c r="G71" s="21" t="n">
        <ns0:v>36</ns0:v>
      </ns0:c>
      <ns0:c r="H71" s="21" t="n">
        <ns0:v>23</ns0:v>
      </ns0:c>
      <ns0:c r="I71" s="22" t="n">
        <ns0:v>0.3207547169811321</ns0:v>
      </ns0:c>
      <ns0:c r="J71" s="22" t="n">
        <ns0:v>0.425</ns0:v>
      </ns0:c>
      <ns0:c r="K71" s="22" t="n">
        <ns0:v>0.3655913978494624</ns0:v>
      </ns0:c>
    </ns0:row>
    <ns0:row r="72" ht="42" customHeight="1">
      <ns0:c r="A72" s="21" t="inlineStr">
        <ns0:is>
          <ns0:t>office2</ns0:t>
        </ns0:is>
      </ns0:c>
      <ns0:c r="B72" s="21" t="inlineStr">
        <ns0:is>
          <ns0:t>C 原图+CLIP（无VLM）</ns0:t>
        </ns0:is>
      </ns0:c>
      <ns0:c r="C72" s="22" t="n">
        <ns0:v>0.4143823440012097</ns0:v>
      </ns0:c>
      <ns0:c r="D72" s="21" t="n">
        <ns0:v>43</ns0:v>
      </ns0:c>
      <ns0:c r="E72" s="21" t="n">
        <ns0:v>40</ns0:v>
      </ns0:c>
      <ns0:c r="F72" s="21" t="n">
        <ns0:v>18</ns0:v>
      </ns0:c>
      <ns0:c r="G72" s="21" t="n">
        <ns0:v>33</ns0:v>
      </ns0:c>
      <ns0:c r="H72" s="21" t="n">
        <ns0:v>22</ns0:v>
      </ns0:c>
      <ns0:c r="I72" s="22" t="n">
        <ns0:v>0.3529411764705883</ns0:v>
      </ns0:c>
      <ns0:c r="J72" s="22" t="n">
        <ns0:v>0.45</ns0:v>
      </ns0:c>
      <ns0:c r="K72" s="22" t="n">
        <ns0:v>0.3956043956043956</ns0:v>
      </ns0:c>
    </ns0:row>
    <ns0:row r="73" ht="42" customHeight="1">
      <ns0:c r="A73" s="21" t="inlineStr">
        <ns0:is>
          <ns0:t>office3</ns0:t>
        </ns0:is>
      </ns0:c>
      <ns0:c r="B73" s="21" t="inlineStr">
        <ns0:is>
          <ns0:t>A ali-my bff233f</ns0:t>
        </ns0:is>
      </ns0:c>
      <ns0:c r="C73" s="22" t="n">
        <ns0:v>0.296658061133688</ns0:v>
      </ns0:c>
      <ns0:c r="D73" s="21" t="n">
        <ns0:v>61</ns0:v>
      </ns0:c>
      <ns0:c r="E73" s="21" t="n">
        <ns0:v>57</ns0:v>
      </ns0:c>
      <ns0:c r="F73" s="21" t="n">
        <ns0:v>17</ns0:v>
      </ns0:c>
      <ns0:c r="G73" s="21" t="n">
        <ns0:v>38</ns0:v>
      </ns0:c>
      <ns0:c r="H73" s="21" t="n">
        <ns0:v>40</ns0:v>
      </ns0:c>
      <ns0:c r="I73" s="22" t="n">
        <ns0:v>0.3090909090909091</ns0:v>
      </ns0:c>
      <ns0:c r="J73" s="22" t="n">
        <ns0:v>0.2982456140350877</ns0:v>
      </ns0:c>
      <ns0:c r="K73" s="22" t="n">
        <ns0:v>0.3035714285714285</ns0:v>
      </ns0:c>
    </ns0:row>
    <ns0:row r="74" ht="42" customHeight="1">
      <ns0:c r="A74" s="21" t="inlineStr">
        <ns0:is>
          <ns0:t>office3</ns0:t>
        </ns0:is>
      </ns0:c>
      <ns0:c r="B74" s="21" t="inlineStr">
        <ns0:is>
          <ns0:t>B 原图（无VLM）</ns0:t>
        </ns0:is>
      </ns0:c>
      <ns0:c r="C74" s="22" t="n">
        <ns0:v>0.4296484986587227</ns0:v>
      </ns0:c>
      <ns0:c r="D74" s="21" t="n">
        <ns0:v>61</ns0:v>
      </ns0:c>
      <ns0:c r="E74" s="21" t="n">
        <ns0:v>57</ns0:v>
      </ns0:c>
      <ns0:c r="F74" s="21" t="n">
        <ns0:v>26</ns0:v>
      </ns0:c>
      <ns0:c r="G74" s="21" t="n">
        <ns0:v>46</ns0:v>
      </ns0:c>
      <ns0:c r="H74" s="21" t="n">
        <ns0:v>31</ns0:v>
      </ns0:c>
      <ns0:c r="I74" s="22" t="n">
        <ns0:v>0.3611111111111111</ns0:v>
      </ns0:c>
      <ns0:c r="J74" s="22" t="n">
        <ns0:v>0.456140350877193</ns0:v>
      </ns0:c>
      <ns0:c r="K74" s="22" t="n">
        <ns0:v>0.4031007751937984</ns0:v>
      </ns0:c>
    </ns0:row>
    <ns0:row r="75" ht="42" customHeight="1">
      <ns0:c r="A75" s="21" t="inlineStr">
        <ns0:is>
          <ns0:t>office3</ns0:t>
        </ns0:is>
      </ns0:c>
      <ns0:c r="B75" s="21" t="inlineStr">
        <ns0:is>
          <ns0:t>C 原图+CLIP（无VLM）</ns0:t>
        </ns0:is>
      </ns0:c>
      <ns0:c r="C75" s="22" t="n">
        <ns0:v>0.4406367182932677</ns0:v>
      </ns0:c>
      <ns0:c r="D75" s="21" t="n">
        <ns0:v>61</ns0:v>
      </ns0:c>
      <ns0:c r="E75" s="21" t="n">
        <ns0:v>57</ns0:v>
      </ns0:c>
      <ns0:c r="F75" s="21" t="n">
        <ns0:v>28</ns0:v>
      </ns0:c>
      <ns0:c r="G75" s="21" t="n">
        <ns0:v>35</ns0:v>
      </ns0:c>
      <ns0:c r="H75" s="21" t="n">
        <ns0:v>29</ns0:v>
      </ns0:c>
      <ns0:c r="I75" s="22" t="n">
        <ns0:v>0.4444444444444444</ns0:v>
      </ns0:c>
      <ns0:c r="J75" s="22" t="n">
        <ns0:v>0.4912280701754386</ns0:v>
      </ns0:c>
      <ns0:c r="K75" s="22" t="n">
        <ns0:v>0.4666666666666667</ns0:v>
      </ns0:c>
    </ns0:row>
    <ns0:row r="76" ht="42" customHeight="1">
      <ns0:c r="A76" s="21" t="inlineStr">
        <ns0:is>
          <ns0:t>office4</ns0:t>
        </ns0:is>
      </ns0:c>
      <ns0:c r="B76" s="21" t="inlineStr">
        <ns0:is>
          <ns0:t>A ali-my bff233f</ns0:t>
        </ns0:is>
      </ns0:c>
      <ns0:c r="C76" s="22" t="n">
        <ns0:v>0.4214368378073216</ns0:v>
      </ns0:c>
      <ns0:c r="D76" s="21" t="n">
        <ns0:v>31</ns0:v>
      </ns0:c>
      <ns0:c r="E76" s="21" t="n">
        <ns0:v>29</ns0:v>
      </ns0:c>
      <ns0:c r="F76" s="21" t="n">
        <ns0:v>11</ns0:v>
      </ns0:c>
      <ns0:c r="G76" s="21" t="n">
        <ns0:v>31</ns0:v>
      </ns0:c>
      <ns0:c r="H76" s="21" t="n">
        <ns0:v>18</ns0:v>
      </ns0:c>
      <ns0:c r="I76" s="22" t="n">
        <ns0:v>0.2619047619047619</ns0:v>
      </ns0:c>
      <ns0:c r="J76" s="22" t="n">
        <ns0:v>0.3793103448275862</ns0:v>
      </ns0:c>
      <ns0:c r="K76" s="22" t="n">
        <ns0:v>0.3098591549295774</ns0:v>
      </ns0:c>
    </ns0:row>
    <ns0:row r="77" ht="42" customHeight="1">
      <ns0:c r="A77" s="21" t="inlineStr">
        <ns0:is>
          <ns0:t>office4</ns0:t>
        </ns0:is>
      </ns0:c>
      <ns0:c r="B77" s="21" t="inlineStr">
        <ns0:is>
          <ns0:t>B 原图（无VLM）</ns0:t>
        </ns0:is>
      </ns0:c>
      <ns0:c r="C77" s="22" t="n">
        <ns0:v>0.4857355398227721</ns0:v>
      </ns0:c>
      <ns0:c r="D77" s="21" t="n">
        <ns0:v>31</ns0:v>
      </ns0:c>
      <ns0:c r="E77" s="21" t="n">
        <ns0:v>29</ns0:v>
      </ns0:c>
      <ns0:c r="F77" s="21" t="n">
        <ns0:v>13</ns0:v>
      </ns0:c>
      <ns0:c r="G77" s="21" t="n">
        <ns0:v>45</ns0:v>
      </ns0:c>
      <ns0:c r="H77" s="21" t="n">
        <ns0:v>16</ns0:v>
      </ns0:c>
      <ns0:c r="I77" s="22" t="n">
        <ns0:v>0.2241379310344828</ns0:v>
      </ns0:c>
      <ns0:c r="J77" s="22" t="n">
        <ns0:v>0.4482758620689655</ns0:v>
      </ns0:c>
      <ns0:c r="K77" s="22" t="n">
        <ns0:v>0.2988505747126437</ns0:v>
      </ns0:c>
    </ns0:row>
    <ns0:row r="78" ht="42" customHeight="1">
      <ns0:c r="A78" s="21" t="inlineStr">
        <ns0:is>
          <ns0:t>office4</ns0:t>
        </ns0:is>
      </ns0:c>
      <ns0:c r="B78" s="21" t="inlineStr">
        <ns0:is>
          <ns0:t>C 原图+CLIP（无VLM）</ns0:t>
        </ns0:is>
      </ns0:c>
      <ns0:c r="C78" s="22" t="n">
        <ns0:v>0.5042055922751295</ns0:v>
      </ns0:c>
      <ns0:c r="D78" s="21" t="n">
        <ns0:v>31</ns0:v>
      </ns0:c>
      <ns0:c r="E78" s="21" t="n">
        <ns0:v>29</ns0:v>
      </ns0:c>
      <ns0:c r="F78" s="21" t="n">
        <ns0:v>13</ns0:v>
      </ns0:c>
      <ns0:c r="G78" s="21" t="n">
        <ns0:v>39</ns0:v>
      </ns0:c>
      <ns0:c r="H78" s="21" t="n">
        <ns0:v>16</ns0:v>
      </ns0:c>
      <ns0:c r="I78" s="22" t="n">
        <ns0:v>0.25</ns0:v>
      </ns0:c>
      <ns0:c r="J78" s="22" t="n">
        <ns0:v>0.4482758620689655</ns0:v>
      </ns0:c>
      <ns0:c r="K78" s="22" t="n">
        <ns0:v>0.3209876543209876</ns0:v>
      </ns0:c>
    </ns0:row>
  </ns0:sheetData>
  <ns0:autoFilter ref="A4:K78"/>
  <ns0:mergeCells count="2">
    <ns0:mergeCell ref="A2:K2"/>
    <ns0:mergeCell ref="A1:K1"/>
  </ns0:mergeCells>
  <ns0:pageMargins left="0.75" right="0.75" top="1" bottom="1" header="0.5" footer="0.5"/>
  <ns0:pageSetup orientation="landscape" paperSize="8" fitToHeight="0" fitToWidth="1"/>
  <ns0:rowBreaks count="1" manualBreakCount="1">
    <ns0:brk id="21" min="0" max="16383" man="1"/>
  </ns0:rowBreaks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H78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3" customWidth="1" min="2" max="2"/>
    <ns0:col width="14" customWidth="1" min="3" max="3"/>
    <ns0:col width="20" customWidth="1" min="4" max="4"/>
    <ns0:col width="23" customWidth="1" min="5" max="5"/>
    <ns0:col width="22" customWidth="1" min="6" max="6"/>
    <ns0:col width="20" customWidth="1" min="7" max="7"/>
    <ns0:col width="22" customWidth="1" min="8" max="8"/>
  </ns0:cols>
  <ns0:sheetData>
    <ns0:row r="1" ht="30" customHeight="1">
      <ns0:c r="A1" s="1" t="inlineStr">
        <ns0:is>
          <ns0:t>原始运行成本与本次评估耗时</ns0:t>
        </ns0:is>
      </ns0:c>
    </ns0:row>
    <ns0:row r="2" ht="30" customHeight="1">
      <ns0:c r="A2" s="1" t="inlineStr">
        <ns0:is>
          <ns0:t>运行成本保留旧运行证据；本次只重评估。OVI 查询为 SigLIP，其余为生成式 HTTP 请求，含重试口径。</ns0:t>
        </ns0:is>
      </ns0:c>
    </ns0:row>
    <ns0:row r="3"/>
    <ns0:row r="4" ht="38" customHeight="1">
      <ns0:c r="A4" s="2" t="inlineStr">
        <ns0:is>
          <ns0:t>场景</ns0:t>
        </ns0:is>
      </ns0:c>
      <ns0:c r="B4" s="2" t="inlineStr">
        <ns0:is>
          <ns0:t>方法</ns0:t>
        </ns0:is>
      </ns0:c>
      <ns0:c r="C4" s="2" t="inlineStr">
        <ns0:is>
          <ns0:t>采样帧数</ns0:t>
        </ns0:is>
      </ns0:c>
      <ns0:c r="D4" s="2" t="inlineStr">
        <ns0:is>
          <ns0:t>原生查询次数</ns0:t>
        </ns0:is>
      </ns0:c>
      <ns0:c r="E4" s="2" t="inlineStr">
        <ns0:is>
          <ns0:t>记录建图秒数</ns0:t>
        </ns0:is>
      </ns0:c>
      <ns0:c r="F4" s="2" t="inlineStr">
        <ns0:is>
          <ns0:t>记录建图秒/帧</ns0:t>
        </ns0:is>
      </ns0:c>
      <ns0:c r="G4" s="2" t="inlineStr">
        <ns0:is>
          <ns0:t>端到端秒数</ns0:t>
        </ns0:is>
      </ns0:c>
      <ns0:c r="H4" s="2" t="inlineStr">
        <ns0:is>
          <ns0:t>本次评估秒数</ns0:t>
        </ns0:is>
      </ns0:c>
    </ns0:row>
    <ns0:row r="5" ht="28" customHeight="1">
      <ns0:c r="A5" s="3" t="inlineStr">
        <ns0:is>
          <ns0:t>room0</ns0:t>
        </ns0:is>
      </ns0:c>
      <ns0:c r="B5" s="3" t="inlineStr">
        <ns0:is>
          <ns0:t>Baseline_gateoff</ns0:t>
        </ns0:is>
      </ns0:c>
      <ns0:c r="C5" s="3" t="n">
        <ns0:v>400</ns0:v>
      </ns0:c>
      <ns0:c r="D5" s="3" t="n">
        <ns0:v>0</ns0:v>
      </ns0:c>
      <ns0:c r="E5" s="8" t="n">
        <ns0:v>1354.68223</ns0:v>
      </ns0:c>
      <ns0:c r="F5" s="8" t="n">
        <ns0:v>3.386705575</ns0:v>
      </ns0:c>
      <ns0:c r="G5" s="8" t="inlineStr">
        <ns0:is>
          <ns0:t>缺失</ns0:t>
        </ns0:is>
      </ns0:c>
      <ns0:c r="H5" s="8" t="n">
        <ns0:v>31.94946599192917</ns0:v>
      </ns0:c>
    </ns0:row>
    <ns0:row r="6" ht="28" customHeight="1">
      <ns0:c r="A6" s="5" t="inlineStr">
        <ns0:is>
          <ns0:t>room0</ns0:t>
        </ns0:is>
      </ns0:c>
      <ns0:c r="B6" s="5" t="inlineStr">
        <ns0:is>
          <ns0:t>v7_CLIP</ns0:t>
        </ns0:is>
      </ns0:c>
      <ns0:c r="C6" s="5" t="n">
        <ns0:v>400</ns0:v>
      </ns0:c>
      <ns0:c r="D6" s="5" t="n">
        <ns0:v>1692</ns0:v>
      </ns0:c>
      <ns0:c r="E6" s="9" t="n">
        <ns0:v>7894.272715</ns0:v>
      </ns0:c>
      <ns0:c r="F6" s="9" t="n">
        <ns0:v>19.7356817875</ns0:v>
      </ns0:c>
      <ns0:c r="G6" s="9" t="inlineStr">
        <ns0:is>
          <ns0:t>缺失</ns0:t>
        </ns0:is>
      </ns0:c>
      <ns0:c r="H6" s="9" t="n">
        <ns0:v>29.82398789934814</ns0:v>
      </ns0:c>
    </ns0:row>
    <ns0:row r="7" ht="28" customHeight="1">
      <ns0:c r="A7" s="3" t="inlineStr">
        <ns0:is>
          <ns0:t>room0</ns0:t>
        </ns0:is>
      </ns0:c>
      <ns0:c r="B7" s="3" t="inlineStr">
        <ns0:is>
          <ns0:t>OVI_MAP</ns0:t>
        </ns0:is>
      </ns0:c>
      <ns0:c r="C7" s="3" t="n">
        <ns0:v>400</ns0:v>
      </ns0:c>
      <ns0:c r="D7" s="3" t="n">
        <ns0:v>742</ns0:v>
      </ns0:c>
      <ns0:c r="E7" s="8" t="n">
        <ns0:v>2066.43</ns0:v>
      </ns0:c>
      <ns0:c r="F7" s="8" t="n">
        <ns0:v>5.166074999999999</ns0:v>
      </ns0:c>
      <ns0:c r="G7" s="8" t="inlineStr">
        <ns0:is>
          <ns0:t>缺失</ns0:t>
        </ns0:is>
      </ns0:c>
      <ns0:c r="H7" s="8" t="n">
        <ns0:v>8.777251476421952</ns0:v>
      </ns0:c>
    </ns0:row>
    <ns0:row r="8" ht="28" customHeight="1">
      <ns0:c r="A8" s="5" t="inlineStr">
        <ns0:is>
          <ns0:t>room0</ns0:t>
        </ns0:is>
      </ns0:c>
      <ns0:c r="B8" s="5" t="inlineStr">
        <ns0:is>
          <ns0:t>ali_my</ns0:t>
        </ns0:is>
      </ns0:c>
      <ns0:c r="C8" s="5" t="n">
        <ns0:v>400</ns0:v>
      </ns0:c>
      <ns0:c r="D8" s="5" t="n">
        <ns0:v>0</ns0:v>
      </ns0:c>
      <ns0:c r="E8" s="9" t="inlineStr">
        <ns0:is>
          <ns0:t>缺失</ns0:t>
        </ns0:is>
      </ns0:c>
      <ns0:c r="F8" s="9" t="inlineStr">
        <ns0:is>
          <ns0:t>缺失</ns0:t>
        </ns0:is>
      </ns0:c>
      <ns0:c r="G8" s="9" t="inlineStr">
        <ns0:is>
          <ns0:t>缺失</ns0:t>
        </ns0:is>
      </ns0:c>
      <ns0:c r="H8" s="9" t="n">
        <ns0:v>21.71037502214313</ns0:v>
      </ns0:c>
    </ns0:row>
    <ns0:row r="9" ht="28" customHeight="1">
      <ns0:c r="A9" s="3" t="inlineStr">
        <ns0:is>
          <ns0:t>room0</ns0:t>
        </ns0:is>
      </ns0:c>
      <ns0:c r="B9" s="3" t="inlineStr">
        <ns0:is>
          <ns0:t>merge_2</ns0:t>
        </ns0:is>
      </ns0:c>
      <ns0:c r="C9" s="3" t="n">
        <ns0:v>400</ns0:v>
      </ns0:c>
      <ns0:c r="D9" s="3" t="n">
        <ns0:v>1676</ns0:v>
      </ns0:c>
      <ns0:c r="E9" s="8" t="n">
        <ns0:v>9559.863561</ns0:v>
      </ns0:c>
      <ns0:c r="F9" s="8" t="n">
        <ns0:v>23.8996589025</ns0:v>
      </ns0:c>
      <ns0:c r="G9" s="8" t="inlineStr">
        <ns0:is>
          <ns0:t>缺失</ns0:t>
        </ns0:is>
      </ns0:c>
      <ns0:c r="H9" s="8" t="n">
        <ns0:v>25.18470851052552</ns0:v>
      </ns0:c>
    </ns0:row>
    <ns0:row r="10" ht="28" customHeight="1">
      <ns0:c r="A10" s="5" t="inlineStr">
        <ns0:is>
          <ns0:t>room1</ns0:t>
        </ns0:is>
      </ns0:c>
      <ns0:c r="B10" s="5" t="inlineStr">
        <ns0:is>
          <ns0:t>Baseline_gateoff</ns0:t>
        </ns0:is>
      </ns0:c>
      <ns0:c r="C10" s="5" t="n">
        <ns0:v>400</ns0:v>
      </ns0:c>
      <ns0:c r="D10" s="5" t="n">
        <ns0:v>0</ns0:v>
      </ns0:c>
      <ns0:c r="E10" s="9" t="n">
        <ns0:v>832.001806</ns0:v>
      </ns0:c>
      <ns0:c r="F10" s="9" t="n">
        <ns0:v>2.080004515</ns0:v>
      </ns0:c>
      <ns0:c r="G10" s="9" t="inlineStr">
        <ns0:is>
          <ns0:t>缺失</ns0:t>
        </ns0:is>
      </ns0:c>
      <ns0:c r="H10" s="9" t="n">
        <ns0:v>17.99570544622838</ns0:v>
      </ns0:c>
    </ns0:row>
    <ns0:row r="11" ht="28" customHeight="1">
      <ns0:c r="A11" s="3" t="inlineStr">
        <ns0:is>
          <ns0:t>room1</ns0:t>
        </ns0:is>
      </ns0:c>
      <ns0:c r="B11" s="3" t="inlineStr">
        <ns0:is>
          <ns0:t>v7_CLIP</ns0:t>
        </ns0:is>
      </ns0:c>
      <ns0:c r="C11" s="3" t="n">
        <ns0:v>400</ns0:v>
      </ns0:c>
      <ns0:c r="D11" s="3" t="n">
        <ns0:v>1035</ns0:v>
      </ns0:c>
      <ns0:c r="E11" s="8" t="n">
        <ns0:v>6357.069783</ns0:v>
      </ns0:c>
      <ns0:c r="F11" s="8" t="n">
        <ns0:v>15.8926744575</ns0:v>
      </ns0:c>
      <ns0:c r="G11" s="8" t="inlineStr">
        <ns0:is>
          <ns0:t>缺失</ns0:t>
        </ns0:is>
      </ns0:c>
      <ns0:c r="H11" s="8" t="n">
        <ns0:v>17.46955666970462</ns0:v>
      </ns0:c>
    </ns0:row>
    <ns0:row r="12" ht="28" customHeight="1">
      <ns0:c r="A12" s="5" t="inlineStr">
        <ns0:is>
          <ns0:t>room1</ns0:t>
        </ns0:is>
      </ns0:c>
      <ns0:c r="B12" s="5" t="inlineStr">
        <ns0:is>
          <ns0:t>OVI_MAP</ns0:t>
        </ns0:is>
      </ns0:c>
      <ns0:c r="C12" s="5" t="n">
        <ns0:v>400</ns0:v>
      </ns0:c>
      <ns0:c r="D12" s="5" t="n">
        <ns0:v>564</ns0:v>
      </ns0:c>
      <ns0:c r="E12" s="9" t="n">
        <ns0:v>1877.07</ns0:v>
      </ns0:c>
      <ns0:c r="F12" s="9" t="n">
        <ns0:v>4.692674999999999</ns0:v>
      </ns0:c>
      <ns0:c r="G12" s="9" t="inlineStr">
        <ns0:is>
          <ns0:t>缺失</ns0:t>
        </ns0:is>
      </ns0:c>
      <ns0:c r="H12" s="9" t="n">
        <ns0:v>7.686588013544679</ns0:v>
      </ns0:c>
    </ns0:row>
    <ns0:row r="13" ht="28" customHeight="1">
      <ns0:c r="A13" s="3" t="inlineStr">
        <ns0:is>
          <ns0:t>room1</ns0:t>
        </ns0:is>
      </ns0:c>
      <ns0:c r="B13" s="3" t="inlineStr">
        <ns0:is>
          <ns0:t>ali_my</ns0:t>
        </ns0:is>
      </ns0:c>
      <ns0:c r="C13" s="3" t="n">
        <ns0:v>400</ns0:v>
      </ns0:c>
      <ns0:c r="D13" s="3" t="n">
        <ns0:v>0</ns0:v>
      </ns0:c>
      <ns0:c r="E13" s="8" t="inlineStr">
        <ns0:is>
          <ns0:t>缺失</ns0:t>
        </ns0:is>
      </ns0:c>
      <ns0:c r="F13" s="8" t="inlineStr">
        <ns0:is>
          <ns0:t>缺失</ns0:t>
        </ns0:is>
      </ns0:c>
      <ns0:c r="G13" s="8" t="inlineStr">
        <ns0:is>
          <ns0:t>缺失</ns0:t>
        </ns0:is>
      </ns0:c>
      <ns0:c r="H13" s="8" t="n">
        <ns0:v>12.12208317127079</ns0:v>
      </ns0:c>
    </ns0:row>
    <ns0:row r="14" ht="28" customHeight="1">
      <ns0:c r="A14" s="5" t="inlineStr">
        <ns0:is>
          <ns0:t>room2</ns0:t>
        </ns0:is>
      </ns0:c>
      <ns0:c r="B14" s="5" t="inlineStr">
        <ns0:is>
          <ns0:t>Baseline_gateoff</ns0:t>
        </ns0:is>
      </ns0:c>
      <ns0:c r="C14" s="5" t="n">
        <ns0:v>400</ns0:v>
      </ns0:c>
      <ns0:c r="D14" s="5" t="n">
        <ns0:v>0</ns0:v>
      </ns0:c>
      <ns0:c r="E14" s="9" t="n">
        <ns0:v>651.775581</ns0:v>
      </ns0:c>
      <ns0:c r="F14" s="9" t="n">
        <ns0:v>1.6294389525</ns0:v>
      </ns0:c>
      <ns0:c r="G14" s="9" t="inlineStr">
        <ns0:is>
          <ns0:t>缺失</ns0:t>
        </ns0:is>
      </ns0:c>
      <ns0:c r="H14" s="9" t="n">
        <ns0:v>19.27496380358934</ns0:v>
      </ns0:c>
    </ns0:row>
    <ns0:row r="15" ht="28" customHeight="1">
      <ns0:c r="A15" s="3" t="inlineStr">
        <ns0:is>
          <ns0:t>room2</ns0:t>
        </ns0:is>
      </ns0:c>
      <ns0:c r="B15" s="3" t="inlineStr">
        <ns0:is>
          <ns0:t>v7_CLIP</ns0:t>
        </ns0:is>
      </ns0:c>
      <ns0:c r="C15" s="3" t="n">
        <ns0:v>400</ns0:v>
      </ns0:c>
      <ns0:c r="D15" s="3" t="n">
        <ns0:v>776</ns0:v>
      </ns0:c>
      <ns0:c r="E15" s="8" t="n">
        <ns0:v>3852.782558</ns0:v>
      </ns0:c>
      <ns0:c r="F15" s="8" t="n">
        <ns0:v>9.631956395</ns0:v>
      </ns0:c>
      <ns0:c r="G15" s="8" t="inlineStr">
        <ns0:is>
          <ns0:t>缺失</ns0:t>
        </ns0:is>
      </ns0:c>
      <ns0:c r="H15" s="8" t="n">
        <ns0:v>18.12023514974862</ns0:v>
      </ns0:c>
    </ns0:row>
    <ns0:row r="16" ht="28" customHeight="1">
      <ns0:c r="A16" s="5" t="inlineStr">
        <ns0:is>
          <ns0:t>room2</ns0:t>
        </ns0:is>
      </ns0:c>
      <ns0:c r="B16" s="5" t="inlineStr">
        <ns0:is>
          <ns0:t>OVI_MAP</ns0:t>
        </ns0:is>
      </ns0:c>
      <ns0:c r="C16" s="5" t="n">
        <ns0:v>400</ns0:v>
      </ns0:c>
      <ns0:c r="D16" s="5" t="n">
        <ns0:v>615</ns0:v>
      </ns0:c>
      <ns0:c r="E16" s="9" t="n">
        <ns0:v>1822.41</ns0:v>
      </ns0:c>
      <ns0:c r="F16" s="9" t="n">
        <ns0:v>4.556025</ns0:v>
      </ns0:c>
      <ns0:c r="G16" s="9" t="inlineStr">
        <ns0:is>
          <ns0:t>缺失</ns0:t>
        </ns0:is>
      </ns0:c>
      <ns0:c r="H16" s="9" t="n">
        <ns0:v>5.054567689076066</ns0:v>
      </ns0:c>
    </ns0:row>
    <ns0:row r="17" ht="28" customHeight="1">
      <ns0:c r="A17" s="3" t="inlineStr">
        <ns0:is>
          <ns0:t>room2</ns0:t>
        </ns0:is>
      </ns0:c>
      <ns0:c r="B17" s="3" t="inlineStr">
        <ns0:is>
          <ns0:t>ali_my</ns0:t>
        </ns0:is>
      </ns0:c>
      <ns0:c r="C17" s="3" t="n">
        <ns0:v>400</ns0:v>
      </ns0:c>
      <ns0:c r="D17" s="3" t="n">
        <ns0:v>0</ns0:v>
      </ns0:c>
      <ns0:c r="E17" s="8" t="inlineStr">
        <ns0:is>
          <ns0:t>缺失</ns0:t>
        </ns0:is>
      </ns0:c>
      <ns0:c r="F17" s="8" t="inlineStr">
        <ns0:is>
          <ns0:t>缺失</ns0:t>
        </ns0:is>
      </ns0:c>
      <ns0:c r="G17" s="8" t="inlineStr">
        <ns0:is>
          <ns0:t>缺失</ns0:t>
        </ns0:is>
      </ns0:c>
      <ns0:c r="H17" s="8" t="n">
        <ns0:v>17.87477980460972</ns0:v>
      </ns0:c>
    </ns0:row>
    <ns0:row r="18" ht="28" customHeight="1">
      <ns0:c r="A18" s="5" t="inlineStr">
        <ns0:is>
          <ns0:t>office0</ns0:t>
        </ns0:is>
      </ns0:c>
      <ns0:c r="B18" s="5" t="inlineStr">
        <ns0:is>
          <ns0:t>Baseline_gateoff</ns0:t>
        </ns0:is>
      </ns0:c>
      <ns0:c r="C18" s="5" t="n">
        <ns0:v>400</ns0:v>
      </ns0:c>
      <ns0:c r="D18" s="5" t="n">
        <ns0:v>0</ns0:v>
      </ns0:c>
      <ns0:c r="E18" s="9" t="n">
        <ns0:v>440.918013</ns0:v>
      </ns0:c>
      <ns0:c r="F18" s="9" t="n">
        <ns0:v>1.1022950325</ns0:v>
      </ns0:c>
      <ns0:c r="G18" s="9" t="inlineStr">
        <ns0:is>
          <ns0:t>缺失</ns0:t>
        </ns0:is>
      </ns0:c>
      <ns0:c r="H18" s="9" t="n">
        <ns0:v>10.78560411278158</ns0:v>
      </ns0:c>
    </ns0:row>
    <ns0:row r="19" ht="28" customHeight="1">
      <ns0:c r="A19" s="3" t="inlineStr">
        <ns0:is>
          <ns0:t>office0</ns0:t>
        </ns0:is>
      </ns0:c>
      <ns0:c r="B19" s="3" t="inlineStr">
        <ns0:is>
          <ns0:t>v7_CLIP</ns0:t>
        </ns0:is>
      </ns0:c>
      <ns0:c r="C19" s="3" t="n">
        <ns0:v>400</ns0:v>
      </ns0:c>
      <ns0:c r="D19" s="3" t="n">
        <ns0:v>428</ns0:v>
      </ns0:c>
      <ns0:c r="E19" s="8" t="n">
        <ns0:v>2578.279279</ns0:v>
      </ns0:c>
      <ns0:c r="F19" s="8" t="n">
        <ns0:v>6.4456981975</ns0:v>
      </ns0:c>
      <ns0:c r="G19" s="8" t="inlineStr">
        <ns0:is>
          <ns0:t>缺失</ns0:t>
        </ns0:is>
      </ns0:c>
      <ns0:c r="H19" s="8" t="n">
        <ns0:v>10.94425652455539</ns0:v>
      </ns0:c>
    </ns0:row>
    <ns0:row r="20" ht="28" customHeight="1">
      <ns0:c r="A20" s="5" t="inlineStr">
        <ns0:is>
          <ns0:t>office0</ns0:t>
        </ns0:is>
      </ns0:c>
      <ns0:c r="B20" s="5" t="inlineStr">
        <ns0:is>
          <ns0:t>OVI_MAP</ns0:t>
        </ns0:is>
      </ns0:c>
      <ns0:c r="C20" s="5" t="n">
        <ns0:v>400</ns0:v>
      </ns0:c>
      <ns0:c r="D20" s="5" t="n">
        <ns0:v>685</ns0:v>
      </ns0:c>
      <ns0:c r="E20" s="9" t="n">
        <ns0:v>1787.71</ns0:v>
      </ns0:c>
      <ns0:c r="F20" s="9" t="n">
        <ns0:v>4.469275</ns0:v>
      </ns0:c>
      <ns0:c r="G20" s="9" t="inlineStr">
        <ns0:is>
          <ns0:t>缺失</ns0:t>
        </ns0:is>
      </ns0:c>
      <ns0:c r="H20" s="9" t="n">
        <ns0:v>79.27089082915336</ns0:v>
      </ns0:c>
    </ns0:row>
    <ns0:row r="21" ht="28" customHeight="1">
      <ns0:c r="A21" s="3" t="inlineStr">
        <ns0:is>
          <ns0:t>office0</ns0:t>
        </ns0:is>
      </ns0:c>
      <ns0:c r="B21" s="3" t="inlineStr">
        <ns0:is>
          <ns0:t>ali_my</ns0:t>
        </ns0:is>
      </ns0:c>
      <ns0:c r="C21" s="3" t="n">
        <ns0:v>400</ns0:v>
      </ns0:c>
      <ns0:c r="D21" s="3" t="n">
        <ns0:v>0</ns0:v>
      </ns0:c>
      <ns0:c r="E21" s="8" t="inlineStr">
        <ns0:is>
          <ns0:t>缺失</ns0:t>
        </ns0:is>
      </ns0:c>
      <ns0:c r="F21" s="8" t="inlineStr">
        <ns0:is>
          <ns0:t>缺失</ns0:t>
        </ns0:is>
      </ns0:c>
      <ns0:c r="G21" s="8" t="inlineStr">
        <ns0:is>
          <ns0:t>缺失</ns0:t>
        </ns0:is>
      </ns0:c>
      <ns0:c r="H21" s="8" t="n">
        <ns0:v>10.78891063202173</ns0:v>
      </ns0:c>
    </ns0:row>
    <ns0:row r="22" ht="28" customHeight="1">
      <ns0:c r="A22" s="5" t="inlineStr">
        <ns0:is>
          <ns0:t>office1</ns0:t>
        </ns0:is>
      </ns0:c>
      <ns0:c r="B22" s="5" t="inlineStr">
        <ns0:is>
          <ns0:t>Baseline_gateoff</ns0:t>
        </ns0:is>
      </ns0:c>
      <ns0:c r="C22" s="5" t="n">
        <ns0:v>400</ns0:v>
      </ns0:c>
      <ns0:c r="D22" s="5" t="n">
        <ns0:v>0</ns0:v>
      </ns0:c>
      <ns0:c r="E22" s="9" t="n">
        <ns0:v>441.682304</ns0:v>
      </ns0:c>
      <ns0:c r="F22" s="9" t="n">
        <ns0:v>1.10420576</ns0:v>
      </ns0:c>
      <ns0:c r="G22" s="9" t="inlineStr">
        <ns0:is>
          <ns0:t>缺失</ns0:t>
        </ns0:is>
      </ns0:c>
      <ns0:c r="H22" s="9" t="n">
        <ns0:v>10.98204266279936</ns0:v>
      </ns0:c>
    </ns0:row>
    <ns0:row r="23" ht="28" customHeight="1">
      <ns0:c r="A23" s="3" t="inlineStr">
        <ns0:is>
          <ns0:t>office1</ns0:t>
        </ns0:is>
      </ns0:c>
      <ns0:c r="B23" s="3" t="inlineStr">
        <ns0:is>
          <ns0:t>v7_CLIP</ns0:t>
        </ns0:is>
      </ns0:c>
      <ns0:c r="C23" s="3" t="n">
        <ns0:v>400</ns0:v>
      </ns0:c>
      <ns0:c r="D23" s="3" t="n">
        <ns0:v>509</ns0:v>
      </ns0:c>
      <ns0:c r="E23" s="8" t="n">
        <ns0:v>3297.201013</ns0:v>
      </ns0:c>
      <ns0:c r="F23" s="8" t="n">
        <ns0:v>8.2430025325</ns0:v>
      </ns0:c>
      <ns0:c r="G23" s="8" t="inlineStr">
        <ns0:is>
          <ns0:t>缺失</ns0:t>
        </ns0:is>
      </ns0:c>
      <ns0:c r="H23" s="8" t="n">
        <ns0:v>11.8122948249802</ns0:v>
      </ns0:c>
    </ns0:row>
    <ns0:row r="24" ht="28" customHeight="1">
      <ns0:c r="A24" s="5" t="inlineStr">
        <ns0:is>
          <ns0:t>office1</ns0:t>
        </ns0:is>
      </ns0:c>
      <ns0:c r="B24" s="5" t="inlineStr">
        <ns0:is>
          <ns0:t>OVI_MAP</ns0:t>
        </ns0:is>
      </ns0:c>
      <ns0:c r="C24" s="5" t="n">
        <ns0:v>400</ns0:v>
      </ns0:c>
      <ns0:c r="D24" s="5" t="n">
        <ns0:v>496</ns0:v>
      </ns0:c>
      <ns0:c r="E24" s="9" t="n">
        <ns0:v>1748.84</ns0:v>
      </ns0:c>
      <ns0:c r="F24" s="9" t="n">
        <ns0:v>4.3721</ns0:v>
      </ns0:c>
      <ns0:c r="G24" s="9" t="inlineStr">
        <ns0:is>
          <ns0:t>缺失</ns0:t>
        </ns0:is>
      </ns0:c>
      <ns0:c r="H24" s="9" t="n">
        <ns0:v>50.65173556283116</ns0:v>
      </ns0:c>
    </ns0:row>
    <ns0:row r="25" ht="28" customHeight="1">
      <ns0:c r="A25" s="3" t="inlineStr">
        <ns0:is>
          <ns0:t>office1</ns0:t>
        </ns0:is>
      </ns0:c>
      <ns0:c r="B25" s="3" t="inlineStr">
        <ns0:is>
          <ns0:t>ali_my</ns0:t>
        </ns0:is>
      </ns0:c>
      <ns0:c r="C25" s="3" t="n">
        <ns0:v>400</ns0:v>
      </ns0:c>
      <ns0:c r="D25" s="3" t="n">
        <ns0:v>0</ns0:v>
      </ns0:c>
      <ns0:c r="E25" s="8" t="inlineStr">
        <ns0:is>
          <ns0:t>缺失</ns0:t>
        </ns0:is>
      </ns0:c>
      <ns0:c r="F25" s="8" t="inlineStr">
        <ns0:is>
          <ns0:t>缺失</ns0:t>
        </ns0:is>
      </ns0:c>
      <ns0:c r="G25" s="8" t="inlineStr">
        <ns0:is>
          <ns0:t>缺失</ns0:t>
        </ns0:is>
      </ns0:c>
      <ns0:c r="H25" s="8" t="n">
        <ns0:v>14.88403637055308</ns0:v>
      </ns0:c>
    </ns0:row>
    <ns0:row r="26" ht="28" customHeight="1">
      <ns0:c r="A26" s="5" t="inlineStr">
        <ns0:is>
          <ns0:t>office2</ns0:t>
        </ns0:is>
      </ns0:c>
      <ns0:c r="B26" s="5" t="inlineStr">
        <ns0:is>
          <ns0:t>Baseline_gateoff</ns0:t>
        </ns0:is>
      </ns0:c>
      <ns0:c r="C26" s="5" t="n">
        <ns0:v>400</ns0:v>
      </ns0:c>
      <ns0:c r="D26" s="5" t="n">
        <ns0:v>0</ns0:v>
      </ns0:c>
      <ns0:c r="E26" s="9" t="n">
        <ns0:v>927.803748</ns0:v>
      </ns0:c>
      <ns0:c r="F26" s="9" t="n">
        <ns0:v>2.31950937</ns0:v>
      </ns0:c>
      <ns0:c r="G26" s="9" t="inlineStr">
        <ns0:is>
          <ns0:t>缺失</ns0:t>
        </ns0:is>
      </ns0:c>
      <ns0:c r="H26" s="9" t="n">
        <ns0:v>15.16508533898741</ns0:v>
      </ns0:c>
    </ns0:row>
    <ns0:row r="27" ht="28" customHeight="1">
      <ns0:c r="A27" s="3" t="inlineStr">
        <ns0:is>
          <ns0:t>office2</ns0:t>
        </ns0:is>
      </ns0:c>
      <ns0:c r="B27" s="3" t="inlineStr">
        <ns0:is>
          <ns0:t>v7_CLIP</ns0:t>
        </ns0:is>
      </ns0:c>
      <ns0:c r="C27" s="3" t="n">
        <ns0:v>400</ns0:v>
      </ns0:c>
      <ns0:c r="D27" s="3" t="n">
        <ns0:v>1749</ns0:v>
      </ns0:c>
      <ns0:c r="E27" s="8" t="n">
        <ns0:v>8628.989502</ns0:v>
      </ns0:c>
      <ns0:c r="F27" s="8" t="n">
        <ns0:v>21.572473755</ns0:v>
      </ns0:c>
      <ns0:c r="G27" s="8" t="inlineStr">
        <ns0:is>
          <ns0:t>缺失</ns0:t>
        </ns0:is>
      </ns0:c>
      <ns0:c r="H27" s="8" t="n">
        <ns0:v>15.61479231715202</ns0:v>
      </ns0:c>
    </ns0:row>
    <ns0:row r="28" ht="28" customHeight="1">
      <ns0:c r="A28" s="5" t="inlineStr">
        <ns0:is>
          <ns0:t>office2</ns0:t>
        </ns0:is>
      </ns0:c>
      <ns0:c r="B28" s="5" t="inlineStr">
        <ns0:is>
          <ns0:t>OVI_MAP</ns0:t>
        </ns0:is>
      </ns0:c>
      <ns0:c r="C28" s="5" t="n">
        <ns0:v>400</ns0:v>
      </ns0:c>
      <ns0:c r="D28" s="5" t="n">
        <ns0:v>668</ns0:v>
      </ns0:c>
      <ns0:c r="E28" s="9" t="n">
        <ns0:v>2114.31</ns0:v>
      </ns0:c>
      <ns0:c r="F28" s="9" t="n">
        <ns0:v>5.285775</ns0:v>
      </ns0:c>
      <ns0:c r="G28" s="9" t="inlineStr">
        <ns0:is>
          <ns0:t>缺失</ns0:t>
        </ns0:is>
      </ns0:c>
      <ns0:c r="H28" s="9" t="n">
        <ns0:v>8.139161476865411</ns0:v>
      </ns0:c>
    </ns0:row>
    <ns0:row r="29" ht="28" customHeight="1">
      <ns0:c r="A29" s="3" t="inlineStr">
        <ns0:is>
          <ns0:t>office2</ns0:t>
        </ns0:is>
      </ns0:c>
      <ns0:c r="B29" s="3" t="inlineStr">
        <ns0:is>
          <ns0:t>ali_my</ns0:t>
        </ns0:is>
      </ns0:c>
      <ns0:c r="C29" s="3" t="n">
        <ns0:v>400</ns0:v>
      </ns0:c>
      <ns0:c r="D29" s="3" t="n">
        <ns0:v>0</ns0:v>
      </ns0:c>
      <ns0:c r="E29" s="8" t="inlineStr">
        <ns0:is>
          <ns0:t>缺失</ns0:t>
        </ns0:is>
      </ns0:c>
      <ns0:c r="F29" s="8" t="inlineStr">
        <ns0:is>
          <ns0:t>缺失</ns0:t>
        </ns0:is>
      </ns0:c>
      <ns0:c r="G29" s="8" t="inlineStr">
        <ns0:is>
          <ns0:t>缺失</ns0:t>
        </ns0:is>
      </ns0:c>
      <ns0:c r="H29" s="8" t="n">
        <ns0:v>12.56395197939128</ns0:v>
      </ns0:c>
    </ns0:row>
    <ns0:row r="30" ht="28" customHeight="1">
      <ns0:c r="A30" s="5" t="inlineStr">
        <ns0:is>
          <ns0:t>office3</ns0:t>
        </ns0:is>
      </ns0:c>
      <ns0:c r="B30" s="5" t="inlineStr">
        <ns0:is>
          <ns0:t>Baseline_gateoff</ns0:t>
        </ns0:is>
      </ns0:c>
      <ns0:c r="C30" s="5" t="n">
        <ns0:v>400</ns0:v>
      </ns0:c>
      <ns0:c r="D30" s="5" t="n">
        <ns0:v>0</ns0:v>
      </ns0:c>
      <ns0:c r="E30" s="9" t="n">
        <ns0:v>995.757155</ns0:v>
      </ns0:c>
      <ns0:c r="F30" s="9" t="n">
        <ns0:v>2.4893928875</ns0:v>
      </ns0:c>
      <ns0:c r="G30" s="9" t="inlineStr">
        <ns0:is>
          <ns0:t>缺失</ns0:t>
        </ns0:is>
      </ns0:c>
      <ns0:c r="H30" s="9" t="n">
        <ns0:v>23.42063237540424</ns0:v>
      </ns0:c>
    </ns0:row>
    <ns0:row r="31" ht="28" customHeight="1">
      <ns0:c r="A31" s="3" t="inlineStr">
        <ns0:is>
          <ns0:t>office3</ns0:t>
        </ns0:is>
      </ns0:c>
      <ns0:c r="B31" s="3" t="inlineStr">
        <ns0:is>
          <ns0:t>v7_CLIP</ns0:t>
        </ns0:is>
      </ns0:c>
      <ns0:c r="C31" s="3" t="n">
        <ns0:v>400</ns0:v>
      </ns0:c>
      <ns0:c r="D31" s="3" t="n">
        <ns0:v>1484</ns0:v>
      </ns0:c>
      <ns0:c r="E31" s="8" t="n">
        <ns0:v>6736.211007</ns0:v>
      </ns0:c>
      <ns0:c r="F31" s="8" t="n">
        <ns0:v>16.8405275175</ns0:v>
      </ns0:c>
      <ns0:c r="G31" s="8" t="inlineStr">
        <ns0:is>
          <ns0:t>缺失</ns0:t>
        </ns0:is>
      </ns0:c>
      <ns0:c r="H31" s="8" t="n">
        <ns0:v>22.81124776042998</ns0:v>
      </ns0:c>
    </ns0:row>
    <ns0:row r="32" ht="28" customHeight="1">
      <ns0:c r="A32" s="5" t="inlineStr">
        <ns0:is>
          <ns0:t>office3</ns0:t>
        </ns0:is>
      </ns0:c>
      <ns0:c r="B32" s="5" t="inlineStr">
        <ns0:is>
          <ns0:t>OVI_MAP</ns0:t>
        </ns0:is>
      </ns0:c>
      <ns0:c r="C32" s="5" t="n">
        <ns0:v>400</ns0:v>
      </ns0:c>
      <ns0:c r="D32" s="5" t="n">
        <ns0:v>726</ns0:v>
      </ns0:c>
      <ns0:c r="E32" s="9" t="n">
        <ns0:v>2404.74</ns0:v>
      </ns0:c>
      <ns0:c r="F32" s="9" t="n">
        <ns0:v>6.011849999999999</ns0:v>
      </ns0:c>
      <ns0:c r="G32" s="9" t="inlineStr">
        <ns0:is>
          <ns0:t>缺失</ns0:t>
        </ns0:is>
      </ns0:c>
      <ns0:c r="H32" s="9" t="n">
        <ns0:v>11.71853914298117</ns0:v>
      </ns0:c>
    </ns0:row>
    <ns0:row r="33" ht="28" customHeight="1">
      <ns0:c r="A33" s="3" t="inlineStr">
        <ns0:is>
          <ns0:t>office3</ns0:t>
        </ns0:is>
      </ns0:c>
      <ns0:c r="B33" s="3" t="inlineStr">
        <ns0:is>
          <ns0:t>ali_my</ns0:t>
        </ns0:is>
      </ns0:c>
      <ns0:c r="C33" s="3" t="n">
        <ns0:v>400</ns0:v>
      </ns0:c>
      <ns0:c r="D33" s="3" t="n">
        <ns0:v>0</ns0:v>
      </ns0:c>
      <ns0:c r="E33" s="8" t="inlineStr">
        <ns0:is>
          <ns0:t>缺失</ns0:t>
        </ns0:is>
      </ns0:c>
      <ns0:c r="F33" s="8" t="inlineStr">
        <ns0:is>
          <ns0:t>缺失</ns0:t>
        </ns0:is>
      </ns0:c>
      <ns0:c r="G33" s="8" t="inlineStr">
        <ns0:is>
          <ns0:t>缺失</ns0:t>
        </ns0:is>
      </ns0:c>
      <ns0:c r="H33" s="8" t="n">
        <ns0:v>18.0176318064332</ns0:v>
      </ns0:c>
    </ns0:row>
    <ns0:row r="34" ht="28" customHeight="1">
      <ns0:c r="A34" s="5" t="inlineStr">
        <ns0:is>
          <ns0:t>office4</ns0:t>
        </ns0:is>
      </ns0:c>
      <ns0:c r="B34" s="5" t="inlineStr">
        <ns0:is>
          <ns0:t>Baseline_gateoff</ns0:t>
        </ns0:is>
      </ns0:c>
      <ns0:c r="C34" s="5" t="n">
        <ns0:v>400</ns0:v>
      </ns0:c>
      <ns0:c r="D34" s="5" t="n">
        <ns0:v>0</ns0:v>
      </ns0:c>
      <ns0:c r="E34" s="9" t="n">
        <ns0:v>843.211803</ns0:v>
      </ns0:c>
      <ns0:c r="F34" s="9" t="n">
        <ns0:v>2.1080295075</ns0:v>
      </ns0:c>
      <ns0:c r="G34" s="9" t="inlineStr">
        <ns0:is>
          <ns0:t>缺失</ns0:t>
        </ns0:is>
      </ns0:c>
      <ns0:c r="H34" s="9" t="n">
        <ns0:v>15.63677126262337</ns0:v>
      </ns0:c>
    </ns0:row>
    <ns0:row r="35" ht="28" customHeight="1">
      <ns0:c r="A35" s="3" t="inlineStr">
        <ns0:is>
          <ns0:t>office4</ns0:t>
        </ns0:is>
      </ns0:c>
      <ns0:c r="B35" s="3" t="inlineStr">
        <ns0:is>
          <ns0:t>v7_CLIP</ns0:t>
        </ns0:is>
      </ns0:c>
      <ns0:c r="C35" s="3" t="n">
        <ns0:v>400</ns0:v>
      </ns0:c>
      <ns0:c r="D35" s="3" t="n">
        <ns0:v>1434</ns0:v>
      </ns0:c>
      <ns0:c r="E35" s="8" t="n">
        <ns0:v>6449.576653</ns0:v>
      </ns0:c>
      <ns0:c r="F35" s="8" t="n">
        <ns0:v>16.1239416325</ns0:v>
      </ns0:c>
      <ns0:c r="G35" s="8" t="inlineStr">
        <ns0:is>
          <ns0:t>缺失</ns0:t>
        </ns0:is>
      </ns0:c>
      <ns0:c r="H35" s="8" t="n">
        <ns0:v>21.94648359715939</ns0:v>
      </ns0:c>
    </ns0:row>
    <ns0:row r="36" ht="28" customHeight="1">
      <ns0:c r="A36" s="5" t="inlineStr">
        <ns0:is>
          <ns0:t>office4</ns0:t>
        </ns0:is>
      </ns0:c>
      <ns0:c r="B36" s="5" t="inlineStr">
        <ns0:is>
          <ns0:t>OVI_MAP</ns0:t>
        </ns0:is>
      </ns0:c>
      <ns0:c r="C36" s="5" t="n">
        <ns0:v>400</ns0:v>
      </ns0:c>
      <ns0:c r="D36" s="5" t="n">
        <ns0:v>602</ns0:v>
      </ns0:c>
      <ns0:c r="E36" s="9" t="n">
        <ns0:v>1807.68</ns0:v>
      </ns0:c>
      <ns0:c r="F36" s="9" t="n">
        <ns0:v>4.519200000000001</ns0:v>
      </ns0:c>
      <ns0:c r="G36" s="9" t="inlineStr">
        <ns0:is>
          <ns0:t>缺失</ns0:t>
        </ns0:is>
      </ns0:c>
      <ns0:c r="H36" s="9" t="n">
        <ns0:v>9.979994501918554</ns0:v>
      </ns0:c>
    </ns0:row>
    <ns0:row r="37" ht="28" customHeight="1">
      <ns0:c r="A37" s="3" t="inlineStr">
        <ns0:is>
          <ns0:t>office4</ns0:t>
        </ns0:is>
      </ns0:c>
      <ns0:c r="B37" s="3" t="inlineStr">
        <ns0:is>
          <ns0:t>ali_my</ns0:t>
        </ns0:is>
      </ns0:c>
      <ns0:c r="C37" s="3" t="n">
        <ns0:v>400</ns0:v>
      </ns0:c>
      <ns0:c r="D37" s="3" t="n">
        <ns0:v>0</ns0:v>
      </ns0:c>
      <ns0:c r="E37" s="8" t="inlineStr">
        <ns0:is>
          <ns0:t>缺失</ns0:t>
        </ns0:is>
      </ns0:c>
      <ns0:c r="F37" s="8" t="inlineStr">
        <ns0:is>
          <ns0:t>缺失</ns0:t>
        </ns0:is>
      </ns0:c>
      <ns0:c r="G37" s="8" t="inlineStr">
        <ns0:is>
          <ns0:t>缺失</ns0:t>
        </ns0:is>
      </ns0:c>
      <ns0:c r="H37" s="8" t="n">
        <ns0:v>16.00063448678702</ns0:v>
      </ns0:c>
    </ns0:row>
    <ns0:row r="38" ht="28" customHeight="1">
      <ns0:c r="A38" s="3" t="inlineStr">
        <ns0:is>
          <ns0:t>office2</ns0:t>
        </ns0:is>
      </ns0:c>
      <ns0:c r="B38" s="3" t="inlineStr">
        <ns0:is>
          <ns0:t>v7_merge_re</ns0:t>
        </ns0:is>
      </ns0:c>
      <ns0:c r="C38" s="3" t="n">
        <ns0:v>400</ns0:v>
      </ns0:c>
      <ns0:c r="D38" s="3" t="inlineStr">
        <ns0:is>
          <ns0:t>缺失（未核实）</ns0:t>
        </ns0:is>
      </ns0:c>
      <ns0:c r="E38" s="8" t="n">
        <ns0:v>17355.556422</ns0:v>
      </ns0:c>
      <ns0:c r="F38" s="8" t="n">
        <ns0:v>43.388891055</ns0:v>
      </ns0:c>
      <ns0:c r="G38" s="8" t="inlineStr">
        <ns0:is>
          <ns0:t>缺失</ns0:t>
        </ns0:is>
      </ns0:c>
      <ns0:c r="H38" s="8" t="n">
        <ns0:v>15.84506328310817</ns0:v>
      </ns0:c>
    </ns0:row>
    <ns0:row r="39" ht="28" customHeight="1">
      <ns0:c r="A39" s="3" t="inlineStr">
        <ns0:is>
          <ns0:t>office2</ns0:t>
        </ns0:is>
      </ns0:c>
      <ns0:c r="B39" s="3" t="inlineStr">
        <ns0:is>
          <ns0:t>v7_merge</ns0:t>
        </ns0:is>
      </ns0:c>
      <ns0:c r="C39" s="3" t="n">
        <ns0:v>400</ns0:v>
      </ns0:c>
      <ns0:c r="D39" s="3" t="inlineStr">
        <ns0:is>
          <ns0:t>缺失（未核实）</ns0:t>
        </ns0:is>
      </ns0:c>
      <ns0:c r="E39" s="8" t="n">
        <ns0:v>8011.27121</ns0:v>
      </ns0:c>
      <ns0:c r="F39" s="8" t="n">
        <ns0:v>20.028178025</ns0:v>
      </ns0:c>
      <ns0:c r="G39" s="8" t="inlineStr">
        <ns0:is>
          <ns0:t>缺失</ns0:t>
        </ns0:is>
      </ns0:c>
      <ns0:c r="H39" s="8" t="n">
        <ns0:v>21.67623447161168</ns0:v>
      </ns0:c>
    </ns0:row>
    <ns0:row r="40" ht="28" customHeight="1">
      <ns0:c r="A40" s="3" t="inlineStr">
        <ns0:is>
          <ns0:t>room0</ns0:t>
        </ns0:is>
      </ns0:c>
      <ns0:c r="B40" s="3" t="inlineStr">
        <ns0:is>
          <ns0:t>TwoRoad（融合旧读出）</ns0:t>
        </ns0:is>
      </ns0:c>
      <ns0:c r="C40" s="3" t="n">
        <ns0:v>400</ns0:v>
      </ns0:c>
      <ns0:c r="D40" s="3" t="inlineStr">
        <ns0:is>
          <ns0:t>缺失（未核实）</ns0:t>
        </ns0:is>
      </ns0:c>
      <ns0:c r="E40" s="8" t="n">
        <ns0:v>11399.950106</ns0:v>
      </ns0:c>
      <ns0:c r="F40" s="8" t="n">
        <ns0:v>28.499875265</ns0:v>
      </ns0:c>
      <ns0:c r="G40" s="8" t="inlineStr">
        <ns0:is>
          <ns0:t>缺失</ns0:t>
        </ns0:is>
      </ns0:c>
      <ns0:c r="H40" s="8" t="n">
        <ns0:v>29.32743332069367</ns0:v>
      </ns0:c>
    </ns0:row>
    <ns0:row r="41" ht="32" customHeight="1">
      <ns0:c r="A41" s="12" t="inlineStr">
        <ns0:is>
          <ns0:t>room0</ns0:t>
        </ns0:is>
      </ns0:c>
      <ns0:c r="B41" s="12" t="inlineStr">
        <ns0:is>
          <ns0:t>CLIP+bbox读出</ns0:t>
        </ns0:is>
      </ns0:c>
      <ns0:c r="C41" s="17" t="n">
        <ns0:v>400</ns0:v>
      </ns0:c>
      <ns0:c r="D41" s="17" t="n">
        <ns0:v>0</ns0:v>
      </ns0:c>
      <ns0:c r="E41" s="18" t="inlineStr">
        <ns0:is>
          <ns0:t>本次未建图</ns0:t>
        </ns0:is>
      </ns0:c>
      <ns0:c r="F41" s="18" t="inlineStr">
        <ns0:is>
          <ns0:t>不适用</ns0:t>
        </ns0:is>
      </ns0:c>
      <ns0:c r="G41" s="18" t="inlineStr">
        <ns0:is>
          <ns0:t>离线读出</ns0:t>
        </ns0:is>
      </ns0:c>
      <ns0:c r="H41" s="18" t="n">
        <ns0:v>0.5148186571896076</ns0:v>
      </ns0:c>
    </ns0:row>
    <ns0:row r="42" ht="32" customHeight="1">
      <ns0:c r="A42" s="12" t="inlineStr">
        <ns0:is>
          <ns0:t>room1</ns0:t>
        </ns0:is>
      </ns0:c>
      <ns0:c r="B42" s="12" t="inlineStr">
        <ns0:is>
          <ns0:t>CLIP+bbox读出</ns0:t>
        </ns0:is>
      </ns0:c>
      <ns0:c r="C42" s="17" t="n">
        <ns0:v>400</ns0:v>
      </ns0:c>
      <ns0:c r="D42" s="17" t="n">
        <ns0:v>0</ns0:v>
      </ns0:c>
      <ns0:c r="E42" s="18" t="inlineStr">
        <ns0:is>
          <ns0:t>本次未建图</ns0:t>
        </ns0:is>
      </ns0:c>
      <ns0:c r="F42" s="18" t="inlineStr">
        <ns0:is>
          <ns0:t>不适用</ns0:t>
        </ns0:is>
      </ns0:c>
      <ns0:c r="G42" s="18" t="inlineStr">
        <ns0:is>
          <ns0:t>离线读出</ns0:t>
        </ns0:is>
      </ns0:c>
      <ns0:c r="H42" s="18" t="n">
        <ns0:v>0.362141340970993</ns0:v>
      </ns0:c>
    </ns0:row>
    <ns0:row r="43" ht="32" customHeight="1">
      <ns0:c r="A43" s="12" t="inlineStr">
        <ns0:is>
          <ns0:t>room2</ns0:t>
        </ns0:is>
      </ns0:c>
      <ns0:c r="B43" s="12" t="inlineStr">
        <ns0:is>
          <ns0:t>CLIP+bbox读出</ns0:t>
        </ns0:is>
      </ns0:c>
      <ns0:c r="C43" s="17" t="n">
        <ns0:v>400</ns0:v>
      </ns0:c>
      <ns0:c r="D43" s="17" t="n">
        <ns0:v>0</ns0:v>
      </ns0:c>
      <ns0:c r="E43" s="18" t="inlineStr">
        <ns0:is>
          <ns0:t>本次未建图</ns0:t>
        </ns0:is>
      </ns0:c>
      <ns0:c r="F43" s="18" t="inlineStr">
        <ns0:is>
          <ns0:t>不适用</ns0:t>
        </ns0:is>
      </ns0:c>
      <ns0:c r="G43" s="18" t="inlineStr">
        <ns0:is>
          <ns0:t>离线读出</ns0:t>
        </ns0:is>
      </ns0:c>
      <ns0:c r="H43" s="18" t="n">
        <ns0:v>0.380177847109735</ns0:v>
      </ns0:c>
    </ns0:row>
    <ns0:row r="44" ht="32" customHeight="1">
      <ns0:c r="A44" s="12" t="inlineStr">
        <ns0:is>
          <ns0:t>office0</ns0:t>
        </ns0:is>
      </ns0:c>
      <ns0:c r="B44" s="12" t="inlineStr">
        <ns0:is>
          <ns0:t>CLIP+bbox读出</ns0:t>
        </ns0:is>
      </ns0:c>
      <ns0:c r="C44" s="17" t="n">
        <ns0:v>400</ns0:v>
      </ns0:c>
      <ns0:c r="D44" s="17" t="n">
        <ns0:v>0</ns0:v>
      </ns0:c>
      <ns0:c r="E44" s="18" t="inlineStr">
        <ns0:is>
          <ns0:t>本次未建图</ns0:t>
        </ns0:is>
      </ns0:c>
      <ns0:c r="F44" s="18" t="inlineStr">
        <ns0:is>
          <ns0:t>不适用</ns0:t>
        </ns0:is>
      </ns0:c>
      <ns0:c r="G44" s="18" t="inlineStr">
        <ns0:is>
          <ns0:t>离线读出</ns0:t>
        </ns0:is>
      </ns0:c>
      <ns0:c r="H44" s="18" t="n">
        <ns0:v>0.2998405899852514</ns0:v>
      </ns0:c>
    </ns0:row>
    <ns0:row r="45" ht="32" customHeight="1">
      <ns0:c r="A45" s="12" t="inlineStr">
        <ns0:is>
          <ns0:t>office1</ns0:t>
        </ns0:is>
      </ns0:c>
      <ns0:c r="B45" s="12" t="inlineStr">
        <ns0:is>
          <ns0:t>CLIP+bbox读出</ns0:t>
        </ns0:is>
      </ns0:c>
      <ns0:c r="C45" s="17" t="n">
        <ns0:v>400</ns0:v>
      </ns0:c>
      <ns0:c r="D45" s="17" t="n">
        <ns0:v>0</ns0:v>
      </ns0:c>
      <ns0:c r="E45" s="18" t="inlineStr">
        <ns0:is>
          <ns0:t>本次未建图</ns0:t>
        </ns0:is>
      </ns0:c>
      <ns0:c r="F45" s="18" t="inlineStr">
        <ns0:is>
          <ns0:t>不适用</ns0:t>
        </ns0:is>
      </ns0:c>
      <ns0:c r="G45" s="18" t="inlineStr">
        <ns0:is>
          <ns0:t>离线读出</ns0:t>
        </ns0:is>
      </ns0:c>
      <ns0:c r="H45" s="18" t="n">
        <ns0:v>0.219181327149272</ns0:v>
      </ns0:c>
    </ns0:row>
    <ns0:row r="46" ht="32" customHeight="1">
      <ns0:c r="A46" s="12" t="inlineStr">
        <ns0:is>
          <ns0:t>office2</ns0:t>
        </ns0:is>
      </ns0:c>
      <ns0:c r="B46" s="12" t="inlineStr">
        <ns0:is>
          <ns0:t>CLIP+bbox读出</ns0:t>
        </ns0:is>
      </ns0:c>
      <ns0:c r="C46" s="17" t="n">
        <ns0:v>400</ns0:v>
      </ns0:c>
      <ns0:c r="D46" s="17" t="n">
        <ns0:v>0</ns0:v>
      </ns0:c>
      <ns0:c r="E46" s="18" t="inlineStr">
        <ns0:is>
          <ns0:t>本次未建图</ns0:t>
        </ns0:is>
      </ns0:c>
      <ns0:c r="F46" s="18" t="inlineStr">
        <ns0:is>
          <ns0:t>不适用</ns0:t>
        </ns0:is>
      </ns0:c>
      <ns0:c r="G46" s="18" t="inlineStr">
        <ns0:is>
          <ns0:t>离线读出</ns0:t>
        </ns0:is>
      </ns0:c>
      <ns0:c r="H46" s="18" t="n">
        <ns0:v>0.4412639290094376</ns0:v>
      </ns0:c>
    </ns0:row>
    <ns0:row r="47" ht="32" customHeight="1">
      <ns0:c r="A47" s="12" t="inlineStr">
        <ns0:is>
          <ns0:t>office3</ns0:t>
        </ns0:is>
      </ns0:c>
      <ns0:c r="B47" s="12" t="inlineStr">
        <ns0:is>
          <ns0:t>CLIP+bbox读出</ns0:t>
        </ns0:is>
      </ns0:c>
      <ns0:c r="C47" s="17" t="n">
        <ns0:v>400</ns0:v>
      </ns0:c>
      <ns0:c r="D47" s="17" t="n">
        <ns0:v>0</ns0:v>
      </ns0:c>
      <ns0:c r="E47" s="18" t="inlineStr">
        <ns0:is>
          <ns0:t>本次未建图</ns0:t>
        </ns0:is>
      </ns0:c>
      <ns0:c r="F47" s="18" t="inlineStr">
        <ns0:is>
          <ns0:t>不适用</ns0:t>
        </ns0:is>
      </ns0:c>
      <ns0:c r="G47" s="18" t="inlineStr">
        <ns0:is>
          <ns0:t>离线读出</ns0:t>
        </ns0:is>
      </ns0:c>
      <ns0:c r="H47" s="18" t="n">
        <ns0:v>0.6067395582795143</ns0:v>
      </ns0:c>
    </ns0:row>
    <ns0:row r="48" ht="32" customHeight="1">
      <ns0:c r="A48" s="12" t="inlineStr">
        <ns0:is>
          <ns0:t>office4</ns0:t>
        </ns0:is>
      </ns0:c>
      <ns0:c r="B48" s="12" t="inlineStr">
        <ns0:is>
          <ns0:t>CLIP+bbox读出</ns0:t>
        </ns0:is>
      </ns0:c>
      <ns0:c r="C48" s="17" t="n">
        <ns0:v>400</ns0:v>
      </ns0:c>
      <ns0:c r="D48" s="17" t="n">
        <ns0:v>0</ns0:v>
      </ns0:c>
      <ns0:c r="E48" s="18" t="inlineStr">
        <ns0:is>
          <ns0:t>本次未建图</ns0:t>
        </ns0:is>
      </ns0:c>
      <ns0:c r="F48" s="18" t="inlineStr">
        <ns0:is>
          <ns0:t>不适用</ns0:t>
        </ns0:is>
      </ns0:c>
      <ns0:c r="G48" s="18" t="inlineStr">
        <ns0:is>
          <ns0:t>离线读出</ns0:t>
        </ns0:is>
      </ns0:c>
      <ns0:c r="H48" s="18" t="n">
        <ns0:v>0.5083196284249425</ns0:v>
      </ns0:c>
    </ns0:row>
    <ns0:row r="49" ht="32" customHeight="1">
      <ns0:c r="A49" s="12" t="inlineStr">
        <ns0:is>
          <ns0:t>room0</ns0:t>
        </ns0:is>
      </ns0:c>
      <ns0:c r="B49" s="12" t="inlineStr">
        <ns0:is>
          <ns0:t>TwoRoad bbox读出</ns0:t>
        </ns0:is>
      </ns0:c>
      <ns0:c r="C49" s="17" t="n">
        <ns0:v>400</ns0:v>
      </ns0:c>
      <ns0:c r="D49" s="17" t="n">
        <ns0:v>0</ns0:v>
      </ns0:c>
      <ns0:c r="E49" s="18" t="inlineStr">
        <ns0:is>
          <ns0:t>本次未建图</ns0:t>
        </ns0:is>
      </ns0:c>
      <ns0:c r="F49" s="18" t="inlineStr">
        <ns0:is>
          <ns0:t>不适用</ns0:t>
        </ns0:is>
      </ns0:c>
      <ns0:c r="G49" s="18" t="inlineStr">
        <ns0:is>
          <ns0:t>离线读出</ns0:t>
        </ns0:is>
      </ns0:c>
      <ns0:c r="H49" s="18" t="n">
        <ns0:v>18.83617548458278</ns0:v>
      </ns0:c>
    </ns0:row>
    <ns0:row r="50" ht="28" customHeight="1">
      <ns0:c r="A50" s="3" t="inlineStr">
        <ns0:is>
          <ns0:t>room1</ns0:t>
        </ns0:is>
      </ns0:c>
      <ns0:c r="B50" s="3" t="inlineStr">
        <ns0:is>
          <ns0:t>v7_CLIP_v3</ns0:t>
        </ns0:is>
      </ns0:c>
      <ns0:c r="C50" s="3" t="n">
        <ns0:v>400</ns0:v>
      </ns0:c>
      <ns0:c r="D50" s="3" t="n">
        <ns0:v>2319</ns0:v>
      </ns0:c>
      <ns0:c r="E50" s="8" t="n">
        <ns0:v>7992.391973</ns0:v>
      </ns0:c>
      <ns0:c r="F50" s="8" t="n">
        <ns0:v>19.9809799325</ns0:v>
      </ns0:c>
      <ns0:c r="G50" s="8" t="inlineStr">
        <ns0:is>
          <ns0:t>缺失</ns0:t>
        </ns0:is>
      </ns0:c>
      <ns0:c r="H50" s="8" t="n">
        <ns0:v>12.7109316252172</ns0:v>
      </ns0:c>
    </ns0:row>
    <ns0:row r="51" ht="28" customHeight="1">
      <ns0:c r="A51" s="3" t="inlineStr">
        <ns0:is>
          <ns0:t>room2</ns0:t>
        </ns0:is>
      </ns0:c>
      <ns0:c r="B51" s="3" t="inlineStr">
        <ns0:is>
          <ns0:t>v7_CLIP_v3</ns0:t>
        </ns0:is>
      </ns0:c>
      <ns0:c r="C51" s="3" t="n">
        <ns0:v>400</ns0:v>
      </ns0:c>
      <ns0:c r="D51" s="3" t="n">
        <ns0:v>1186</ns0:v>
      </ns0:c>
      <ns0:c r="E51" s="8" t="n">
        <ns0:v>4626.634194</ns0:v>
      </ns0:c>
      <ns0:c r="F51" s="8" t="n">
        <ns0:v>11.566585485</ns0:v>
      </ns0:c>
      <ns0:c r="G51" s="8" t="inlineStr">
        <ns0:is>
          <ns0:t>缺失</ns0:t>
        </ns0:is>
      </ns0:c>
      <ns0:c r="H51" s="8" t="n">
        <ns0:v>13.91700682230294</ns0:v>
      </ns0:c>
    </ns0:row>
    <ns0:row r="52" ht="28" customHeight="1">
      <ns0:c r="A52" s="3" t="inlineStr">
        <ns0:is>
          <ns0:t>office0</ns0:t>
        </ns0:is>
      </ns0:c>
      <ns0:c r="B52" s="3" t="inlineStr">
        <ns0:is>
          <ns0:t>v7_CLIP_v3</ns0:t>
        </ns0:is>
      </ns0:c>
      <ns0:c r="C52" s="3" t="n">
        <ns0:v>400</ns0:v>
      </ns0:c>
      <ns0:c r="D52" s="3" t="n">
        <ns0:v>1123</ns0:v>
      </ns0:c>
      <ns0:c r="E52" s="8" t="n">
        <ns0:v>3681.700863</ns0:v>
      </ns0:c>
      <ns0:c r="F52" s="8" t="n">
        <ns0:v>9.204252157500001</ns0:v>
      </ns0:c>
      <ns0:c r="G52" s="8" t="inlineStr">
        <ns0:is>
          <ns0:t>缺失</ns0:t>
        </ns0:is>
      </ns0:c>
      <ns0:c r="H52" s="8" t="n">
        <ns0:v>11.0212169252336</ns0:v>
      </ns0:c>
    </ns0:row>
    <ns0:row r="53" ht="28" customHeight="1">
      <ns0:c r="A53" s="3" t="inlineStr">
        <ns0:is>
          <ns0:t>office1</ns0:t>
        </ns0:is>
      </ns0:c>
      <ns0:c r="B53" s="3" t="inlineStr">
        <ns0:is>
          <ns0:t>v7_CLIP_v3</ns0:t>
        </ns0:is>
      </ns0:c>
      <ns0:c r="C53" s="3" t="n">
        <ns0:v>400</ns0:v>
      </ns0:c>
      <ns0:c r="D53" s="3" t="n">
        <ns0:v>1043</ns0:v>
      </ns0:c>
      <ns0:c r="E53" s="8" t="n">
        <ns0:v>4415.540595</ns0:v>
      </ns0:c>
      <ns0:c r="F53" s="8" t="n">
        <ns0:v>11.0388514875</ns0:v>
      </ns0:c>
      <ns0:c r="G53" s="8" t="inlineStr">
        <ns0:is>
          <ns0:t>缺失</ns0:t>
        </ns0:is>
      </ns0:c>
      <ns0:c r="H53" s="8" t="n">
        <ns0:v>10.33568796049803</ns0:v>
      </ns0:c>
    </ns0:row>
    <ns0:row r="54" ht="28" customHeight="1">
      <ns0:c r="A54" s="3" t="inlineStr">
        <ns0:is>
          <ns0:t>office2</ns0:t>
        </ns0:is>
      </ns0:c>
      <ns0:c r="B54" s="3" t="inlineStr">
        <ns0:is>
          <ns0:t>v7_CLIP_v3</ns0:t>
        </ns0:is>
      </ns0:c>
      <ns0:c r="C54" s="3" t="n">
        <ns0:v>400</ns0:v>
      </ns0:c>
      <ns0:c r="D54" s="3" t="n">
        <ns0:v>3367</ns0:v>
      </ns0:c>
      <ns0:c r="E54" s="8" t="n">
        <ns0:v>13606.605541</ns0:v>
      </ns0:c>
      <ns0:c r="F54" s="8" t="n">
        <ns0:v>34.0165138525</ns0:v>
      </ns0:c>
      <ns0:c r="G54" s="8" t="inlineStr">
        <ns0:is>
          <ns0:t>缺失</ns0:t>
        </ns0:is>
      </ns0:c>
      <ns0:c r="H54" s="8" t="n">
        <ns0:v>16.02963855583221</ns0:v>
      </ns0:c>
    </ns0:row>
    <ns0:row r="55" ht="42" customHeight="1">
      <ns0:c r="A55" s="3" t="inlineStr">
        <ns0:is>
          <ns0:t>room0</ns0:t>
        </ns0:is>
      </ns0:c>
      <ns0:c r="B55" s="3" t="inlineStr">
        <ns0:is>
          <ns0:t>A ali-my bff233f</ns0:t>
        </ns0:is>
      </ns0:c>
      <ns0:c r="C55" s="3" t="n">
        <ns0:v>400</ns0:v>
      </ns0:c>
      <ns0:c r="D55" s="3" t="n">
        <ns0:v>0</ns0:v>
      </ns0:c>
      <ns0:c r="E55" s="8" t="inlineStr">
        <ns0:is>
          <ns0:t>缺失</ns0:t>
        </ns0:is>
      </ns0:c>
      <ns0:c r="F55" s="8" t="inlineStr">
        <ns0:is>
          <ns0:t>缺失</ns0:t>
        </ns0:is>
      </ns0:c>
      <ns0:c r="G55" s="8" t="inlineStr">
        <ns0:is>
          <ns0:t>缺失</ns0:t>
        </ns0:is>
      </ns0:c>
      <ns0:c r="H55" s="8" t="n">
        <ns0:v>33.11317836586386</ns0:v>
      </ns0:c>
    </ns0:row>
    <ns0:row r="56" ht="42" customHeight="1">
      <ns0:c r="A56" s="3" t="inlineStr">
        <ns0:is>
          <ns0:t>room0</ns0:t>
        </ns0:is>
      </ns0:c>
      <ns0:c r="B56" s="3" t="inlineStr">
        <ns0:is>
          <ns0:t>B 原图（无VLM）</ns0:t>
        </ns0:is>
      </ns0:c>
      <ns0:c r="C56" s="3" t="n">
        <ns0:v>400</ns0:v>
      </ns0:c>
      <ns0:c r="D56" s="3" t="n">
        <ns0:v>0</ns0:v>
      </ns0:c>
      <ns0:c r="E56" s="8" t="n">
        <ns0:v>2783.466422080994</ns0:v>
      </ns0:c>
      <ns0:c r="F56" s="8">
        <ns0:f>E56/C56</ns0:f>
        <ns0:v>6.95866605520249</ns0:v>
      </ns0:c>
      <ns0:c r="G56" s="8" t="inlineStr">
        <ns0:is>
          <ns0:t>缺失</ns0:t>
        </ns0:is>
      </ns0:c>
      <ns0:c r="H56" s="8" t="n">
        <ns0:v>33.63080935180187</ns0:v>
      </ns0:c>
    </ns0:row>
    <ns0:row r="57" ht="42" customHeight="1">
      <ns0:c r="A57" s="3" t="inlineStr">
        <ns0:is>
          <ns0:t>room0</ns0:t>
        </ns0:is>
      </ns0:c>
      <ns0:c r="B57" s="3" t="inlineStr">
        <ns0:is>
          <ns0:t>C 原图+CLIP（无VLM）</ns0:t>
        </ns0:is>
      </ns0:c>
      <ns0:c r="C57" s="3" t="n">
        <ns0:v>400</ns0:v>
      </ns0:c>
      <ns0:c r="D57" s="3" t="n">
        <ns0:v>0</ns0:v>
      </ns0:c>
      <ns0:c r="E57" s="8" t="n">
        <ns0:v>4342.007757425308</ns0:v>
      </ns0:c>
      <ns0:c r="F57" s="8">
        <ns0:f>E57/C57</ns0:f>
        <ns0:v>10.8550193935633</ns0:v>
      </ns0:c>
      <ns0:c r="G57" s="8" t="n">
        <ns0:v>4342.007757425308</ns0:v>
      </ns0:c>
      <ns0:c r="H57" s="8" t="n">
        <ns0:v>34.1516664493829</ns0:v>
      </ns0:c>
    </ns0:row>
    <ns0:row r="58" ht="42" customHeight="1">
      <ns0:c r="A58" s="3" t="inlineStr">
        <ns0:is>
          <ns0:t>room1</ns0:t>
        </ns0:is>
      </ns0:c>
      <ns0:c r="B58" s="3" t="inlineStr">
        <ns0:is>
          <ns0:t>A ali-my bff233f</ns0:t>
        </ns0:is>
      </ns0:c>
      <ns0:c r="C58" s="3" t="n">
        <ns0:v>400</ns0:v>
      </ns0:c>
      <ns0:c r="D58" s="3" t="n">
        <ns0:v>0</ns0:v>
      </ns0:c>
      <ns0:c r="E58" s="8" t="inlineStr">
        <ns0:is>
          <ns0:t>缺失</ns0:t>
        </ns0:is>
      </ns0:c>
      <ns0:c r="F58" s="8" t="inlineStr">
        <ns0:is>
          <ns0:t>缺失</ns0:t>
        </ns0:is>
      </ns0:c>
      <ns0:c r="G58" s="8" t="inlineStr">
        <ns0:is>
          <ns0:t>缺失</ns0:t>
        </ns0:is>
      </ns0:c>
      <ns0:c r="H58" s="8" t="n">
        <ns0:v>17.11152618005872</ns0:v>
      </ns0:c>
    </ns0:row>
    <ns0:row r="59" ht="42" customHeight="1">
      <ns0:c r="A59" s="3" t="inlineStr">
        <ns0:is>
          <ns0:t>room1</ns0:t>
        </ns0:is>
      </ns0:c>
      <ns0:c r="B59" s="3" t="inlineStr">
        <ns0:is>
          <ns0:t>B 原图（无VLM）</ns0:t>
        </ns0:is>
      </ns0:c>
      <ns0:c r="C59" s="3" t="n">
        <ns0:v>400</ns0:v>
      </ns0:c>
      <ns0:c r="D59" s="3" t="n">
        <ns0:v>0</ns0:v>
      </ns0:c>
      <ns0:c r="E59" s="8" t="n">
        <ns0:v>1641.340011119843</ns0:v>
      </ns0:c>
      <ns0:c r="F59" s="8">
        <ns0:f>E59/C59</ns0:f>
        <ns0:v>4.10335002779961</ns0:v>
      </ns0:c>
      <ns0:c r="G59" s="8" t="inlineStr">
        <ns0:is>
          <ns0:t>缺失</ns0:t>
        </ns0:is>
      </ns0:c>
      <ns0:c r="H59" s="8" t="n">
        <ns0:v>16.94824093952775</ns0:v>
      </ns0:c>
    </ns0:row>
    <ns0:row r="60" ht="42" customHeight="1">
      <ns0:c r="A60" s="3" t="inlineStr">
        <ns0:is>
          <ns0:t>room1</ns0:t>
        </ns0:is>
      </ns0:c>
      <ns0:c r="B60" s="3" t="inlineStr">
        <ns0:is>
          <ns0:t>C 原图+CLIP（无VLM）</ns0:t>
        </ns0:is>
      </ns0:c>
      <ns0:c r="C60" s="3" t="n">
        <ns0:v>400</ns0:v>
      </ns0:c>
      <ns0:c r="D60" s="3" t="n">
        <ns0:v>0</ns0:v>
      </ns0:c>
      <ns0:c r="E60" s="8" t="n">
        <ns0:v>2556.928993225098</ns0:v>
      </ns0:c>
      <ns0:c r="F60" s="8">
        <ns0:f>E60/C60</ns0:f>
        <ns0:v>6.39232248306275</ns0:v>
      </ns0:c>
      <ns0:c r="G60" s="8" t="n">
        <ns0:v>2556.928993225098</ns0:v>
      </ns0:c>
      <ns0:c r="H60" s="8" t="n">
        <ns0:v>13.76705645397305</ns0:v>
      </ns0:c>
    </ns0:row>
    <ns0:row r="61" ht="42" customHeight="1">
      <ns0:c r="A61" s="3" t="inlineStr">
        <ns0:is>
          <ns0:t>room2</ns0:t>
        </ns0:is>
      </ns0:c>
      <ns0:c r="B61" s="3" t="inlineStr">
        <ns0:is>
          <ns0:t>A ali-my bff233f</ns0:t>
        </ns0:is>
      </ns0:c>
      <ns0:c r="C61" s="3" t="n">
        <ns0:v>400</ns0:v>
      </ns0:c>
      <ns0:c r="D61" s="3" t="n">
        <ns0:v>0</ns0:v>
      </ns0:c>
      <ns0:c r="E61" s="8" t="inlineStr">
        <ns0:is>
          <ns0:t>缺失</ns0:t>
        </ns0:is>
      </ns0:c>
      <ns0:c r="F61" s="8" t="inlineStr">
        <ns0:is>
          <ns0:t>缺失</ns0:t>
        </ns0:is>
      </ns0:c>
      <ns0:c r="G61" s="8" t="inlineStr">
        <ns0:is>
          <ns0:t>缺失</ns0:t>
        </ns0:is>
      </ns0:c>
      <ns0:c r="H61" s="8" t="n">
        <ns0:v>18.20067461300641</ns0:v>
      </ns0:c>
    </ns0:row>
    <ns0:row r="62" ht="42" customHeight="1">
      <ns0:c r="A62" s="3" t="inlineStr">
        <ns0:is>
          <ns0:t>room2</ns0:t>
        </ns0:is>
      </ns0:c>
      <ns0:c r="B62" s="3" t="inlineStr">
        <ns0:is>
          <ns0:t>B 原图（无VLM）</ns0:t>
        </ns0:is>
      </ns0:c>
      <ns0:c r="C62" s="3" t="n">
        <ns0:v>400</ns0:v>
      </ns0:c>
      <ns0:c r="D62" s="3" t="n">
        <ns0:v>0</ns0:v>
      </ns0:c>
      <ns0:c r="E62" s="8" t="n">
        <ns0:v>1453.645392894745</ns0:v>
      </ns0:c>
      <ns0:c r="F62" s="8">
        <ns0:f>E62/C62</ns0:f>
        <ns0:v>3.63411348223686</ns0:v>
      </ns0:c>
      <ns0:c r="G62" s="8" t="inlineStr">
        <ns0:is>
          <ns0:t>缺失</ns0:t>
        </ns0:is>
      </ns0:c>
      <ns0:c r="H62" s="8" t="n">
        <ns0:v>20.05520059075207</ns0:v>
      </ns0:c>
    </ns0:row>
    <ns0:row r="63" ht="42" customHeight="1">
      <ns0:c r="A63" s="3" t="inlineStr">
        <ns0:is>
          <ns0:t>room2</ns0:t>
        </ns0:is>
      </ns0:c>
      <ns0:c r="B63" s="3" t="inlineStr">
        <ns0:is>
          <ns0:t>C 原图+CLIP（无VLM）</ns0:t>
        </ns0:is>
      </ns0:c>
      <ns0:c r="C63" s="3" t="n">
        <ns0:v>400</ns0:v>
      </ns0:c>
      <ns0:c r="D63" s="3" t="n">
        <ns0:v>0</ns0:v>
      </ns0:c>
      <ns0:c r="E63" s="8" t="n">
        <ns0:v>2695.654410123825</ns0:v>
      </ns0:c>
      <ns0:c r="F63" s="8">
        <ns0:f>E63/C63</ns0:f>
        <ns0:v>6.73913602530956</ns0:v>
      </ns0:c>
      <ns0:c r="G63" s="8" t="n">
        <ns0:v>2695.654410123825</ns0:v>
      </ns0:c>
      <ns0:c r="H63" s="8" t="n">
        <ns0:v>15.63212918955833</ns0:v>
      </ns0:c>
    </ns0:row>
    <ns0:row r="64" ht="42" customHeight="1">
      <ns0:c r="A64" s="3" t="inlineStr">
        <ns0:is>
          <ns0:t>office0</ns0:t>
        </ns0:is>
      </ns0:c>
      <ns0:c r="B64" s="3" t="inlineStr">
        <ns0:is>
          <ns0:t>A ali-my bff233f</ns0:t>
        </ns0:is>
      </ns0:c>
      <ns0:c r="C64" s="3" t="n">
        <ns0:v>400</ns0:v>
      </ns0:c>
      <ns0:c r="D64" s="3" t="n">
        <ns0:v>0</ns0:v>
      </ns0:c>
      <ns0:c r="E64" s="8" t="inlineStr">
        <ns0:is>
          <ns0:t>缺失</ns0:t>
        </ns0:is>
      </ns0:c>
      <ns0:c r="F64" s="8" t="inlineStr">
        <ns0:is>
          <ns0:t>缺失</ns0:t>
        </ns0:is>
      </ns0:c>
      <ns0:c r="G64" s="8" t="inlineStr">
        <ns0:is>
          <ns0:t>缺失</ns0:t>
        </ns0:is>
      </ns0:c>
      <ns0:c r="H64" s="8" t="n">
        <ns0:v>10.72616327833384</ns0:v>
      </ns0:c>
    </ns0:row>
    <ns0:row r="65" ht="42" customHeight="1">
      <ns0:c r="A65" s="3" t="inlineStr">
        <ns0:is>
          <ns0:t>office0</ns0:t>
        </ns0:is>
      </ns0:c>
      <ns0:c r="B65" s="3" t="inlineStr">
        <ns0:is>
          <ns0:t>B 原图（无VLM）</ns0:t>
        </ns0:is>
      </ns0:c>
      <ns0:c r="C65" s="3" t="n">
        <ns0:v>400</ns0:v>
      </ns0:c>
      <ns0:c r="D65" s="3" t="n">
        <ns0:v>0</ns0:v>
      </ns0:c>
      <ns0:c r="E65" s="8" t="n">
        <ns0:v>1025.707487821579</ns0:v>
      </ns0:c>
      <ns0:c r="F65" s="8">
        <ns0:f>E65/C65</ns0:f>
        <ns0:v>2.56426871955395</ns0:v>
      </ns0:c>
      <ns0:c r="G65" s="8" t="inlineStr">
        <ns0:is>
          <ns0:t>缺失</ns0:t>
        </ns0:is>
      </ns0:c>
      <ns0:c r="H65" s="8" t="n">
        <ns0:v>12.46581593994051</ns0:v>
      </ns0:c>
    </ns0:row>
    <ns0:row r="66" ht="42" customHeight="1">
      <ns0:c r="A66" s="3" t="inlineStr">
        <ns0:is>
          <ns0:t>office0</ns0:t>
        </ns0:is>
      </ns0:c>
      <ns0:c r="B66" s="3" t="inlineStr">
        <ns0:is>
          <ns0:t>C 原图+CLIP（无VLM）</ns0:t>
        </ns0:is>
      </ns0:c>
      <ns0:c r="C66" s="3" t="n">
        <ns0:v>400</ns0:v>
      </ns0:c>
      <ns0:c r="D66" s="3" t="n">
        <ns0:v>0</ns0:v>
      </ns0:c>
      <ns0:c r="E66" s="8" t="n">
        <ns0:v>1826.896062612534</ns0:v>
      </ns0:c>
      <ns0:c r="F66" s="8">
        <ns0:f>E66/C66</ns0:f>
        <ns0:v>4.56724015653134</ns0:v>
      </ns0:c>
      <ns0:c r="G66" s="8" t="n">
        <ns0:v>1826.896062612534</ns0:v>
      </ns0:c>
      <ns0:c r="H66" s="8" t="n">
        <ns0:v>15.75327025540173</ns0:v>
      </ns0:c>
    </ns0:row>
    <ns0:row r="67" ht="42" customHeight="1">
      <ns0:c r="A67" s="3" t="inlineStr">
        <ns0:is>
          <ns0:t>office1</ns0:t>
        </ns0:is>
      </ns0:c>
      <ns0:c r="B67" s="3" t="inlineStr">
        <ns0:is>
          <ns0:t>A ali-my bff233f</ns0:t>
        </ns0:is>
      </ns0:c>
      <ns0:c r="C67" s="3" t="n">
        <ns0:v>400</ns0:v>
      </ns0:c>
      <ns0:c r="D67" s="3" t="n">
        <ns0:v>0</ns0:v>
      </ns0:c>
      <ns0:c r="E67" s="8" t="inlineStr">
        <ns0:is>
          <ns0:t>缺失</ns0:t>
        </ns0:is>
      </ns0:c>
      <ns0:c r="F67" s="8" t="inlineStr">
        <ns0:is>
          <ns0:t>缺失</ns0:t>
        </ns0:is>
      </ns0:c>
      <ns0:c r="G67" s="8" t="inlineStr">
        <ns0:is>
          <ns0:t>缺失</ns0:t>
        </ns0:is>
      </ns0:c>
      <ns0:c r="H67" s="8" t="n">
        <ns0:v>10.16648636106402</ns0:v>
      </ns0:c>
    </ns0:row>
    <ns0:row r="68" ht="42" customHeight="1">
      <ns0:c r="A68" s="3" t="inlineStr">
        <ns0:is>
          <ns0:t>office1</ns0:t>
        </ns0:is>
      </ns0:c>
      <ns0:c r="B68" s="3" t="inlineStr">
        <ns0:is>
          <ns0:t>B 原图（无VLM）</ns0:t>
        </ns0:is>
      </ns0:c>
      <ns0:c r="C68" s="3" t="n">
        <ns0:v>400</ns0:v>
      </ns0:c>
      <ns0:c r="D68" s="3" t="n">
        <ns0:v>0</ns0:v>
      </ns0:c>
      <ns0:c r="E68" s="8" t="n">
        <ns0:v>908.5986890792847</ns0:v>
      </ns0:c>
      <ns0:c r="F68" s="8">
        <ns0:f>E68/C68</ns0:f>
        <ns0:v>2.27149672269821</ns0:v>
      </ns0:c>
      <ns0:c r="G68" s="8" t="inlineStr">
        <ns0:is>
          <ns0:t>缺失</ns0:t>
        </ns0:is>
      </ns0:c>
      <ns0:c r="H68" s="8" t="n">
        <ns0:v>12.12903027143329</ns0:v>
      </ns0:c>
    </ns0:row>
    <ns0:row r="69" ht="42" customHeight="1">
      <ns0:c r="A69" s="3" t="inlineStr">
        <ns0:is>
          <ns0:t>office1</ns0:t>
        </ns0:is>
      </ns0:c>
      <ns0:c r="B69" s="3" t="inlineStr">
        <ns0:is>
          <ns0:t>C 原图+CLIP（无VLM）</ns0:t>
        </ns0:is>
      </ns0:c>
      <ns0:c r="C69" s="3" t="n">
        <ns0:v>400</ns0:v>
      </ns0:c>
      <ns0:c r="D69" s="3" t="n">
        <ns0:v>0</ns0:v>
      </ns0:c>
      <ns0:c r="E69" s="8" t="n">
        <ns0:v>2184.017697572708</ns0:v>
      </ns0:c>
      <ns0:c r="F69" s="8">
        <ns0:f>E69/C69</ns0:f>
        <ns0:v>5.46004424393177</ns0:v>
      </ns0:c>
      <ns0:c r="G69" s="8" t="n">
        <ns0:v>2184.017697572708</ns0:v>
      </ns0:c>
      <ns0:c r="H69" s="8" t="n">
        <ns0:v>15.5737386662513</ns0:v>
      </ns0:c>
    </ns0:row>
    <ns0:row r="70" ht="42" customHeight="1">
      <ns0:c r="A70" s="3" t="inlineStr">
        <ns0:is>
          <ns0:t>office2</ns0:t>
        </ns0:is>
      </ns0:c>
      <ns0:c r="B70" s="3" t="inlineStr">
        <ns0:is>
          <ns0:t>A ali-my bff233f</ns0:t>
        </ns0:is>
      </ns0:c>
      <ns0:c r="C70" s="3" t="n">
        <ns0:v>400</ns0:v>
      </ns0:c>
      <ns0:c r="D70" s="3" t="n">
        <ns0:v>0</ns0:v>
      </ns0:c>
      <ns0:c r="E70" s="8" t="inlineStr">
        <ns0:is>
          <ns0:t>缺失</ns0:t>
        </ns0:is>
      </ns0:c>
      <ns0:c r="F70" s="8" t="inlineStr">
        <ns0:is>
          <ns0:t>缺失</ns0:t>
        </ns0:is>
      </ns0:c>
      <ns0:c r="G70" s="8" t="inlineStr">
        <ns0:is>
          <ns0:t>缺失</ns0:t>
        </ns0:is>
      </ns0:c>
      <ns0:c r="H70" s="8" t="n">
        <ns0:v>13.02881604805589</ns0:v>
      </ns0:c>
    </ns0:row>
    <ns0:row r="71" ht="42" customHeight="1">
      <ns0:c r="A71" s="3" t="inlineStr">
        <ns0:is>
          <ns0:t>office2</ns0:t>
        </ns0:is>
      </ns0:c>
      <ns0:c r="B71" s="3" t="inlineStr">
        <ns0:is>
          <ns0:t>B 原图（无VLM）</ns0:t>
        </ns0:is>
      </ns0:c>
      <ns0:c r="C71" s="3" t="n">
        <ns0:v>400</ns0:v>
      </ns0:c>
      <ns0:c r="D71" s="3" t="n">
        <ns0:v>0</ns0:v>
      </ns0:c>
      <ns0:c r="E71" s="8" t="n">
        <ns0:v>2044.062621355057</ns0:v>
      </ns0:c>
      <ns0:c r="F71" s="8">
        <ns0:f>E71/C71</ns0:f>
        <ns0:v>5.11015655338764</ns0:v>
      </ns0:c>
      <ns0:c r="G71" s="8" t="inlineStr">
        <ns0:is>
          <ns0:t>缺失</ns0:t>
        </ns0:is>
      </ns0:c>
      <ns0:c r="H71" s="8" t="n">
        <ns0:v>14.87257890962064</ns0:v>
      </ns0:c>
    </ns0:row>
    <ns0:row r="72" ht="42" customHeight="1">
      <ns0:c r="A72" s="3" t="inlineStr">
        <ns0:is>
          <ns0:t>office2</ns0:t>
        </ns0:is>
      </ns0:c>
      <ns0:c r="B72" s="3" t="inlineStr">
        <ns0:is>
          <ns0:t>C 原图+CLIP（无VLM）</ns0:t>
        </ns0:is>
      </ns0:c>
      <ns0:c r="C72" s="3" t="n">
        <ns0:v>400</ns0:v>
      </ns0:c>
      <ns0:c r="D72" s="3" t="n">
        <ns0:v>0</ns0:v>
      </ns0:c>
      <ns0:c r="E72" s="8" t="n">
        <ns0:v>3121.952313661575</ns0:v>
      </ns0:c>
      <ns0:c r="F72" s="8">
        <ns0:f>E72/C72</ns0:f>
        <ns0:v>7.80488078415394</ns0:v>
      </ns0:c>
      <ns0:c r="G72" s="8" t="n">
        <ns0:v>3121.952313661575</ns0:v>
      </ns0:c>
      <ns0:c r="H72" s="8" t="n">
        <ns0:v>14.7026820005849</ns0:v>
      </ns0:c>
    </ns0:row>
    <ns0:row r="73" ht="42" customHeight="1">
      <ns0:c r="A73" s="3" t="inlineStr">
        <ns0:is>
          <ns0:t>office3</ns0:t>
        </ns0:is>
      </ns0:c>
      <ns0:c r="B73" s="3" t="inlineStr">
        <ns0:is>
          <ns0:t>A ali-my bff233f</ns0:t>
        </ns0:is>
      </ns0:c>
      <ns0:c r="C73" s="3" t="n">
        <ns0:v>400</ns0:v>
      </ns0:c>
      <ns0:c r="D73" s="3" t="n">
        <ns0:v>0</ns0:v>
      </ns0:c>
      <ns0:c r="E73" s="8" t="inlineStr">
        <ns0:is>
          <ns0:t>缺失</ns0:t>
        </ns0:is>
      </ns0:c>
      <ns0:c r="F73" s="8" t="inlineStr">
        <ns0:is>
          <ns0:t>缺失</ns0:t>
        </ns0:is>
      </ns0:c>
      <ns0:c r="G73" s="8" t="inlineStr">
        <ns0:is>
          <ns0:t>缺失</ns0:t>
        </ns0:is>
      </ns0:c>
      <ns0:c r="H73" s="8" t="n">
        <ns0:v>20.56423601787537</ns0:v>
      </ns0:c>
    </ns0:row>
    <ns0:row r="74" ht="42" customHeight="1">
      <ns0:c r="A74" s="3" t="inlineStr">
        <ns0:is>
          <ns0:t>office3</ns0:t>
        </ns0:is>
      </ns0:c>
      <ns0:c r="B74" s="3" t="inlineStr">
        <ns0:is>
          <ns0:t>B 原图（无VLM）</ns0:t>
        </ns0:is>
      </ns0:c>
      <ns0:c r="C74" s="3" t="n">
        <ns0:v>400</ns0:v>
      </ns0:c>
      <ns0:c r="D74" s="3" t="n">
        <ns0:v>0</ns0:v>
      </ns0:c>
      <ns0:c r="E74" s="8" t="n">
        <ns0:v>2243.429654598236</ns0:v>
      </ns0:c>
      <ns0:c r="F74" s="8">
        <ns0:f>E74/C74</ns0:f>
        <ns0:v>5.60857413649559</ns0:v>
      </ns0:c>
      <ns0:c r="G74" s="8" t="inlineStr">
        <ns0:is>
          <ns0:t>缺失</ns0:t>
        </ns0:is>
      </ns0:c>
      <ns0:c r="H74" s="8" t="n">
        <ns0:v>22.82276303973049</ns0:v>
      </ns0:c>
    </ns0:row>
    <ns0:row r="75" ht="42" customHeight="1">
      <ns0:c r="A75" s="3" t="inlineStr">
        <ns0:is>
          <ns0:t>office3</ns0:t>
        </ns0:is>
      </ns0:c>
      <ns0:c r="B75" s="3" t="inlineStr">
        <ns0:is>
          <ns0:t>C 原图+CLIP（无VLM）</ns0:t>
        </ns0:is>
      </ns0:c>
      <ns0:c r="C75" s="3" t="n">
        <ns0:v>400</ns0:v>
      </ns0:c>
      <ns0:c r="D75" s="3" t="n">
        <ns0:v>0</ns0:v>
      </ns0:c>
      <ns0:c r="E75" s="8" t="n">
        <ns0:v>2280.996458053589</ns0:v>
      </ns0:c>
      <ns0:c r="F75" s="8">
        <ns0:f>E75/C75</ns0:f>
        <ns0:v>5.70249114513397</ns0:v>
      </ns0:c>
      <ns0:c r="G75" s="8" t="inlineStr">
        <ns0:is>
          <ns0:t>缺失</ns0:t>
        </ns0:is>
      </ns0:c>
      <ns0:c r="H75" s="8" t="n">
        <ns0:v>22.18930451385677</ns0:v>
      </ns0:c>
    </ns0:row>
    <ns0:row r="76" ht="42" customHeight="1">
      <ns0:c r="A76" s="3" t="inlineStr">
        <ns0:is>
          <ns0:t>office4</ns0:t>
        </ns0:is>
      </ns0:c>
      <ns0:c r="B76" s="3" t="inlineStr">
        <ns0:is>
          <ns0:t>A ali-my bff233f</ns0:t>
        </ns0:is>
      </ns0:c>
      <ns0:c r="C76" s="3" t="n">
        <ns0:v>400</ns0:v>
      </ns0:c>
      <ns0:c r="D76" s="3" t="n">
        <ns0:v>0</ns0:v>
      </ns0:c>
      <ns0:c r="E76" s="8" t="inlineStr">
        <ns0:is>
          <ns0:t>缺失</ns0:t>
        </ns0:is>
      </ns0:c>
      <ns0:c r="F76" s="8" t="inlineStr">
        <ns0:is>
          <ns0:t>缺失</ns0:t>
        </ns0:is>
      </ns0:c>
      <ns0:c r="G76" s="8" t="inlineStr">
        <ns0:is>
          <ns0:t>缺失</ns0:t>
        </ns0:is>
      </ns0:c>
      <ns0:c r="H76" s="8" t="n">
        <ns0:v>16.50374036002904</ns0:v>
      </ns0:c>
    </ns0:row>
    <ns0:row r="77" ht="42" customHeight="1">
      <ns0:c r="A77" s="3" t="inlineStr">
        <ns0:is>
          <ns0:t>office4</ns0:t>
        </ns0:is>
      </ns0:c>
      <ns0:c r="B77" s="3" t="inlineStr">
        <ns0:is>
          <ns0:t>B 原图（无VLM）</ns0:t>
        </ns0:is>
      </ns0:c>
      <ns0:c r="C77" s="3" t="n">
        <ns0:v>400</ns0:v>
      </ns0:c>
      <ns0:c r="D77" s="3" t="n">
        <ns0:v>0</ns0:v>
      </ns0:c>
      <ns0:c r="E77" s="8" t="n">
        <ns0:v>1774.992936372757</ns0:v>
      </ns0:c>
      <ns0:c r="F77" s="8">
        <ns0:f>E77/C77</ns0:f>
        <ns0:v>4.43748234093189</ns0:v>
      </ns0:c>
      <ns0:c r="G77" s="8" t="inlineStr">
        <ns0:is>
          <ns0:t>缺失</ns0:t>
        </ns0:is>
      </ns0:c>
      <ns0:c r="H77" s="8" t="n">
        <ns0:v>16.55685707554221</ns0:v>
      </ns0:c>
    </ns0:row>
    <ns0:row r="78" ht="42" customHeight="1">
      <ns0:c r="A78" s="3" t="inlineStr">
        <ns0:is>
          <ns0:t>office4</ns0:t>
        </ns0:is>
      </ns0:c>
      <ns0:c r="B78" s="3" t="inlineStr">
        <ns0:is>
          <ns0:t>C 原图+CLIP（无VLM）</ns0:t>
        </ns0:is>
      </ns0:c>
      <ns0:c r="C78" s="3" t="n">
        <ns0:v>400</ns0:v>
      </ns0:c>
      <ns0:c r="D78" s="3" t="n">
        <ns0:v>0</ns0:v>
      </ns0:c>
      <ns0:c r="E78" s="8" t="n">
        <ns0:v>1888.993539810181</ns0:v>
      </ns0:c>
      <ns0:c r="F78" s="8">
        <ns0:f>E78/C78</ns0:f>
        <ns0:v>4.72248384952545</ns0:v>
      </ns0:c>
      <ns0:c r="G78" s="8" t="inlineStr">
        <ns0:is>
          <ns0:t>缺失</ns0:t>
        </ns0:is>
      </ns0:c>
      <ns0:c r="H78" s="8" t="n">
        <ns0:v>15.66553650982678</ns0:v>
      </ns0:c>
    </ns0:row>
  </ns0:sheetData>
  <ns0:autoFilter ref="A4:H78"/>
  <ns0:mergeCells count="2">
    <ns0:mergeCell ref="A2:H2"/>
    <ns0:mergeCell ref="A1:H1"/>
  </ns0:mergeCells>
  <ns0:pageMargins left="0.75" right="0.75" top="1" bottom="1" header="0.5" footer="0.5"/>
  <ns0:pageSetup orientation="landscape" paperSize="8" fitToHeight="0" fitToWidth="1"/>
  <ns0:rowBreaks count="1" manualBreakCount="1">
    <ns0:brk id="21" min="0" max="16383" man="1"/>
  </ns0:rowBreaks>
</ns0:worksheet>
</file>

<file path=xl/worksheets/sheet5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B41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5" customWidth="1" min="1" max="1"/>
    <ns0:col width="125" customWidth="1" min="2" max="2"/>
  </ns0:cols>
  <ns0:sheetData>
    <ns0:row r="1" ht="30" customHeight="1">
      <ns0:c r="A1" s="1" t="inlineStr">
        <ns0:is>
          <ns0:t>统一协议 v2 与数据范围</ns0:t>
        </ns0:is>
      </ns0:c>
    </ns0:row>
    <ns0:row r="2"/>
    <ns0:row r="3" ht="38" customHeight="1">
      <ns0:c r="A3" s="2" t="inlineStr">
        <ns0:is>
          <ns0:t>项目</ns0:t>
        </ns0:is>
      </ns0:c>
      <ns0:c r="B3" s="2" t="inlineStr">
        <ns0:is>
          <ns0:t>计算与说明</ns0:t>
        </ns0:is>
      </ns0:c>
    </ns0:row>
    <ns0:row r="4" ht="46" customHeight="1">
      <ns0:c r="A4" s="5" t="inlineStr">
        <ns0:is>
          <ns0:t>协议</ns0:t>
        </ns0:is>
      </ns0:c>
      <ns0:c r="B4" s="5" t="inlineStr">
        <ns0:is>
          <ns0:t>unified_fullmesh_v2_20260910；GitHub evaluate 分支 e6e666a。旧版 Excel 已备份，本文档全部质量分数来自 v2。</ns0:t>
        </ns0:is>
      </ns0:c>
    </ns0:row>
    <ns0:row r="5" ht="46" customHeight="1">
      <ns0:c r="A5" s="3" t="inlineStr">
        <ns0:is>
          <ns0:t>输入与投影</ns0:t>
        </ns0:is>
      </ns0:c>
      <ns0:c r="B5" s="3" t="inlineStr">
        <ns0:is>
          <ns0:t>同一完整 NICE-SLAM Replica GT 网格及固定标签。先排除 owner=-1，然后最近邻 k=1，距离严格 &lt;5cm；未覆盖 GT 保留。</ns0:t>
        </ns0:is>
      </ns0:c>
    </ns0:row>
    <ns0:row r="6" ht="46" customHeight="1">
      <ns0:c r="A6" s="5" t="inlineStr">
        <ns0:is>
          <ns0:t>Instance mIoU</ns0:t>
        </ns0:is>
      </ns0:c>
      <ns0:c r="B6" s="5" t="inlineStr">
        <ns0:is>
          <ns0:t>48个物体类别，排除墙/天花板/地板；GT&gt;=10点；每个GT独立取最大IoU；无预测最小点数门槛；漏检0；允许多个GT选中同一预测。</ns0:t>
        </ns0:is>
      </ns0:c>
    </ns0:row>
    <ns0:row r="7" ht="46" customHeight="1">
      <ns0:c r="A7" s="3" t="inlineStr">
        <ns0:is>
          <ns0:t>Instance AP</ns0:t>
        </ns0:is>
      </ns0:c>
      <ns0:c r="B7" s="3" t="inlineStr">
        <ns0:is>
          <ns0:t>类别无关，GT/预测最少100点；IoU严格&gt;0.25/0.50/0.75。原引擎固定，按投影点数/最大投影点数排序（六位小数）。</ns0:t>
        </ns0:is>
      </ns0:c>
    </ns0:row>
    <ns0:row r="8" ht="46" customHeight="1">
      <ns0:c r="A8" s="5" t="inlineStr">
        <ns0:is>
          <ns0:t>Semantic mIoU / mAcc</ns0:t>
        </ns0:is>
      </ns0:c>
      <ns0:c r="B8" s="5" t="inlineStr">
        <ns0:is>
          <ns0:t>固定51类，不exclude6，墙/天花板/地板/门/窗均保留；仅对GT中出现的类别平均；GT未标注点忽略。</ns0:t>
        </ns0:is>
      </ns0:c>
    </ns0:row>
    <ns0:row r="9" ht="46" customHeight="1">
      <ns0:c r="A9" s="3" t="inlineStr">
        <ns0:is>
          <ns0:t>Semantic AP25 / AP50</ns0:t>
        </ns0:is>
      </ns0:c>
      <ns0:c r="B9" s="3" t="inlineStr">
        <ns0:is>
          <ns0:t>要求同类别且IoU严格超过门槛；GT/预测100点；只对有合格GT的类别平均，预测点数在预测类别内归一化。</ns0:t>
        </ns0:is>
      </ns0:c>
    </ns0:row>
    <ns0:row r="10" ht="46" customHeight="1">
      <ns0:c r="A10" s="5" t="inlineStr">
        <ns0:is>
          <ns0:t>AP忽略规则</ns0:t>
        </ns0:is>
      </ns0:c>
      <ns0:c r="B10" s="5" t="inlineStr">
        <ns0:is>
          <ns0:t>未匹配预测与void/被忽略GT区域的交集比例超过当前IoU门槛时不计误检，沿用固定原引擎。</ns0:t>
        </ns0:is>
      </ns0:c>
    </ns0:row>
    <ns0:row r="11" ht="46" customHeight="1">
      <ns0:c r="A11" s="3" t="inlineStr">
        <ns0:is>
          <ns0:t>Object Surface Coverage</ns0:t>
        </ns0:is>
      </ns0:c>
      <ns0:c r="B11" s="3" t="inlineStr">
        <ns0:is>
          <ns0:t>48个物体类别GT表面中，5cm内有有效预测的点比例。不检查类别或身份，不过滤小实例。</ns0:t>
        </ns0:is>
      </ns0:c>
    </ns0:row>
    <ns0:row r="12" ht="46" customHeight="1">
      <ns0:c r="A12" s="5" t="inlineStr">
        <ns0:is>
          <ns0:t>一对一诊断</ns0:t>
        </ns0:is>
      </ns0:c>
      <ns0:c r="B12" s="5" t="inlineStr">
        <ns0:is>
          <ns0:t>保留原Hungarian最大总IoU、全GT平均（GT/预测100点）。F1采用最大匹配数量优先，IoU&gt;=0.5，TP/FP/FN见诊断页。</ns0:t>
        </ns0:is>
      </ns0:c>
    </ns0:row>
    <ns0:row r="13" ht="46" customHeight="1">
      <ns0:c r="A13" s="3" t="inlineStr">
        <ns0:is>
          <ns0:t>特征</ns0:t>
        </ns0:is>
      </ns0:c>
      <ns0:c r="B13" s="3" t="inlineStr">
        <ns0:is>
          <ns0:t>CG物体与51类CLIP文本特征均显式L2归一化。OVI使用已有导出的类别。</ns0:t>
        </ns0:is>
      </ns0:c>
    </ns0:row>
    <ns0:row r="14" ht="46" customHeight="1">
      <ns0:c r="A14" s="5" t="inlineStr">
        <ns0:is>
          <ns0:t>汇总</ns0:t>
        </ns0:is>
      </ns0:c>
      <ns0:c r="B14" s="5" t="inlineStr">
        <ns0:is>
          <ns0:t>联合mIoU按GT数加权，语义合并混淆矩阵，AP联合计算，Coverage按顶点加权；另报scene_mean。</ns0:t>
        </ns0:is>
      </ns0:c>
    </ns0:row>
    <ns0:row r="15" ht="46" customHeight="1">
      <ns0:c r="A15" s="3" t="inlineStr">
        <ns0:is>
          <ns0:t>局限</ns0:t>
        </ns0:is>
      </ns0:c>
      <ns0:c r="B15" s="3" t="inlineStr">
        <ns0:is>
          <ns0:t>完整网格含未观测区域；统一评估不等于原论文复现。不同前端、缓存和时间边界仍影响比较。merge_2仅room0。</ns0:t>
        </ns0:is>
      </ns0:c>
    </ns0:row>
    <ns0:row r="16" ht="46" customHeight="1">
      <ns0:c r="A16" s="5" t="inlineStr">
        <ns0:is>
          <ns0:t>完整产物</ns0:t>
        </ns0:is>
      </ns0:c>
      <ns0:c r="B16" s="5" t="inlineStr">
        <ns0:is>
          <ns0:t>服务器 /home/chenkejun/beauty/unified_reeval_v2_20260910；manifest.json、results/comparison.json、逐场景 result.json / projection.npz / matches / confusion 均保留。</ns0:t>
        </ns0:is>
      </ns0:c>
    </ns0:row>
    <ns0:row r="17" ht="46" customHeight="1">
      <ns0:c r="A17" s="3" t="inlineStr">
        <ns0:is>
          <ns0:t>参考</ns0:t>
        </ns0:is>
      </ns0:c>
      <ns0:c r="B17" s="3" t="inlineStr">
        <ns0:is>
          <ns0:t>原固定reference.npz、manifest.json及clip_text51.npy；指纹含地图、参考、参考manifest、评估器、AP引擎和文本特征哈希。</ns0:t>
        </ns0:is>
      </ns0:c>
    </ns0:row>
    <ns0:row r="18" ht="65" customHeight="1">
      <ns0:c r="A18" s="3" t="inlineStr">
        <ns0:is>
          <ns0:t>v7_merge_re 更新</ns0:t>
        </ns0:is>
      </ns0:c>
      <ns0:c r="B18" s="3" t="inlineStr">
        <ns0:is>
          <ns0:t>2026-09-10：office2，400帧；v2新投影。结果：/home/chenkejun/beauty/ovimap_aligned_eval_20260908/merge_re_eval_20260910/metrics_v2。运行成本依据完成记录，HTTP查询数未核实，不填0。</ns0:t>
        </ns0:is>
      </ns0:c>
    </ns0:row>
    <ns0:row r="19" ht="65" customHeight="1">
      <ns0:c r="A19" s="3" t="inlineStr">
        <ns0:is>
          <ns0:t>v7_merge 更新</ns0:t>
        </ns0:is>
      </ns0:c>
      <ns0:c r="B19" s="3" t="inlineStr">
        <ns0:is>
          <ns0:t>2026-09-10：office2，400帧；v2新投影。结果：/home/chenkejun/beauty/unified_evaluator_20260910/merge_office2_update/results/v7_merge/office2。建图耗时取完成证据起止时间，HTTP次数未核实，不填0。</ns0:t>
        </ns0:is>
      </ns0:c>
    </ns0:row>
    <ns0:row r="20" ht="65" customHeight="1">
      <ns0:c r="A20" s="3" t="inlineStr">
        <ns0:is>
          <ns0:t>v7_CLIP_TwoRoad 更新</ns0:t>
        </ns0:is>
      </ns0:c>
      <ns0:c r="B20" s="3" t="inlineStr">
        <ns0:is>
          <ns0:t>room0，400帧，78实例；统一v2重新投影。仅单场景，前端差异保留；原生查询次数未核实。完整产物：/home/chenkejun/beauty/tworoad_eval_20260910</ns0:t>
        </ns0:is>
      </ns0:c>
    </ns0:row>
    <ns0:row r="21" ht="60" customHeight="1">
      <ns0:c r="A21" s="12" t="inlineStr">
        <ns0:is>
          <ns0:t>TwoRoad采用结论</ns0:t>
        </ns0:is>
      </ns0:c>
      <ns0:c r="B21" s="12" t="inlineStr">
        <ns0:is>
          <ns0:t>不作为默认主版：8景联合mIoU -0.353pp、AP50 +2.689pp；新增四景分别 -1.070pp、-0.363pp。保持融合主版，bbox保留为消融。</ns0:t>
        </ns0:is>
      </ns0:c>
    </ns0:row>
    <ns0:row r="22" ht="60" customHeight="1">
      <ns0:c r="A22" s="12" t="inlineStr">
        <ns0:is>
          <ns0:t>TwoRoad字段修正</ns0:t>
        </ns0:is>
      </ns0:c>
      <ns0:c r="B22" s="12" t="inlineStr">
        <ns0:is>
          <ns0:t>旧TwoRoad行读取clip_ft（融合）。已标为融合旧读出并保留原数值；新增bbox读出使用clip_semantic_ft。</ns0:t>
        </ns0:is>
      </ns0:c>
    </ns0:row>
    <ns0:row r="23" ht="60" customHeight="1">
      <ns0:c r="A23" s="12" t="inlineStr">
        <ns0:is>
          <ns0:t>八景配对方法</ns0:t>
        </ns0:is>
      </ns0:c>
      <ns0:c r="B23" s="12" t="inlineStr">
        <ns0:is>
          <ns0:t>固定v7_CLIP原地图、投影与实际接受/合并事件；按原归一化递归顺序聚合bbox向量。原融合结果逐景和联合值均完全复现。</ns0:t>
        </ns0:is>
      </ns0:c>
    </ns0:row>
    <ns0:row r="24" ht="60" customHeight="1">
      <ns0:c r="A24" s="12" t="inlineStr">
        <ns0:is>
          <ns0:t>新增四景</ns0:t>
        </ns0:is>
      </ns0:c>
      <ns0:c r="B24" s="12" t="inlineStr">
        <ns0:is>
          <ns0:t>room2、office1、office3、office4此前未做本任务的读出测试；权重固定bbox-only，无按场景调参。</ns0:t>
        </ns0:is>
      </ns0:c>
    </ns0:row>
    <ns0:row r="25" ht="60" customHeight="1">
      <ns0:c r="A25" s="12" t="inlineStr">
        <ns0:is>
          <ns0:t>本次成本</ns0:t>
        </ns0:is>
      </ns0:c>
      <ns0:c r="B25" s="12" t="inlineStr">
        <ns0:is>
          <ns0:t>新增在线建图0，VLM请求0；特征补算与评测耗时记录在服务器阶段总结。不可把历史建图成本解释为本次新运行。</ns0:t>
        </ns0:is>
      </ns0:c>
    </ns0:row>
    <ns0:row r="26" ht="60" customHeight="1">
      <ns0:c r="A26" s="12" t="inlineStr">
        <ns0:is>
          <ns0:t>验证产物</ns0:t>
        </ns0:is>
      </ns0:c>
      <ns0:c r="B26" s="12" t="inlineStr">
        <ns0:is>
          <ns0:t>/home/chenkejun/beauty/tworoad_readout_v2_20260911/final_validation.json</ns0:t>
        </ns0:is>
      </ns0:c>
    </ns0:row>
    <ns0:row r="27" ht="48" customHeight="1">
      <ns0:c r="A27" s="12" t="inlineStr">
        <ns0:is>
          <ns0:t>v7_CLIP_v3 五场景</ns0:t>
        </ns0:is>
      </ns0:c>
      <ns0:c r="B27" s="12" t="inlineStr">
        <ns0:is>
          <ns0:t>2026-09-11：room1、room2、office0、office1、office2 各400帧，使用与 v7_CLIP 相同逐帧输入缓存，从空图在线建图。room0、office3、office4 暂停。</ns0:t>
        </ns0:is>
      </ns0:c>
    </ns0:row>
    <ns0:row r="28" ht="48" customHeight="1">
      <ns0:c r="A28" s="12" t="inlineStr">
        <ns0:is>
          <ns0:t>v3 对照口径</ns0:t>
        </ns0:is>
      </ns0:c>
      <ns0:c r="B28" s="12" t="inlineStr">
        <ns0:is>
          <ns0:t>沿用冻结统一评估 v2；共享评估指纹已核验。五场景联合汇总与简单平均分别展示，不与八场景总分混比。</ns0:t>
        </ns0:is>
      </ns0:c>
    </ns0:row>
    <ns0:row r="29" ht="48" customHeight="1">
      <ns0:c r="A29" s="12" t="inlineStr">
        <ns0:is>
          <ns0:t>v3 成本口径</ns0:t>
        </ns0:is>
      </ns0:c>
      <ns0:c r="B29" s="12" t="inlineStr">
        <ns0:is>
          <ns0:t>调用次数采用对应日志 HTTP 请求数，五场景均返回200；建图耗时来自 evidence 起止，不含缓存准备。端到端耗时缺失；接口负载不同，耗时不作严格控制变量比较。</ns0:t>
        </ns0:is>
      </ns0:c>
    </ns0:row>
    <ns0:row r="30" ht="48" customHeight="1">
      <ns0:c r="A30" s="12" t="inlineStr">
        <ns0:is>
          <ns0:t>v3 指标来源</ns0:t>
        </ns0:is>
      </ns0:c>
      <ns0:c r="B30" s="12" t="inlineStr">
        <ns0:is>
          <ns0:t>/home/chenkejun/beauty/v7_CLIP_v3_batch_20260911/five_scene_comparison/comparison.json</ns0:t>
        </ns0:is>
      </ns0:c>
    </ns0:row>
    <ns0:row r="31" ht="48" customHeight="1">
      <ns0:c r="A31" s="12" t="inlineStr">
        <ns0:is>
          <ns0:t>v3 验证记录</ns0:t>
        </ns0:is>
      </ns0:c>
      <ns0:c r="B31" s="12" t="inlineStr">
        <ns0:is>
          <ns0:t>/home/chenkejun/beauty/v7_CLIP_v3_batch_20260911/five_scene_validation.json</ns0:t>
        </ns0:is>
      </ns0:c>
    </ns0:row>
    <ns0:row r="32" ht="65" customHeight="1">
      <ns0:c r="A32" s="12" t="inlineStr">
        <ns0:is>
          <ns0:t>论文消融三组</ns0:t>
        </ns0:is>
      </ns0:c>
      <ns0:c r="B32" s="12" t="inlineStr">
        <ns0:is>
          <ns0:t>A=ali-my bff233ff004939d2ecf4ac5546f87cb7b7b16e60项目复现；B=baseline+原图；C=baseline+原图+CLIP融合。v7_CLIP源码235e16c995fefb905fd3b21c11ad4fd1e8d3bbe4。</ns0:t>
        </ns0:is>
      </ns0:c>
    </ns0:row>
    <ns0:row r="33" ht="65" customHeight="1">
      <ns0:c r="A33" s="12" t="inlineStr">
        <ns0:is>
          <ns0:t>本次重新评测</ns0:t>
        </ns0:is>
      </ns0:c>
      <ns0:c r="B33" s="12" t="inlineStr">
        <ns0:is>
          <ns0:t>三组各8景，共24个地图均重新执行统一v2投影与评测。指标与消融记录逐项一致，未重新建图、未调用VLM。</ns0:t>
        </ns0:is>
      </ns0:c>
    </ns0:row>
    <ns0:row r="34" ht="65" customHeight="1">
      <ns0:c r="A34" s="12" t="inlineStr">
        <ns0:is>
          <ns0:t>建图与对齐</ns0:t>
        </ns0:is>
      </ns0:c>
      <ns0:c r="B34" s="12" t="inlineStr">
        <ns0:is>
          <ns0:t>B/C本轮正式实验均从空图在线建图，400帧/景，VLM全关。同逐帧框和mask，仅CLIP因素不同；pilot与冻结baseline逐帧对齐通过。</ns0:t>
        </ns0:is>
      </ns0:c>
    </ns0:row>
    <ns0:row r="35" ht="65" customHeight="1">
      <ns0:c r="A35" s="12" t="inlineStr">
        <ns0:is>
          <ns0:t>历史gateoff</ns0:t>
        </ns0:is>
      </ns0:c>
      <ns0:c r="B35" s="12" t="inlineStr">
        <ns0:is>
          <ns0:t>本次C与历史Baseline_gateoff数值相符，但使用本次独立在线地图及新评测产物，单独列出避免混淆来源。</ns0:t>
        </ns0:is>
      </ns0:c>
    </ns0:row>
    <ns0:row r="36" ht="65" customHeight="1">
      <ns0:c r="A36" s="12" t="inlineStr">
        <ns0:is>
          <ns0:t>本次成本边界</ns0:t>
        </ns0:is>
      </ns0:c>
      <ns0:c r="B36" s="12" t="inlineStr">
        <ns0:is>
          <ns0:t>A历史建图时间缺失。B记录为缓存输入建图进程耗时，bbox特征准备另见消融记录。C前六景包含检测和建图，office3/4缓存复用。共享GPU并行，不能据此计算速度倍率。</ns0:t>
        </ns0:is>
      </ns0:c>
    </ns0:row>
    <ns0:row r="37" ht="65" customHeight="1">
      <ns0:c r="A37" s="12" t="inlineStr">
        <ns0:is>
          <ns0:t>评测结果来源</ns0:t>
        </ns0:is>
      </ns0:c>
      <ns0:c r="B37" s="12" t="inlineStr">
        <ns0:is>
          <ns0:t>/data/chenkejun/paper_ablation_20260911/unified_update/reevaluated/comparison.json</ns0:t>
        </ns0:is>
      </ns0:c>
    </ns0:row>
    <ns0:row r="38" ht="65" customHeight="1">
      <ns0:c r="A38" s="12" t="inlineStr">
        <ns0:is>
          <ns0:t>逐景结果来源</ns0:t>
        </ns0:is>
      </ns0:c>
      <ns0:c r="B38" s="12" t="inlineStr">
        <ns0:is>
          <ns0:t>/data/chenkejun/paper_ablation_20260911/unified_update/reevaluated/&lt;方法&gt;/&lt;场景&gt;/result.json</ns0:t>
        </ns0:is>
      </ns0:c>
    </ns0:row>
    <ns0:row r="39" ht="65" customHeight="1">
      <ns0:c r="A39" s="12" t="inlineStr">
        <ns0:is>
          <ns0:t>重新评测验证</ns0:t>
        </ns0:is>
      </ns0:c>
      <ns0:c r="B39" s="12" t="inlineStr">
        <ns0:is>
          <ns0:t>/data/chenkejun/paper_ablation_20260911/unified_update/reeval_validation.json</ns0:t>
        </ns0:is>
      </ns0:c>
    </ns0:row>
    <ns0:row r="40" ht="65" customHeight="1">
      <ns0:c r="A40" s="12" t="inlineStr">
        <ns0:is>
          <ns0:t>完整消融记录</ns0:t>
        </ns0:is>
      </ns0:c>
      <ns0:c r="B40" s="12" t="inlineStr">
        <ns0:is>
          <ns0:t>/data/chenkejun/paper_ablation_20260911/final/消融记录.xlsx</ns0:t>
        </ns0:is>
      </ns0:c>
    </ns0:row>
    <ns0:row r="41" ht="65" customHeight="1">
      <ns0:c r="A41" s="12" t="inlineStr">
        <ns0:is>
          <ns0:t>局限</ns0:t>
        </ns0:is>
      </ns0:c>
      <ns0:c r="B41" s="12" t="inlineStr">
        <ns0:is>
          <ns0:t>一次八景实验，无多种子及统计显著性证明；保留逐景退化，不声称CLIP全面提升。</ns0:t>
        </ns0:is>
      </ns0:c>
    </ns0:row>
  </ns0:sheetData>
  <ns0:mergeCells count="1">
    <ns0:mergeCell ref="A1:B1"/>
  </ns0:mergeCells>
  <ns0:pageMargins left="0.75" right="0.75" top="1" bottom="1" header="0.5" footer="0.5"/>
  <ns0:pageSetup orientation="landscape" paperSize="8" fitToHeight="1" fitToWidth="1"/>
</ns0:worksheet>
</file>

<file path=xl/worksheets/sheet6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C78"/>
  <ns0:sheetViews>
    <ns0:sheetView showGridLines="0" workbookViewId="0">
      <ns0:pane xSplit="2" ySplit="4" topLeftCell="C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3" customWidth="1" min="2" max="2"/>
    <ns0:col width="105" customWidth="1" min="3" max="3"/>
  </ns0:cols>
  <ns0:sheetData>
    <ns0:row r="1" ht="30" customHeight="1">
      <ns0:c r="A1" s="1" t="inlineStr">
        <ns0:is>
          <ns0:t>已核验地图来源（解析迁移链接后的实际路径）</ns0:t>
        </ns0:is>
      </ns0:c>
    </ns0:row>
    <ns0:row r="2" ht="30" customHeight="1">
      <ns0:c r="A2" s="1" t="inlineStr">
        <ns0:is>
          <ns0:t>原始地图保留；CLIP+bbox读出复用同一地图与成员，仅重放bbox语义特征。</ns0:t>
        </ns0:is>
      </ns0:c>
    </ns0:row>
    <ns0:row r="3"/>
    <ns0:row r="4" ht="38" customHeight="1">
      <ns0:c r="A4" s="2" t="inlineStr">
        <ns0:is>
          <ns0:t>场景</ns0:t>
        </ns0:is>
      </ns0:c>
      <ns0:c r="B4" s="2" t="inlineStr">
        <ns0:is>
          <ns0:t>方法</ns0:t>
        </ns0:is>
      </ns0:c>
      <ns0:c r="C4" s="2" t="inlineStr">
        <ns0:is>
          <ns0:t>实际地图路径</ns0:t>
        </ns0:is>
      </ns0:c>
    </ns0:row>
    <ns0:row r="5" ht="55" customHeight="1">
      <ns0:c r="A5" s="3" t="inlineStr">
        <ns0:is>
          <ns0:t>room0</ns0:t>
        </ns0:is>
      </ns0:c>
      <ns0:c r="B5" s="3" t="inlineStr">
        <ns0:is>
          <ns0:t>Baseline_gateoff</ns0:t>
        </ns0:is>
      </ns0:c>
      <ns0:c r="C5" s="3" t="inlineStr">
        <ns0:is>
          <ns0:t>/data/chenkejun/beauty/conceptgraphs/results/experiments/oracle_three_error_20260828/pilot/b0_dataset/Replica/room0/exps/aligned_gateoff_CLIP_room0_20260910/pcd_aligned_gateoff_CLIP_room0_20260910.pkl.gz</ns0:t>
        </ns0:is>
      </ns0:c>
    </ns0:row>
    <ns0:row r="6" ht="55" customHeight="1">
      <ns0:c r="A6" s="5" t="inlineStr">
        <ns0:is>
          <ns0:t>room0</ns0:t>
        </ns0:is>
      </ns0:c>
      <ns0:c r="B6" s="5" t="inlineStr">
        <ns0:is>
          <ns0:t>v7_CLIP</ns0:t>
        </ns0:is>
      </ns0:c>
      <ns0:c r="C6" s="5" t="inlineStr">
        <ns0:is>
          <ns0:t>/data/chenkejun/beauty/conceptgraphs/results/experiments/oracle_three_error_20260828/pilot/b0_dataset/Replica/room0/exps/v7_CLIP_auto_20260909_160519_2075470/pcd_v7_CLIP_auto_20260909_160519_2075470.pkl.gz</ns0:t>
        </ns0:is>
      </ns0:c>
    </ns0:row>
    <ns0:row r="7" ht="55" customHeight="1">
      <ns0:c r="A7" s="3" t="inlineStr">
        <ns0:is>
          <ns0:t>room0</ns0:t>
        </ns0:is>
      </ns0:c>
      <ns0:c r="B7" s="3" t="inlineStr">
        <ns0:is>
          <ns0:t>OVI_MAP</ns0:t>
        </ns0:is>
      </ns0:c>
      <ns0:c r="C7" s="3" t="inlineStr">
        <ns0:is>
          <ns0:t>/home/chenkejun/beauty/ovimap_aligned_eval_20260908/exports/ovi_room0_full400.npz</ns0:t>
        </ns0:is>
      </ns0:c>
    </ns0:row>
    <ns0:row r="8" ht="55" customHeight="1">
      <ns0:c r="A8" s="5" t="inlineStr">
        <ns0:is>
          <ns0:t>room0</ns0:t>
        </ns0:is>
      </ns0:c>
      <ns0:c r="B8" s="5" t="inlineStr">
        <ns0:is>
          <ns0:t>ali_my</ns0:t>
        </ns0:is>
      </ns0:c>
      <ns0:c r="C8" s="5" t="inlineStr">
        <ns0:is>
          <ns0:t>/home/chenkejun/beauty/conceptgraphs/data/Replica/room0/exps/ali_my_paper_main_aligned_room0_400f_stride5_bff233f_20260821/pcd_ali_my_paper_main_aligned_room0_400f_stride5_bff233f_20260821.pkl.gz</ns0:t>
        </ns0:is>
      </ns0:c>
    </ns0:row>
    <ns0:row r="9" ht="55" customHeight="1">
      <ns0:c r="A9" s="3" t="inlineStr">
        <ns0:is>
          <ns0:t>room0</ns0:t>
        </ns0:is>
      </ns0:c>
      <ns0:c r="B9" s="3" t="inlineStr">
        <ns0:is>
          <ns0:t>merge_2</ns0:t>
        </ns0:is>
      </ns0:c>
      <ns0:c r="C9" s="3" t="inlineStr">
        <ns0:is>
          <ns0:t>/data/chenkejun/beauty/conceptgraphs/results/experiments/oracle_three_error_20260828/pilot/b0_dataset/Replica/room0/exps/v7_merge_2_auto_20260909_171304_2134673/pcd_v7_merge_2_auto_20260909_171304_2134673.pkl.gz</ns0:t>
        </ns0:is>
      </ns0:c>
    </ns0:row>
    <ns0:row r="10" ht="55" customHeight="1">
      <ns0:c r="A10" s="5" t="inlineStr">
        <ns0:is>
          <ns0:t>room1</ns0:t>
        </ns0:is>
      </ns0:c>
      <ns0:c r="B10" s="5" t="inlineStr">
        <ns0:is>
          <ns0:t>Baseline_gateoff</ns0:t>
        </ns0:is>
      </ns0:c>
      <ns0:c r="C10" s="5" t="inlineStr">
        <ns0:is>
          <ns0:t>/home/chenkejun/beauty/conceptgraphs/results/experiments/oracle_three_error_20260828/pilot/b0_dataset/Replica/room1/exps/aligned_gateoff_CLIP_room1_20260910/pcd_aligned_gateoff_CLIP_room1_20260910.pkl.gz</ns0:t>
        </ns0:is>
      </ns0:c>
    </ns0:row>
    <ns0:row r="11" ht="55" customHeight="1">
      <ns0:c r="A11" s="3" t="inlineStr">
        <ns0:is>
          <ns0:t>room1</ns0:t>
        </ns0:is>
      </ns0:c>
      <ns0:c r="B11" s="3" t="inlineStr">
        <ns0:is>
          <ns0:t>v7_CLIP</ns0:t>
        </ns0:is>
      </ns0:c>
      <ns0:c r="C11" s="3" t="inlineStr">
        <ns0:is>
          <ns0:t>/home/chenkejun/beauty/conceptgraphs/results/experiments/oracle_three_error_20260828/pilot/b0_dataset/Replica/room1/exps/v7_CLIP_auto_20260909_205426_16948/pcd_v7_CLIP_auto_20260909_205426_16948.pkl.gz</ns0:t>
        </ns0:is>
      </ns0:c>
    </ns0:row>
    <ns0:row r="12" ht="55" customHeight="1">
      <ns0:c r="A12" s="5" t="inlineStr">
        <ns0:is>
          <ns0:t>room1</ns0:t>
        </ns0:is>
      </ns0:c>
      <ns0:c r="B12" s="5" t="inlineStr">
        <ns0:is>
          <ns0:t>OVI_MAP</ns0:t>
        </ns0:is>
      </ns0:c>
      <ns0:c r="C12" s="5" t="inlineStr">
        <ns0:is>
          <ns0:t>/home/chenkejun/beauty/ovimap_aligned_eval_20260908/exports/ovi_room1_full400.npz</ns0:t>
        </ns0:is>
      </ns0:c>
    </ns0:row>
    <ns0:row r="13" ht="55" customHeight="1">
      <ns0:c r="A13" s="3" t="inlineStr">
        <ns0:is>
          <ns0:t>room1</ns0:t>
        </ns0:is>
      </ns0:c>
      <ns0:c r="B13" s="3" t="inlineStr">
        <ns0:is>
          <ns0:t>ali_my</ns0:t>
        </ns0:is>
      </ns0:c>
      <ns0:c r="C13" s="3" t="inlineStr">
        <ns0:is>
          <ns0:t>/home/chenkejun/beauty/conceptgraphs/data/Replica/room1/exps/ali_my_paper_main_aligned_room1_400f_stride5_bff233f_20260821/pcd_ali_my_paper_main_aligned_room1_400f_stride5_bff233f_20260821.pkl.gz</ns0:t>
        </ns0:is>
      </ns0:c>
    </ns0:row>
    <ns0:row r="14" ht="55" customHeight="1">
      <ns0:c r="A14" s="5" t="inlineStr">
        <ns0:is>
          <ns0:t>room2</ns0:t>
        </ns0:is>
      </ns0:c>
      <ns0:c r="B14" s="5" t="inlineStr">
        <ns0:is>
          <ns0:t>Baseline_gateoff</ns0:t>
        </ns0:is>
      </ns0:c>
      <ns0:c r="C14" s="5" t="inlineStr">
        <ns0:is>
          <ns0:t>/home/chenkejun/beauty/conceptgraphs/results/experiments/oracle_three_error_20260828/pilot/b0_dataset/Replica/room2/exps/aligned_gateoff_CLIP_room2_20260910/pcd_aligned_gateoff_CLIP_room2_20260910.pkl.gz</ns0:t>
        </ns0:is>
      </ns0:c>
    </ns0:row>
    <ns0:row r="15" ht="55" customHeight="1">
      <ns0:c r="A15" s="3" t="inlineStr">
        <ns0:is>
          <ns0:t>room2</ns0:t>
        </ns0:is>
      </ns0:c>
      <ns0:c r="B15" s="3" t="inlineStr">
        <ns0:is>
          <ns0:t>v7_CLIP</ns0:t>
        </ns0:is>
      </ns0:c>
      <ns0:c r="C15" s="3" t="inlineStr">
        <ns0:is>
          <ns0:t>/home/chenkejun/beauty/conceptgraphs/results/experiments/oracle_three_error_20260828/pilot/b0_dataset/Replica/room2/exps/v7_CLIP_auto_20260909_224359_1079274/pcd_v7_CLIP_auto_20260909_224359_1079274.pkl.gz</ns0:t>
        </ns0:is>
      </ns0:c>
    </ns0:row>
    <ns0:row r="16" ht="55" customHeight="1">
      <ns0:c r="A16" s="5" t="inlineStr">
        <ns0:is>
          <ns0:t>room2</ns0:t>
        </ns0:is>
      </ns0:c>
      <ns0:c r="B16" s="5" t="inlineStr">
        <ns0:is>
          <ns0:t>OVI_MAP</ns0:t>
        </ns0:is>
      </ns0:c>
      <ns0:c r="C16" s="5" t="inlineStr">
        <ns0:is>
          <ns0:t>/home/chenkejun/beauty/ovimap_aligned_eval_20260908/exports/ovi_room2_full400.npz</ns0:t>
        </ns0:is>
      </ns0:c>
    </ns0:row>
    <ns0:row r="17" ht="55" customHeight="1">
      <ns0:c r="A17" s="3" t="inlineStr">
        <ns0:is>
          <ns0:t>room2</ns0:t>
        </ns0:is>
      </ns0:c>
      <ns0:c r="B17" s="3" t="inlineStr">
        <ns0:is>
          <ns0:t>ali_my</ns0:t>
        </ns0:is>
      </ns0:c>
      <ns0:c r="C17" s="3" t="inlineStr">
        <ns0:is>
          <ns0:t>/home/chenkejun/beauty/conceptgraphs/data/Replica/room2/exps/ali_my_paper_main_aligned_room2_400f_stride5_bff233f_20260821/pcd_ali_my_paper_main_aligned_room2_400f_stride5_bff233f_20260821.pkl.gz</ns0:t>
        </ns0:is>
      </ns0:c>
    </ns0:row>
    <ns0:row r="18" ht="55" customHeight="1">
      <ns0:c r="A18" s="5" t="inlineStr">
        <ns0:is>
          <ns0:t>office0</ns0:t>
        </ns0:is>
      </ns0:c>
      <ns0:c r="B18" s="5" t="inlineStr">
        <ns0:is>
          <ns0:t>Baseline_gateoff</ns0:t>
        </ns0:is>
      </ns0:c>
      <ns0:c r="C18" s="5" t="inlineStr">
        <ns0:is>
          <ns0:t>/data/chenkejun/beauty/conceptgraphs/results/experiments/oracle_three_error_20260828/pilot/b0_dataset/Replica/office0/exps/aligned_gateoff_CLIP_office0_20260910/pcd_aligned_gateoff_CLIP_office0_20260910.pkl.gz</ns0:t>
        </ns0:is>
      </ns0:c>
    </ns0:row>
    <ns0:row r="19" ht="55" customHeight="1">
      <ns0:c r="A19" s="3" t="inlineStr">
        <ns0:is>
          <ns0:t>office0</ns0:t>
        </ns0:is>
      </ns0:c>
      <ns0:c r="B19" s="3" t="inlineStr">
        <ns0:is>
          <ns0:t>v7_CLIP</ns0:t>
        </ns0:is>
      </ns0:c>
      <ns0:c r="C19" s="3" t="inlineStr">
        <ns0:is>
          <ns0:t>/data/chenkejun/beauty/conceptgraphs/results/experiments/oracle_three_error_20260828/pilot/b0_dataset/Replica/office0/exps/v7_CLIP_auto_20260909_235305_1676132/pcd_v7_CLIP_auto_20260909_235305_1676132.pkl.gz</ns0:t>
        </ns0:is>
      </ns0:c>
    </ns0:row>
    <ns0:row r="20" ht="55" customHeight="1">
      <ns0:c r="A20" s="5" t="inlineStr">
        <ns0:is>
          <ns0:t>office0</ns0:t>
        </ns0:is>
      </ns0:c>
      <ns0:c r="B20" s="5" t="inlineStr">
        <ns0:is>
          <ns0:t>OVI_MAP</ns0:t>
        </ns0:is>
      </ns0:c>
      <ns0:c r="C20" s="5" t="inlineStr">
        <ns0:is>
          <ns0:t>/home/chenkejun/beauty/ovimap_aligned_eval_20260908/exports/ovi_office0_full400.npz</ns0:t>
        </ns0:is>
      </ns0:c>
    </ns0:row>
    <ns0:row r="21" ht="55" customHeight="1">
      <ns0:c r="A21" s="3" t="inlineStr">
        <ns0:is>
          <ns0:t>office0</ns0:t>
        </ns0:is>
      </ns0:c>
      <ns0:c r="B21" s="3" t="inlineStr">
        <ns0:is>
          <ns0:t>ali_my</ns0:t>
        </ns0:is>
      </ns0:c>
      <ns0:c r="C21" s="3" t="inlineStr">
        <ns0:is>
          <ns0:t>/home/chenkejun/beauty/conceptgraphs/data/Replica/office0/exps/ali_my_paper_main_aligned_office0_400f_stride5_bff233f_20260821/pcd_ali_my_paper_main_aligned_office0_400f_stride5_bff233f_20260821.pkl.gz</ns0:t>
        </ns0:is>
      </ns0:c>
    </ns0:row>
    <ns0:row r="22" ht="55" customHeight="1">
      <ns0:c r="A22" s="5" t="inlineStr">
        <ns0:is>
          <ns0:t>office1</ns0:t>
        </ns0:is>
      </ns0:c>
      <ns0:c r="B22" s="5" t="inlineStr">
        <ns0:is>
          <ns0:t>Baseline_gateoff</ns0:t>
        </ns0:is>
      </ns0:c>
      <ns0:c r="C22" s="5" t="inlineStr">
        <ns0:is>
          <ns0:t>/data/chenkejun/beauty/conceptgraphs/results/experiments/oracle_three_error_20260828/pilot/b0_dataset/Replica/office1/exps/aligned_gateoff_CLIP_office1_20260910/pcd_aligned_gateoff_CLIP_office1_20260910.pkl.gz</ns0:t>
        </ns0:is>
      </ns0:c>
    </ns0:row>
    <ns0:row r="23" ht="55" customHeight="1">
      <ns0:c r="A23" s="3" t="inlineStr">
        <ns0:is>
          <ns0:t>office1</ns0:t>
        </ns0:is>
      </ns0:c>
      <ns0:c r="B23" s="3" t="inlineStr">
        <ns0:is>
          <ns0:t>v7_CLIP</ns0:t>
        </ns0:is>
      </ns0:c>
      <ns0:c r="C23" s="3" t="inlineStr">
        <ns0:is>
          <ns0:t>/data/chenkejun/beauty/conceptgraphs/results/experiments/oracle_three_error_20260828/pilot/b0_dataset/Replica/office1/exps/v7_CLIP_auto_20260910_003918_2667263/pcd_v7_CLIP_auto_20260910_003918_2667263.pkl.gz</ns0:t>
        </ns0:is>
      </ns0:c>
    </ns0:row>
    <ns0:row r="24" ht="55" customHeight="1">
      <ns0:c r="A24" s="5" t="inlineStr">
        <ns0:is>
          <ns0:t>office1</ns0:t>
        </ns0:is>
      </ns0:c>
      <ns0:c r="B24" s="5" t="inlineStr">
        <ns0:is>
          <ns0:t>OVI_MAP</ns0:t>
        </ns0:is>
      </ns0:c>
      <ns0:c r="C24" s="5" t="inlineStr">
        <ns0:is>
          <ns0:t>/home/chenkejun/beauty/ovimap_aligned_eval_20260908/exports/ovi_office1_full400.npz</ns0:t>
        </ns0:is>
      </ns0:c>
    </ns0:row>
    <ns0:row r="25" ht="55" customHeight="1">
      <ns0:c r="A25" s="3" t="inlineStr">
        <ns0:is>
          <ns0:t>office1</ns0:t>
        </ns0:is>
      </ns0:c>
      <ns0:c r="B25" s="3" t="inlineStr">
        <ns0:is>
          <ns0:t>ali_my</ns0:t>
        </ns0:is>
      </ns0:c>
      <ns0:c r="C25" s="3" t="inlineStr">
        <ns0:is>
          <ns0:t>/home/chenkejun/beauty/conceptgraphs/data/Replica/office1/exps/ali_my_paper_main_aligned_office1_400f_stride5_bff233f_20260821/pcd_ali_my_paper_main_aligned_office1_400f_stride5_bff233f_20260821.pkl.gz</ns0:t>
        </ns0:is>
      </ns0:c>
    </ns0:row>
    <ns0:row r="26" ht="55" customHeight="1">
      <ns0:c r="A26" s="5" t="inlineStr">
        <ns0:is>
          <ns0:t>office2</ns0:t>
        </ns0:is>
      </ns0:c>
      <ns0:c r="B26" s="5" t="inlineStr">
        <ns0:is>
          <ns0:t>Baseline_gateoff</ns0:t>
        </ns0:is>
      </ns0:c>
      <ns0:c r="C26" s="5" t="inlineStr">
        <ns0:is>
          <ns0:t>/data/chenkejun/beauty/conceptgraphs/results/experiments/oracle_three_error_20260828/pilot/b0_dataset/Replica/office2/exps/aligned_gateoff_CLIP_office2_20260910/pcd_aligned_gateoff_CLIP_office2_20260910.pkl.gz</ns0:t>
        </ns0:is>
      </ns0:c>
    </ns0:row>
    <ns0:row r="27" ht="55" customHeight="1">
      <ns0:c r="A27" s="3" t="inlineStr">
        <ns0:is>
          <ns0:t>office2</ns0:t>
        </ns0:is>
      </ns0:c>
      <ns0:c r="B27" s="3" t="inlineStr">
        <ns0:is>
          <ns0:t>v7_CLIP</ns0:t>
        </ns0:is>
      </ns0:c>
      <ns0:c r="C27" s="3" t="inlineStr">
        <ns0:is>
          <ns0:t>/data/chenkejun/beauty/conceptgraphs/results/experiments/oracle_three_error_20260828/pilot/b0_dataset/Replica/office2/exps/v7_CLIP_auto_20260909_184833_3119794/pcd_v7_CLIP_auto_20260909_184833_3119794.pkl.gz</ns0:t>
        </ns0:is>
      </ns0:c>
    </ns0:row>
    <ns0:row r="28" ht="55" customHeight="1">
      <ns0:c r="A28" s="5" t="inlineStr">
        <ns0:is>
          <ns0:t>office2</ns0:t>
        </ns0:is>
      </ns0:c>
      <ns0:c r="B28" s="5" t="inlineStr">
        <ns0:is>
          <ns0:t>OVI_MAP</ns0:t>
        </ns0:is>
      </ns0:c>
      <ns0:c r="C28" s="5" t="inlineStr">
        <ns0:is>
          <ns0:t>/home/chenkejun/beauty/ovimap_aligned_eval_20260908/exports/ovi_office2_full400.npz</ns0:t>
        </ns0:is>
      </ns0:c>
    </ns0:row>
    <ns0:row r="29" ht="55" customHeight="1">
      <ns0:c r="A29" s="3" t="inlineStr">
        <ns0:is>
          <ns0:t>office2</ns0:t>
        </ns0:is>
      </ns0:c>
      <ns0:c r="B29" s="3" t="inlineStr">
        <ns0:is>
          <ns0:t>ali_my</ns0:t>
        </ns0:is>
      </ns0:c>
      <ns0:c r="C29" s="3" t="inlineStr">
        <ns0:is>
          <ns0:t>/home/chenkejun/beauty/conceptgraphs/data/Replica/office2/exps/ali_my_paper_main_aligned_office2_400f_stride5_bff233f_20260821/pcd_ali_my_paper_main_aligned_office2_400f_stride5_bff233f_20260821.pkl.gz</ns0:t>
        </ns0:is>
      </ns0:c>
    </ns0:row>
    <ns0:row r="30" ht="55" customHeight="1">
      <ns0:c r="A30" s="5" t="inlineStr">
        <ns0:is>
          <ns0:t>office3</ns0:t>
        </ns0:is>
      </ns0:c>
      <ns0:c r="B30" s="5" t="inlineStr">
        <ns0:is>
          <ns0:t>Baseline_gateoff</ns0:t>
        </ns0:is>
      </ns0:c>
      <ns0:c r="C30" s="5" t="inlineStr">
        <ns0:is>
          <ns0:t>/data/chenkejun/beauty/conceptgraphs/results/experiments/oracle_three_error_20260828/pilot/b0_dataset/Replica/office3/exps/aligned_gateoff_CLIP_office3_20260910/pcd_aligned_gateoff_CLIP_office3_20260910.pkl.gz</ns0:t>
        </ns0:is>
      </ns0:c>
    </ns0:row>
    <ns0:row r="31" ht="55" customHeight="1">
      <ns0:c r="A31" s="3" t="inlineStr">
        <ns0:is>
          <ns0:t>office3</ns0:t>
        </ns0:is>
      </ns0:c>
      <ns0:c r="B31" s="3" t="inlineStr">
        <ns0:is>
          <ns0:t>v7_CLIP</ns0:t>
        </ns0:is>
      </ns0:c>
      <ns0:c r="C31" s="3" t="inlineStr">
        <ns0:is>
          <ns0:t>/data/chenkejun/beauty/conceptgraphs/results/experiments/oracle_three_error_20260828/pilot/b0_dataset/Replica/office3/exps/v7_CLIP_auto_20260910_013704_3671961/pcd_v7_CLIP_auto_20260910_013704_3671961.pkl.gz</ns0:t>
        </ns0:is>
      </ns0:c>
    </ns0:row>
    <ns0:row r="32" ht="55" customHeight="1">
      <ns0:c r="A32" s="5" t="inlineStr">
        <ns0:is>
          <ns0:t>office3</ns0:t>
        </ns0:is>
      </ns0:c>
      <ns0:c r="B32" s="5" t="inlineStr">
        <ns0:is>
          <ns0:t>OVI_MAP</ns0:t>
        </ns0:is>
      </ns0:c>
      <ns0:c r="C32" s="5" t="inlineStr">
        <ns0:is>
          <ns0:t>/home/chenkejun/beauty/ovimap_aligned_eval_20260908/exports/ovi_office3_full400.npz</ns0:t>
        </ns0:is>
      </ns0:c>
    </ns0:row>
    <ns0:row r="33" ht="55" customHeight="1">
      <ns0:c r="A33" s="3" t="inlineStr">
        <ns0:is>
          <ns0:t>office3</ns0:t>
        </ns0:is>
      </ns0:c>
      <ns0:c r="B33" s="3" t="inlineStr">
        <ns0:is>
          <ns0:t>ali_my</ns0:t>
        </ns0:is>
      </ns0:c>
      <ns0:c r="C33" s="3" t="inlineStr">
        <ns0:is>
          <ns0:t>/home/chenkejun/beauty/conceptgraphs/data/Replica/office3/exps/ali_my_paper_main_aligned_office3_400f_stride5_bff233f_20260821/pcd_ali_my_paper_main_aligned_office3_400f_stride5_bff233f_20260821.pkl.gz</ns0:t>
        </ns0:is>
      </ns0:c>
    </ns0:row>
    <ns0:row r="34" ht="55" customHeight="1">
      <ns0:c r="A34" s="5" t="inlineStr">
        <ns0:is>
          <ns0:t>office4</ns0:t>
        </ns0:is>
      </ns0:c>
      <ns0:c r="B34" s="5" t="inlineStr">
        <ns0:is>
          <ns0:t>Baseline_gateoff</ns0:t>
        </ns0:is>
      </ns0:c>
      <ns0:c r="C34" s="5" t="inlineStr">
        <ns0:is>
          <ns0:t>/data/chenkejun/beauty/conceptgraphs/results/experiments/oracle_three_error_20260828/pilot/b0_dataset/Replica/office4/exps/aligned_gateoff_CLIP_office4_20260910/pcd_aligned_gateoff_CLIP_office4_20260910.pkl.gz</ns0:t>
        </ns0:is>
      </ns0:c>
    </ns0:row>
    <ns0:row r="35" ht="55" customHeight="1">
      <ns0:c r="A35" s="3" t="inlineStr">
        <ns0:is>
          <ns0:t>office4</ns0:t>
        </ns0:is>
      </ns0:c>
      <ns0:c r="B35" s="3" t="inlineStr">
        <ns0:is>
          <ns0:t>v7_CLIP</ns0:t>
        </ns0:is>
      </ns0:c>
      <ns0:c r="C35" s="3" t="inlineStr">
        <ns0:is>
          <ns0:t>/data/chenkejun/beauty/conceptgraphs/results/experiments/oracle_three_error_20260828/pilot/b0_dataset/Replica/office4/exps/v7_CLIP_auto_20260910_033537_316703/pcd_v7_CLIP_auto_20260910_033537_316703.pkl.gz</ns0:t>
        </ns0:is>
      </ns0:c>
    </ns0:row>
    <ns0:row r="36" ht="55" customHeight="1">
      <ns0:c r="A36" s="5" t="inlineStr">
        <ns0:is>
          <ns0:t>office4</ns0:t>
        </ns0:is>
      </ns0:c>
      <ns0:c r="B36" s="5" t="inlineStr">
        <ns0:is>
          <ns0:t>OVI_MAP</ns0:t>
        </ns0:is>
      </ns0:c>
      <ns0:c r="C36" s="5" t="inlineStr">
        <ns0:is>
          <ns0:t>/home/chenkejun/beauty/ovimap_aligned_eval_20260908/exports/ovi_office4_full400.npz</ns0:t>
        </ns0:is>
      </ns0:c>
    </ns0:row>
    <ns0:row r="37" ht="55" customHeight="1">
      <ns0:c r="A37" s="3" t="inlineStr">
        <ns0:is>
          <ns0:t>office4</ns0:t>
        </ns0:is>
      </ns0:c>
      <ns0:c r="B37" s="3" t="inlineStr">
        <ns0:is>
          <ns0:t>ali_my</ns0:t>
        </ns0:is>
      </ns0:c>
      <ns0:c r="C37" s="3" t="inlineStr">
        <ns0:is>
          <ns0:t>/home/chenkejun/beauty/conceptgraphs/data/Replica/office4/exps/ali_my_paper_main_aligned_office4_400f_stride5_bff233f_20260821/pcd_ali_my_paper_main_aligned_office4_400f_stride5_bff233f_20260821.pkl.gz</ns0:t>
        </ns0:is>
      </ns0:c>
    </ns0:row>
    <ns0:row r="38" ht="55" customHeight="1">
      <ns0:c r="A38" s="3" t="inlineStr">
        <ns0:is>
          <ns0:t>office2</ns0:t>
        </ns0:is>
      </ns0:c>
      <ns0:c r="B38" s="3" t="inlineStr">
        <ns0:is>
          <ns0:t>v7_merge_re</ns0:t>
        </ns0:is>
      </ns0:c>
      <ns0:c r="C38" s="3" t="inlineStr">
        <ns0:is>
          <ns0:t>/home/chenkejun/beauty/conceptgraphs/results/experiments/oracle_three_error_20260828/pilot/b0_dataset/Replica/office2/exps/v7_merge_re_auto_20260910_160644_2867240/pcd_v7_merge_re_auto_20260910_160644_2867240.pkl.gz</ns0:t>
        </ns0:is>
      </ns0:c>
    </ns0:row>
    <ns0:row r="39" ht="55" customHeight="1">
      <ns0:c r="A39" s="3" t="inlineStr">
        <ns0:is>
          <ns0:t>office2</ns0:t>
        </ns0:is>
      </ns0:c>
      <ns0:c r="B39" s="3" t="inlineStr">
        <ns0:is>
          <ns0:t>v7_merge</ns0:t>
        </ns0:is>
      </ns0:c>
      <ns0:c r="C39" s="3" t="inlineStr">
        <ns0:is>
          <ns0:t>/data/chenkejun/beauty/conceptgraphs/results/experiments/oracle_three_error_20260828/pilot/b0_dataset/Replica/office2/exps/v7_merge_auto_20260909_133115_1287091/pcd_v7_merge_auto_20260909_133115_1287091.pkl.gz</ns0:t>
        </ns0:is>
      </ns0:c>
    </ns0:row>
    <ns0:row r="40" ht="55" customHeight="1">
      <ns0:c r="A40" s="3" t="inlineStr">
        <ns0:is>
          <ns0:t>room0</ns0:t>
        </ns0:is>
      </ns0:c>
      <ns0:c r="B40" s="3" t="inlineStr">
        <ns0:is>
          <ns0:t>TwoRoad（融合旧读出）</ns0:t>
        </ns0:is>
      </ns0:c>
      <ns0:c r="C40" s="3" t="inlineStr">
        <ns0:is>
          <ns0:t>/home/chenkejun/beauty/conceptgraphs/results/experiments/oracle_three_error_20260828/pilot/b0_dataset/Replica/room0/exps/v7_CLIP_TwoRoad_auto_20260910_191042_3148247/pcd_v7_CLIP_TwoRoad_auto_20260910_191042_3148247.pkl.gz</ns0:t>
        </ns0:is>
      </ns0:c>
    </ns0:row>
    <ns0:row r="41" ht="74" customHeight="1">
      <ns0:c r="A41" s="12" t="inlineStr">
        <ns0:is>
          <ns0:t>room0</ns0:t>
        </ns0:is>
      </ns0:c>
      <ns0:c r="B41" s="12" t="inlineStr">
        <ns0:is>
          <ns0:t>CLIP+bbox读出</ns0:t>
        </ns0:is>
      </ns0:c>
      <ns0:c r="C41" s="17" t="inlineStr">
        <ns0:is>
          <ns0:t>/data/chenkejun/beauty/conceptgraphs/results/experiments/oracle_three_error_20260828/pilot/b0_dataset/Replica/room0/exps/v7_CLIP_auto_20260909_160519_2075470/pcd_v7_CLIP_auto_20260909_160519_2075470.pkl.gz；语义特征：/home/chenkejun/beauty/tworoad_readout_v2_20260911/room0/final_semantic_bbox.npy</ns0:t>
        </ns0:is>
      </ns0:c>
    </ns0:row>
    <ns0:row r="42" ht="74" customHeight="1">
      <ns0:c r="A42" s="12" t="inlineStr">
        <ns0:is>
          <ns0:t>room1</ns0:t>
        </ns0:is>
      </ns0:c>
      <ns0:c r="B42" s="12" t="inlineStr">
        <ns0:is>
          <ns0:t>CLIP+bbox读出</ns0:t>
        </ns0:is>
      </ns0:c>
      <ns0:c r="C42" s="17" t="inlineStr">
        <ns0:is>
          <ns0:t>/home/chenkejun/beauty/conceptgraphs/results/experiments/oracle_three_error_20260828/pilot/b0_dataset/Replica/room1/exps/v7_CLIP_auto_20260909_205426_16948/pcd_v7_CLIP_auto_20260909_205426_16948.pkl.gz；语义特征：/home/chenkejun/beauty/tworoad_readout_v2_20260911/room1/final_semantic_bbox.npy</ns0:t>
        </ns0:is>
      </ns0:c>
    </ns0:row>
    <ns0:row r="43" ht="74" customHeight="1">
      <ns0:c r="A43" s="12" t="inlineStr">
        <ns0:is>
          <ns0:t>room2</ns0:t>
        </ns0:is>
      </ns0:c>
      <ns0:c r="B43" s="12" t="inlineStr">
        <ns0:is>
          <ns0:t>CLIP+bbox读出</ns0:t>
        </ns0:is>
      </ns0:c>
      <ns0:c r="C43" s="17" t="inlineStr">
        <ns0:is>
          <ns0:t>/home/chenkejun/beauty/conceptgraphs/results/experiments/oracle_three_error_20260828/pilot/b0_dataset/Replica/room2/exps/v7_CLIP_auto_20260909_224359_1079274/pcd_v7_CLIP_auto_20260909_224359_1079274.pkl.gz；语义特征：/home/chenkejun/beauty/tworoad_readout_v2_20260911/room2/final_semantic_bbox.npy</ns0:t>
        </ns0:is>
      </ns0:c>
    </ns0:row>
    <ns0:row r="44" ht="74" customHeight="1">
      <ns0:c r="A44" s="12" t="inlineStr">
        <ns0:is>
          <ns0:t>office0</ns0:t>
        </ns0:is>
      </ns0:c>
      <ns0:c r="B44" s="12" t="inlineStr">
        <ns0:is>
          <ns0:t>CLIP+bbox读出</ns0:t>
        </ns0:is>
      </ns0:c>
      <ns0:c r="C44" s="17" t="inlineStr">
        <ns0:is>
          <ns0:t>/data/chenkejun/beauty/conceptgraphs/results/experiments/oracle_three_error_20260828/pilot/b0_dataset/Replica/office0/exps/v7_CLIP_auto_20260909_235305_1676132/pcd_v7_CLIP_auto_20260909_235305_1676132.pkl.gz；语义特征：/home/chenkejun/beauty/tworoad_readout_v2_20260911/office0/final_semantic_bbox.npy</ns0:t>
        </ns0:is>
      </ns0:c>
    </ns0:row>
    <ns0:row r="45" ht="74" customHeight="1">
      <ns0:c r="A45" s="12" t="inlineStr">
        <ns0:is>
          <ns0:t>office1</ns0:t>
        </ns0:is>
      </ns0:c>
      <ns0:c r="B45" s="12" t="inlineStr">
        <ns0:is>
          <ns0:t>CLIP+bbox读出</ns0:t>
        </ns0:is>
      </ns0:c>
      <ns0:c r="C45" s="17" t="inlineStr">
        <ns0:is>
          <ns0:t>/data/chenkejun/beauty/conceptgraphs/results/experiments/oracle_three_error_20260828/pilot/b0_dataset/Replica/office1/exps/v7_CLIP_auto_20260910_003918_2667263/pcd_v7_CLIP_auto_20260910_003918_2667263.pkl.gz；语义特征：/home/chenkejun/beauty/tworoad_readout_v2_20260911/office1/final_semantic_bbox.npy</ns0:t>
        </ns0:is>
      </ns0:c>
    </ns0:row>
    <ns0:row r="46" ht="74" customHeight="1">
      <ns0:c r="A46" s="12" t="inlineStr">
        <ns0:is>
          <ns0:t>office2</ns0:t>
        </ns0:is>
      </ns0:c>
      <ns0:c r="B46" s="12" t="inlineStr">
        <ns0:is>
          <ns0:t>CLIP+bbox读出</ns0:t>
        </ns0:is>
      </ns0:c>
      <ns0:c r="C46" s="17" t="inlineStr">
        <ns0:is>
          <ns0:t>/data/chenkejun/beauty/conceptgraphs/results/experiments/oracle_three_error_20260828/pilot/b0_dataset/Replica/office2/exps/v7_CLIP_auto_20260909_184833_3119794/pcd_v7_CLIP_auto_20260909_184833_3119794.pkl.gz；语义特征：/home/chenkejun/beauty/tworoad_readout_v2_20260911/office2/final_semantic_bbox.npy</ns0:t>
        </ns0:is>
      </ns0:c>
    </ns0:row>
    <ns0:row r="47" ht="74" customHeight="1">
      <ns0:c r="A47" s="12" t="inlineStr">
        <ns0:is>
          <ns0:t>office3</ns0:t>
        </ns0:is>
      </ns0:c>
      <ns0:c r="B47" s="12" t="inlineStr">
        <ns0:is>
          <ns0:t>CLIP+bbox读出</ns0:t>
        </ns0:is>
      </ns0:c>
      <ns0:c r="C47" s="17" t="inlineStr">
        <ns0:is>
          <ns0:t>/data/chenkejun/beauty/conceptgraphs/results/experiments/oracle_three_error_20260828/pilot/b0_dataset/Replica/office3/exps/v7_CLIP_auto_20260910_013704_3671961/pcd_v7_CLIP_auto_20260910_013704_3671961.pkl.gz；语义特征：/home/chenkejun/beauty/tworoad_readout_v2_20260911/office3/final_semantic_bbox.npy</ns0:t>
        </ns0:is>
      </ns0:c>
    </ns0:row>
    <ns0:row r="48" ht="74" customHeight="1">
      <ns0:c r="A48" s="12" t="inlineStr">
        <ns0:is>
          <ns0:t>office4</ns0:t>
        </ns0:is>
      </ns0:c>
      <ns0:c r="B48" s="12" t="inlineStr">
        <ns0:is>
          <ns0:t>CLIP+bbox读出</ns0:t>
        </ns0:is>
      </ns0:c>
      <ns0:c r="C48" s="17" t="inlineStr">
        <ns0:is>
          <ns0:t>/data/chenkejun/beauty/conceptgraphs/results/experiments/oracle_three_error_20260828/pilot/b0_dataset/Replica/office4/exps/v7_CLIP_auto_20260910_033537_316703/pcd_v7_CLIP_auto_20260910_033537_316703.pkl.gz；语义特征：/home/chenkejun/beauty/tworoad_readout_v2_20260911/office4/final_semantic_bbox.npy</ns0:t>
        </ns0:is>
      </ns0:c>
    </ns0:row>
    <ns0:row r="49" ht="74" customHeight="1">
      <ns0:c r="A49" s="12" t="inlineStr">
        <ns0:is>
          <ns0:t>room0</ns0:t>
        </ns0:is>
      </ns0:c>
      <ns0:c r="B49" s="12" t="inlineStr">
        <ns0:is>
          <ns0:t>TwoRoad bbox读出</ns0:t>
        </ns0:is>
      </ns0:c>
      <ns0:c r="C49" s="17" t="inlineStr">
        <ns0:is>
          <ns0:t>/home/chenkejun/beauty/tworoad_readout_v2_20260911/maps/tworoad_room0_bbox.pkl.gz</ns0:t>
        </ns0:is>
      </ns0:c>
    </ns0:row>
    <ns0:row r="50" ht="55" customHeight="1">
      <ns0:c r="A50" s="3" t="inlineStr">
        <ns0:is>
          <ns0:t>room1</ns0:t>
        </ns0:is>
      </ns0:c>
      <ns0:c r="B50" s="3" t="inlineStr">
        <ns0:is>
          <ns0:t>v7_CLIP_v3</ns0:t>
        </ns0:is>
      </ns0:c>
      <ns0:c r="C50" s="3" t="inlineStr">
        <ns0:is>
          <ns0:t>/data/chenkejun/beauty/v7_CLIP_v3_20260911/Replica/room1/exps/v7_CLIP_v3_room1_20260911_full400/pcd_v7_CLIP_v3_room1_20260911_full400.pkl.gz</ns0:t>
        </ns0:is>
      </ns0:c>
    </ns0:row>
    <ns0:row r="51" ht="55" customHeight="1">
      <ns0:c r="A51" s="3" t="inlineStr">
        <ns0:is>
          <ns0:t>room2</ns0:t>
        </ns0:is>
      </ns0:c>
      <ns0:c r="B51" s="3" t="inlineStr">
        <ns0:is>
          <ns0:t>v7_CLIP_v3</ns0:t>
        </ns0:is>
      </ns0:c>
      <ns0:c r="C51" s="3" t="inlineStr">
        <ns0:is>
          <ns0:t>/data/chenkejun/beauty/v7_CLIP_v3_20260911/Replica/room2/exps/v7_CLIP_v3_room2_20260911_full400/pcd_v7_CLIP_v3_room2_20260911_full400.pkl.gz</ns0:t>
        </ns0:is>
      </ns0:c>
    </ns0:row>
    <ns0:row r="52" ht="55" customHeight="1">
      <ns0:c r="A52" s="3" t="inlineStr">
        <ns0:is>
          <ns0:t>office0</ns0:t>
        </ns0:is>
      </ns0:c>
      <ns0:c r="B52" s="3" t="inlineStr">
        <ns0:is>
          <ns0:t>v7_CLIP_v3</ns0:t>
        </ns0:is>
      </ns0:c>
      <ns0:c r="C52" s="3" t="inlineStr">
        <ns0:is>
          <ns0:t>/data/chenkejun/beauty/v7_CLIP_v3_20260911/Replica/office0/exps/v7_CLIP_v3_office0_20260911_full400/pcd_v7_CLIP_v3_office0_20260911_full400.pkl.gz</ns0:t>
        </ns0:is>
      </ns0:c>
    </ns0:row>
    <ns0:row r="53" ht="55" customHeight="1">
      <ns0:c r="A53" s="3" t="inlineStr">
        <ns0:is>
          <ns0:t>office1</ns0:t>
        </ns0:is>
      </ns0:c>
      <ns0:c r="B53" s="3" t="inlineStr">
        <ns0:is>
          <ns0:t>v7_CLIP_v3</ns0:t>
        </ns0:is>
      </ns0:c>
      <ns0:c r="C53" s="3" t="inlineStr">
        <ns0:is>
          <ns0:t>/data/chenkejun/beauty/v7_CLIP_v3_20260911/Replica/office1/exps/v7_CLIP_v3_office1_20260911_full400/pcd_v7_CLIP_v3_office1_20260911_full400.pkl.gz</ns0:t>
        </ns0:is>
      </ns0:c>
    </ns0:row>
    <ns0:row r="54" ht="55" customHeight="1">
      <ns0:c r="A54" s="3" t="inlineStr">
        <ns0:is>
          <ns0:t>office2</ns0:t>
        </ns0:is>
      </ns0:c>
      <ns0:c r="B54" s="3" t="inlineStr">
        <ns0:is>
          <ns0:t>v7_CLIP_v3</ns0:t>
        </ns0:is>
      </ns0:c>
      <ns0:c r="C54" s="3" t="inlineStr">
        <ns0:is>
          <ns0:t>/data/chenkejun/beauty/v7_CLIP_v3_20260911/Replica/office2/exps/v7_CLIP_v3_office2_20260911_full400/pcd_v7_CLIP_v3_office2_20260911_full400.pkl.gz</ns0:t>
        </ns0:is>
      </ns0:c>
    </ns0:row>
    <ns0:row r="55" ht="72" customHeight="1">
      <ns0:c r="A55" s="3" t="inlineStr">
        <ns0:is>
          <ns0:t>room0</ns0:t>
        </ns0:is>
      </ns0:c>
      <ns0:c r="B55" s="3" t="inlineStr">
        <ns0:is>
          <ns0:t>A ali-my bff233f</ns0:t>
        </ns0:is>
      </ns0:c>
      <ns0:c r="C55" s="3" t="inlineStr">
        <ns0:is>
          <ns0:t>/home/chenkejun/beauty/conceptgraphs/data/Replica/room0/exps/ali_my_paper_main_aligned_room0_400f_stride5_bff233f_20260821/pcd_ali_my_paper_main_aligned_room0_400f_stride5_bff233f_20260821.pkl.gz</ns0:t>
        </ns0:is>
      </ns0:c>
    </ns0:row>
    <ns0:row r="56" ht="72" customHeight="1">
      <ns0:c r="A56" s="3" t="inlineStr">
        <ns0:is>
          <ns0:t>room0</ns0:t>
        </ns0:is>
      </ns0:c>
      <ns0:c r="B56" s="3" t="inlineStr">
        <ns0:is>
          <ns0:t>B 原图（无VLM）</ns0:t>
        </ns0:is>
      </ns0:c>
      <ns0:c r="C56" s="3" t="inlineStr">
        <ns0:is>
          <ns0:t>/data/chenkejun/paper_ablation_20260911/runs/B_baseline_original_rgb/Replica/room0/exps/B_baseline_original_rgb_room0/pcd_B_baseline_original_rgb_room0.pkl.gz</ns0:t>
        </ns0:is>
      </ns0:c>
    </ns0:row>
    <ns0:row r="57" ht="72" customHeight="1">
      <ns0:c r="A57" s="3" t="inlineStr">
        <ns0:is>
          <ns0:t>room0</ns0:t>
        </ns0:is>
      </ns0:c>
      <ns0:c r="B57" s="3" t="inlineStr">
        <ns0:is>
          <ns0:t>C 原图+CLIP（无VLM）</ns0:t>
        </ns0:is>
      </ns0:c>
      <ns0:c r="C57" s="3" t="inlineStr">
        <ns0:is>
          <ns0:t>/data/chenkejun/paper_ablation_20260911/runs/C_baseline_original_rgb_clip/Replica/room0/exps/C_baseline_original_rgb_clip_room0/pcd_C_baseline_original_rgb_clip_room0.pkl.gz</ns0:t>
        </ns0:is>
      </ns0:c>
    </ns0:row>
    <ns0:row r="58" ht="72" customHeight="1">
      <ns0:c r="A58" s="3" t="inlineStr">
        <ns0:is>
          <ns0:t>room1</ns0:t>
        </ns0:is>
      </ns0:c>
      <ns0:c r="B58" s="3" t="inlineStr">
        <ns0:is>
          <ns0:t>A ali-my bff233f</ns0:t>
        </ns0:is>
      </ns0:c>
      <ns0:c r="C58" s="3" t="inlineStr">
        <ns0:is>
          <ns0:t>/home/chenkejun/beauty/conceptgraphs/data/Replica/room1/exps/ali_my_paper_main_aligned_room1_400f_stride5_bff233f_20260821/pcd_ali_my_paper_main_aligned_room1_400f_stride5_bff233f_20260821.pkl.gz</ns0:t>
        </ns0:is>
      </ns0:c>
    </ns0:row>
    <ns0:row r="59" ht="72" customHeight="1">
      <ns0:c r="A59" s="3" t="inlineStr">
        <ns0:is>
          <ns0:t>room1</ns0:t>
        </ns0:is>
      </ns0:c>
      <ns0:c r="B59" s="3" t="inlineStr">
        <ns0:is>
          <ns0:t>B 原图（无VLM）</ns0:t>
        </ns0:is>
      </ns0:c>
      <ns0:c r="C59" s="3" t="inlineStr">
        <ns0:is>
          <ns0:t>/data/chenkejun/paper_ablation_20260911/runs/B_baseline_original_rgb/Replica/room1/exps/B_baseline_original_rgb_room1/pcd_B_baseline_original_rgb_room1.pkl.gz</ns0:t>
        </ns0:is>
      </ns0:c>
    </ns0:row>
    <ns0:row r="60" ht="72" customHeight="1">
      <ns0:c r="A60" s="3" t="inlineStr">
        <ns0:is>
          <ns0:t>room1</ns0:t>
        </ns0:is>
      </ns0:c>
      <ns0:c r="B60" s="3" t="inlineStr">
        <ns0:is>
          <ns0:t>C 原图+CLIP（无VLM）</ns0:t>
        </ns0:is>
      </ns0:c>
      <ns0:c r="C60" s="3" t="inlineStr">
        <ns0:is>
          <ns0:t>/data/chenkejun/paper_ablation_20260911/runs/C_baseline_original_rgb_clip/Replica/room1/exps/C_baseline_original_rgb_clip_room1/pcd_C_baseline_original_rgb_clip_room1.pkl.gz</ns0:t>
        </ns0:is>
      </ns0:c>
    </ns0:row>
    <ns0:row r="61" ht="72" customHeight="1">
      <ns0:c r="A61" s="3" t="inlineStr">
        <ns0:is>
          <ns0:t>room2</ns0:t>
        </ns0:is>
      </ns0:c>
      <ns0:c r="B61" s="3" t="inlineStr">
        <ns0:is>
          <ns0:t>A ali-my bff233f</ns0:t>
        </ns0:is>
      </ns0:c>
      <ns0:c r="C61" s="3" t="inlineStr">
        <ns0:is>
          <ns0:t>/home/chenkejun/beauty/conceptgraphs/data/Replica/room2/exps/ali_my_paper_main_aligned_room2_400f_stride5_bff233f_20260821/pcd_ali_my_paper_main_aligned_room2_400f_stride5_bff233f_20260821.pkl.gz</ns0:t>
        </ns0:is>
      </ns0:c>
    </ns0:row>
    <ns0:row r="62" ht="72" customHeight="1">
      <ns0:c r="A62" s="3" t="inlineStr">
        <ns0:is>
          <ns0:t>room2</ns0:t>
        </ns0:is>
      </ns0:c>
      <ns0:c r="B62" s="3" t="inlineStr">
        <ns0:is>
          <ns0:t>B 原图（无VLM）</ns0:t>
        </ns0:is>
      </ns0:c>
      <ns0:c r="C62" s="3" t="inlineStr">
        <ns0:is>
          <ns0:t>/data/chenkejun/paper_ablation_20260911/runs/B_baseline_original_rgb/Replica/room2/exps/B_baseline_original_rgb_room2/pcd_B_baseline_original_rgb_room2.pkl.gz</ns0:t>
        </ns0:is>
      </ns0:c>
    </ns0:row>
    <ns0:row r="63" ht="72" customHeight="1">
      <ns0:c r="A63" s="3" t="inlineStr">
        <ns0:is>
          <ns0:t>room2</ns0:t>
        </ns0:is>
      </ns0:c>
      <ns0:c r="B63" s="3" t="inlineStr">
        <ns0:is>
          <ns0:t>C 原图+CLIP（无VLM）</ns0:t>
        </ns0:is>
      </ns0:c>
      <ns0:c r="C63" s="3" t="inlineStr">
        <ns0:is>
          <ns0:t>/data/chenkejun/paper_ablation_20260911/runs/C_baseline_original_rgb_clip/Replica/room2/exps/C_baseline_original_rgb_clip_room2/pcd_C_baseline_original_rgb_clip_room2.pkl.gz</ns0:t>
        </ns0:is>
      </ns0:c>
    </ns0:row>
    <ns0:row r="64" ht="72" customHeight="1">
      <ns0:c r="A64" s="3" t="inlineStr">
        <ns0:is>
          <ns0:t>office0</ns0:t>
        </ns0:is>
      </ns0:c>
      <ns0:c r="B64" s="3" t="inlineStr">
        <ns0:is>
          <ns0:t>A ali-my bff233f</ns0:t>
        </ns0:is>
      </ns0:c>
      <ns0:c r="C64" s="3" t="inlineStr">
        <ns0:is>
          <ns0:t>/home/chenkejun/beauty/conceptgraphs/data/Replica/office0/exps/ali_my_paper_main_aligned_office0_400f_stride5_bff233f_20260821/pcd_ali_my_paper_main_aligned_office0_400f_stride5_bff233f_20260821.pkl.gz</ns0:t>
        </ns0:is>
      </ns0:c>
    </ns0:row>
    <ns0:row r="65" ht="72" customHeight="1">
      <ns0:c r="A65" s="3" t="inlineStr">
        <ns0:is>
          <ns0:t>office0</ns0:t>
        </ns0:is>
      </ns0:c>
      <ns0:c r="B65" s="3" t="inlineStr">
        <ns0:is>
          <ns0:t>B 原图（无VLM）</ns0:t>
        </ns0:is>
      </ns0:c>
      <ns0:c r="C65" s="3" t="inlineStr">
        <ns0:is>
          <ns0:t>/data/chenkejun/paper_ablation_20260911/runs/B_baseline_original_rgb/Replica/office0/exps/B_baseline_original_rgb_office0/pcd_B_baseline_original_rgb_office0.pkl.gz</ns0:t>
        </ns0:is>
      </ns0:c>
    </ns0:row>
    <ns0:row r="66" ht="72" customHeight="1">
      <ns0:c r="A66" s="3" t="inlineStr">
        <ns0:is>
          <ns0:t>office0</ns0:t>
        </ns0:is>
      </ns0:c>
      <ns0:c r="B66" s="3" t="inlineStr">
        <ns0:is>
          <ns0:t>C 原图+CLIP（无VLM）</ns0:t>
        </ns0:is>
      </ns0:c>
      <ns0:c r="C66" s="3" t="inlineStr">
        <ns0:is>
          <ns0:t>/data/chenkejun/paper_ablation_20260911/runs/C_baseline_original_rgb_clip/Replica/office0/exps/C_baseline_original_rgb_clip_office0/pcd_C_baseline_original_rgb_clip_office0.pkl.gz</ns0:t>
        </ns0:is>
      </ns0:c>
    </ns0:row>
    <ns0:row r="67" ht="72" customHeight="1">
      <ns0:c r="A67" s="3" t="inlineStr">
        <ns0:is>
          <ns0:t>office1</ns0:t>
        </ns0:is>
      </ns0:c>
      <ns0:c r="B67" s="3" t="inlineStr">
        <ns0:is>
          <ns0:t>A ali-my bff233f</ns0:t>
        </ns0:is>
      </ns0:c>
      <ns0:c r="C67" s="3" t="inlineStr">
        <ns0:is>
          <ns0:t>/home/chenkejun/beauty/conceptgraphs/data/Replica/office1/exps/ali_my_paper_main_aligned_office1_400f_stride5_bff233f_20260821/pcd_ali_my_paper_main_aligned_office1_400f_stride5_bff233f_20260821.pkl.gz</ns0:t>
        </ns0:is>
      </ns0:c>
    </ns0:row>
    <ns0:row r="68" ht="72" customHeight="1">
      <ns0:c r="A68" s="3" t="inlineStr">
        <ns0:is>
          <ns0:t>office1</ns0:t>
        </ns0:is>
      </ns0:c>
      <ns0:c r="B68" s="3" t="inlineStr">
        <ns0:is>
          <ns0:t>B 原图（无VLM）</ns0:t>
        </ns0:is>
      </ns0:c>
      <ns0:c r="C68" s="3" t="inlineStr">
        <ns0:is>
          <ns0:t>/data/chenkejun/paper_ablation_20260911/runs/B_baseline_original_rgb/Replica/office1/exps/B_baseline_original_rgb_office1/pcd_B_baseline_original_rgb_office1.pkl.gz</ns0:t>
        </ns0:is>
      </ns0:c>
    </ns0:row>
    <ns0:row r="69" ht="72" customHeight="1">
      <ns0:c r="A69" s="3" t="inlineStr">
        <ns0:is>
          <ns0:t>office1</ns0:t>
        </ns0:is>
      </ns0:c>
      <ns0:c r="B69" s="3" t="inlineStr">
        <ns0:is>
          <ns0:t>C 原图+CLIP（无VLM）</ns0:t>
        </ns0:is>
      </ns0:c>
      <ns0:c r="C69" s="3" t="inlineStr">
        <ns0:is>
          <ns0:t>/data/chenkejun/paper_ablation_20260911/runs/C_baseline_original_rgb_clip/Replica/office1/exps/C_baseline_original_rgb_clip_office1/pcd_C_baseline_original_rgb_clip_office1.pkl.gz</ns0:t>
        </ns0:is>
      </ns0:c>
    </ns0:row>
    <ns0:row r="70" ht="72" customHeight="1">
      <ns0:c r="A70" s="3" t="inlineStr">
        <ns0:is>
          <ns0:t>office2</ns0:t>
        </ns0:is>
      </ns0:c>
      <ns0:c r="B70" s="3" t="inlineStr">
        <ns0:is>
          <ns0:t>A ali-my bff233f</ns0:t>
        </ns0:is>
      </ns0:c>
      <ns0:c r="C70" s="3" t="inlineStr">
        <ns0:is>
          <ns0:t>/home/chenkejun/beauty/conceptgraphs/data/Replica/office2/exps/ali_my_paper_main_aligned_office2_400f_stride5_bff233f_20260821/pcd_ali_my_paper_main_aligned_office2_400f_stride5_bff233f_20260821.pkl.gz</ns0:t>
        </ns0:is>
      </ns0:c>
    </ns0:row>
    <ns0:row r="71" ht="72" customHeight="1">
      <ns0:c r="A71" s="3" t="inlineStr">
        <ns0:is>
          <ns0:t>office2</ns0:t>
        </ns0:is>
      </ns0:c>
      <ns0:c r="B71" s="3" t="inlineStr">
        <ns0:is>
          <ns0:t>B 原图（无VLM）</ns0:t>
        </ns0:is>
      </ns0:c>
      <ns0:c r="C71" s="3" t="inlineStr">
        <ns0:is>
          <ns0:t>/data/chenkejun/paper_ablation_20260911/runs/B_baseline_original_rgb/Replica/office2/exps/B_baseline_original_rgb_office2/pcd_B_baseline_original_rgb_office2.pkl.gz</ns0:t>
        </ns0:is>
      </ns0:c>
    </ns0:row>
    <ns0:row r="72" ht="72" customHeight="1">
      <ns0:c r="A72" s="3" t="inlineStr">
        <ns0:is>
          <ns0:t>office2</ns0:t>
        </ns0:is>
      </ns0:c>
      <ns0:c r="B72" s="3" t="inlineStr">
        <ns0:is>
          <ns0:t>C 原图+CLIP（无VLM）</ns0:t>
        </ns0:is>
      </ns0:c>
      <ns0:c r="C72" s="3" t="inlineStr">
        <ns0:is>
          <ns0:t>/data/chenkejun/paper_ablation_20260911/runs/C_baseline_original_rgb_clip/Replica/office2/exps/C_baseline_original_rgb_clip_office2/pcd_C_baseline_original_rgb_clip_office2.pkl.gz</ns0:t>
        </ns0:is>
      </ns0:c>
    </ns0:row>
    <ns0:row r="73" ht="72" customHeight="1">
      <ns0:c r="A73" s="3" t="inlineStr">
        <ns0:is>
          <ns0:t>office3</ns0:t>
        </ns0:is>
      </ns0:c>
      <ns0:c r="B73" s="3" t="inlineStr">
        <ns0:is>
          <ns0:t>A ali-my bff233f</ns0:t>
        </ns0:is>
      </ns0:c>
      <ns0:c r="C73" s="3" t="inlineStr">
        <ns0:is>
          <ns0:t>/home/chenkejun/beauty/conceptgraphs/data/Replica/office3/exps/ali_my_paper_main_aligned_office3_400f_stride5_bff233f_20260821/pcd_ali_my_paper_main_aligned_office3_400f_stride5_bff233f_20260821.pkl.gz</ns0:t>
        </ns0:is>
      </ns0:c>
    </ns0:row>
    <ns0:row r="74" ht="72" customHeight="1">
      <ns0:c r="A74" s="3" t="inlineStr">
        <ns0:is>
          <ns0:t>office3</ns0:t>
        </ns0:is>
      </ns0:c>
      <ns0:c r="B74" s="3" t="inlineStr">
        <ns0:is>
          <ns0:t>B 原图（无VLM）</ns0:t>
        </ns0:is>
      </ns0:c>
      <ns0:c r="C74" s="3" t="inlineStr">
        <ns0:is>
          <ns0:t>/data/chenkejun/paper_ablation_20260911/runs/B_baseline_original_rgb/Replica/office3/exps/B_baseline_original_rgb_office3/pcd_B_baseline_original_rgb_office3.pkl.gz</ns0:t>
        </ns0:is>
      </ns0:c>
    </ns0:row>
    <ns0:row r="75" ht="72" customHeight="1">
      <ns0:c r="A75" s="3" t="inlineStr">
        <ns0:is>
          <ns0:t>office3</ns0:t>
        </ns0:is>
      </ns0:c>
      <ns0:c r="B75" s="3" t="inlineStr">
        <ns0:is>
          <ns0:t>C 原图+CLIP（无VLM）</ns0:t>
        </ns0:is>
      </ns0:c>
      <ns0:c r="C75" s="3" t="inlineStr">
        <ns0:is>
          <ns0:t>/data/chenkejun/paper_ablation_20260911/runs/C_baseline_original_rgb_clip/Replica/office3/exps/C_baseline_original_rgb_clip_office3/pcd_C_baseline_original_rgb_clip_office3.pkl.gz</ns0:t>
        </ns0:is>
      </ns0:c>
    </ns0:row>
    <ns0:row r="76" ht="72" customHeight="1">
      <ns0:c r="A76" s="3" t="inlineStr">
        <ns0:is>
          <ns0:t>office4</ns0:t>
        </ns0:is>
      </ns0:c>
      <ns0:c r="B76" s="3" t="inlineStr">
        <ns0:is>
          <ns0:t>A ali-my bff233f</ns0:t>
        </ns0:is>
      </ns0:c>
      <ns0:c r="C76" s="3" t="inlineStr">
        <ns0:is>
          <ns0:t>/home/chenkejun/beauty/conceptgraphs/data/Replica/office4/exps/ali_my_paper_main_aligned_office4_400f_stride5_bff233f_20260821/pcd_ali_my_paper_main_aligned_office4_400f_stride5_bff233f_20260821.pkl.gz</ns0:t>
        </ns0:is>
      </ns0:c>
    </ns0:row>
    <ns0:row r="77" ht="72" customHeight="1">
      <ns0:c r="A77" s="3" t="inlineStr">
        <ns0:is>
          <ns0:t>office4</ns0:t>
        </ns0:is>
      </ns0:c>
      <ns0:c r="B77" s="3" t="inlineStr">
        <ns0:is>
          <ns0:t>B 原图（无VLM）</ns0:t>
        </ns0:is>
      </ns0:c>
      <ns0:c r="C77" s="3" t="inlineStr">
        <ns0:is>
          <ns0:t>/data/chenkejun/paper_ablation_20260911/runs/B_baseline_original_rgb/Replica/office4/exps/B_baseline_original_rgb_office4/pcd_B_baseline_original_rgb_office4.pkl.gz</ns0:t>
        </ns0:is>
      </ns0:c>
    </ns0:row>
    <ns0:row r="78" ht="72" customHeight="1">
      <ns0:c r="A78" s="3" t="inlineStr">
        <ns0:is>
          <ns0:t>office4</ns0:t>
        </ns0:is>
      </ns0:c>
      <ns0:c r="B78" s="3" t="inlineStr">
        <ns0:is>
          <ns0:t>C 原图+CLIP（无VLM）</ns0:t>
        </ns0:is>
      </ns0:c>
      <ns0:c r="C78" s="3" t="inlineStr">
        <ns0:is>
          <ns0:t>/data/chenkejun/paper_ablation_20260911/runs/C_baseline_original_rgb_clip/Replica/office4/exps/C_baseline_original_rgb_clip_office4/pcd_C_baseline_original_rgb_clip_office4.pkl.gz</ns0:t>
        </ns0:is>
      </ns0:c>
    </ns0:row>
  </ns0:sheetData>
  <ns0:autoFilter ref="A4:C78"/>
  <ns0:mergeCells count="2">
    <ns0:mergeCell ref="A1:C1"/>
    <ns0:mergeCell ref="A2:C2"/>
  </ns0:mergeCells>
  <ns0:pageMargins left="0.75" right="0.75" top="1" bottom="1" header="0.5" footer="0.5"/>
  <ns0:pageSetup orientation="landscape" paperSize="8" fitToHeight="0" fitToWidth="1"/>
  <ns0:rowBreaks count="2" manualBreakCount="2">
    <ns0:brk id="15" min="0" max="16383" man="1"/>
    <ns0:brk id="26" min="0" max="16383" man="1"/>
  </ns0:rowBreak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2026-09-10T08:26:56Z</dcterms:created>
  <dcterms:modified xmlns:dcterms="http://purl.org/dc/terms/" xmlns:xsi="http://www.w3.org/2001/XMLSchema-instance" xsi:type="dcterms:W3CDTF">2026-09-11T05:57:52Z</dcterms:modified>
</cp:coreProperties>
</file>