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一指标" sheetId="1" state="visible" r:id="rId1"/>
    <sheet name="逐场景结果" sheetId="2" state="visible" r:id="rId2"/>
    <sheet name="诊断指标" sheetId="3" state="visible" r:id="rId3"/>
    <sheet name="成本记录" sheetId="4" state="visible" r:id="rId4"/>
    <sheet name="评估说明" sheetId="5" state="visible" r:id="rId5"/>
    <sheet name="地图来源" sheetId="6" state="visible" r:id="rId6"/>
    <sheet name="VLM四能力50例" sheetId="7" state="visible" r:id="rId7"/>
  </sheets>
  <definedNames>
    <definedName name="_xlnm.Print_Area" localSheetId="0">'统一指标'!$A$1:$K$95</definedName>
    <definedName name="_xlnm._FilterDatabase" localSheetId="1" hidden="1">'逐场景结果'!$A$4:$K$78</definedName>
    <definedName name="_xlnm.Print_Titles" localSheetId="1">'逐场景结果'!$1:$4</definedName>
    <definedName name="_xlnm.Print_Area" localSheetId="1">'逐场景结果'!$A$1:$K$78</definedName>
    <definedName name="_xlnm._FilterDatabase" localSheetId="2" hidden="1">'诊断指标'!$A$4:$K$78</definedName>
    <definedName name="_xlnm.Print_Titles" localSheetId="2">'诊断指标'!$1:$4</definedName>
    <definedName name="_xlnm.Print_Area" localSheetId="2">'诊断指标'!$A$1:$K$78</definedName>
    <definedName name="_xlnm._FilterDatabase" localSheetId="3" hidden="1">'成本记录'!$A$4:$H$78</definedName>
    <definedName name="_xlnm.Print_Titles" localSheetId="3">'成本记录'!$1:$4</definedName>
    <definedName name="_xlnm.Print_Area" localSheetId="3">'成本记录'!$A$1:$H$78</definedName>
    <definedName name="_xlnm.Print_Area" localSheetId="4">'评估说明'!$A$1:$B$41</definedName>
    <definedName name="_xlnm._FilterDatabase" localSheetId="5" hidden="1">'地图来源'!$A$4:$C$78</definedName>
    <definedName name="_xlnm.Print_Titles" localSheetId="5">'地图来源'!$1:$4</definedName>
    <definedName name="_xlnm.Print_Area" localSheetId="5">'地图来源'!$A$1:$C$78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+0.00;-0.00;0.00"/>
  </numFmts>
  <fonts count="11">
    <font>
      <name val="Calibri"/>
      <family val="2"/>
      <color theme="1"/>
      <sz val="11"/>
      <scheme val="minor"/>
    </font>
    <font>
      <name val="Noto Sans CJK SC"/>
      <b val="1"/>
      <color rgb="0017324D"/>
      <sz val="11"/>
    </font>
    <font>
      <name val="Noto Sans CJK SC"/>
      <b val="1"/>
      <color rgb="00FFFFFF"/>
      <sz val="10"/>
    </font>
    <font>
      <name val="Noto Sans CJK SC"/>
      <color rgb="00172B4D"/>
      <sz val="10"/>
    </font>
    <font>
      <name val="Microsoft YaHei"/>
      <color rgb="0020364C"/>
      <sz val="10"/>
    </font>
    <font>
      <name val="Microsoft YaHei"/>
      <b val="1"/>
      <color rgb="00FFFFFF"/>
      <sz val="11"/>
    </font>
    <font>
      <name val="微软雅黑"/>
      <color rgb="00465970"/>
      <sz val="10"/>
    </font>
    <font>
      <name val="微软雅黑"/>
      <b val="1"/>
      <color rgb="00FFFFFF"/>
      <sz val="10"/>
    </font>
    <font>
      <name val="微软雅黑"/>
      <b val="1"/>
      <color rgb="00203C5C"/>
      <sz val="13"/>
    </font>
    <font>
      <name val="微软雅黑"/>
      <b val="1"/>
      <color rgb="00203C5C"/>
      <sz val="12"/>
    </font>
    <font>
      <name val="微软雅黑"/>
      <color rgb="00203C5C"/>
      <sz val="10"/>
    </font>
  </fonts>
  <fills count="10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4F8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F0F4F8"/>
      </patternFill>
    </fill>
    <fill>
      <patternFill patternType="solid">
        <fgColor rgb="00F1F5F9"/>
      </patternFill>
    </fill>
    <fill>
      <patternFill patternType="solid">
        <fgColor rgb="00183B56"/>
      </patternFill>
    </fill>
    <fill>
      <patternFill patternType="solid">
        <fgColor rgb="00203C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10" fontId="3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10" fontId="3" fillId="4" borderId="0" applyAlignment="1" pivotButton="0" quotePrefix="0" xfId="0">
      <alignment vertical="center" wrapText="1"/>
    </xf>
    <xf numFmtId="10" fontId="3" fillId="5" borderId="0" applyAlignment="1" pivotButton="0" quotePrefix="0" xfId="0">
      <alignment vertical="center" wrapText="1"/>
    </xf>
    <xf numFmtId="164" fontId="3" fillId="3" borderId="0" applyAlignment="1" pivotButton="0" quotePrefix="0" xfId="0">
      <alignment vertical="center" wrapText="1"/>
    </xf>
    <xf numFmtId="164" fontId="3" fillId="4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right" vertical="center" wrapText="1"/>
    </xf>
    <xf numFmtId="0" fontId="3" fillId="3" borderId="0" applyAlignment="1" pivotButton="0" quotePrefix="0" xfId="0">
      <alignment horizontal="left" vertical="center" wrapText="1"/>
    </xf>
    <xf numFmtId="10" fontId="3" fillId="5" borderId="0" applyAlignment="1" pivotButton="0" quotePrefix="0" xfId="0">
      <alignment horizontal="right" vertical="center" wrapText="1"/>
    </xf>
    <xf numFmtId="10" fontId="3" fillId="4" borderId="0" applyAlignment="1" pivotButton="0" quotePrefix="0" xfId="0">
      <alignment horizontal="right" vertical="center" wrapText="1"/>
    </xf>
    <xf numFmtId="2" fontId="3" fillId="3" borderId="0" applyAlignment="1" pivotButton="0" quotePrefix="0" xfId="0">
      <alignment horizontal="right" vertical="center" wrapText="1"/>
    </xf>
    <xf numFmtId="10" fontId="3" fillId="3" borderId="0" applyAlignment="1" pivotButton="0" quotePrefix="0" xfId="0">
      <alignment horizontal="right" vertical="center" wrapText="1"/>
    </xf>
    <xf numFmtId="0" fontId="3" fillId="3" borderId="0" applyAlignment="1" pivotButton="0" quotePrefix="0" xfId="0">
      <alignment horizontal="right" vertical="center" wrapText="1"/>
    </xf>
    <xf numFmtId="164" fontId="3" fillId="3" borderId="0" applyAlignment="1" pivotButton="0" quotePrefix="0" xfId="0">
      <alignment horizontal="right" vertical="center" wrapText="1"/>
    </xf>
    <xf numFmtId="10" fontId="3" fillId="6" borderId="0" applyAlignment="1" pivotButton="0" quotePrefix="0" xfId="0">
      <alignment horizontal="right" vertical="center" wrapText="1"/>
    </xf>
    <xf numFmtId="165" fontId="3" fillId="3" borderId="0" applyAlignment="1" pivotButton="0" quotePrefix="0" xfId="0">
      <alignment horizontal="right" vertical="center" wrapText="1"/>
    </xf>
    <xf numFmtId="0" fontId="3" fillId="6" borderId="0" applyAlignment="1" pivotButton="0" quotePrefix="0" xfId="0">
      <alignment vertical="center" wrapText="1"/>
    </xf>
    <xf numFmtId="10" fontId="3" fillId="6" borderId="0" applyAlignment="1" pivotButton="0" quotePrefix="0" xfId="0">
      <alignment vertical="center" wrapText="1"/>
    </xf>
    <xf numFmtId="1" fontId="3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top" wrapText="1"/>
    </xf>
    <xf numFmtId="165" fontId="3" fillId="3" borderId="0" applyAlignment="1" pivotButton="0" quotePrefix="0" xfId="0">
      <alignment vertical="center" wrapText="1"/>
    </xf>
    <xf numFmtId="2" fontId="3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left" vertical="center" wrapText="1"/>
    </xf>
    <xf numFmtId="1" fontId="3" fillId="4" borderId="0" applyAlignment="1" pivotButton="0" quotePrefix="0" xfId="0">
      <alignment horizontal="right" vertical="center" wrapText="1"/>
    </xf>
    <xf numFmtId="1" fontId="3" fillId="3" borderId="0" applyAlignment="1" pivotButton="0" quotePrefix="0" xfId="0">
      <alignment horizontal="right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left" vertical="center" wrapText="1"/>
    </xf>
    <xf numFmtId="1" fontId="3" fillId="7" borderId="0" applyAlignment="1" pivotButton="0" quotePrefix="0" xfId="0">
      <alignment horizontal="right" vertical="center" wrapText="1"/>
    </xf>
    <xf numFmtId="10" fontId="3" fillId="7" borderId="0" applyAlignment="1" pivotButton="0" quotePrefix="0" xfId="0">
      <alignment horizontal="right" vertical="center" wrapText="1"/>
    </xf>
    <xf numFmtId="2" fontId="3" fillId="4" borderId="0" applyAlignment="1" pivotButton="0" quotePrefix="0" xfId="0">
      <alignment horizontal="right" vertical="center" wrapText="1"/>
    </xf>
    <xf numFmtId="2" fontId="3" fillId="7" borderId="0" applyAlignment="1" pivotButton="0" quotePrefix="0" xfId="0">
      <alignment horizontal="right" vertical="center" wrapText="1"/>
    </xf>
    <xf numFmtId="0" fontId="5" fillId="8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10" fontId="4" fillId="0" borderId="0" applyAlignment="1" pivotButton="0" quotePrefix="0" xfId="0">
      <alignment vertical="center" wrapText="1"/>
    </xf>
    <xf numFmtId="2" fontId="4" fillId="0" borderId="0" applyAlignment="1" pivotButton="0" quotePrefix="0" xfId="0">
      <alignment vertical="center" wrapText="1"/>
    </xf>
    <xf numFmtId="0" fontId="8" fillId="0" borderId="0" pivotButton="0" quotePrefix="0" xfId="0"/>
    <xf numFmtId="0" fontId="6" fillId="0" borderId="0" pivotButton="0" quotePrefix="0" xfId="0"/>
    <xf numFmtId="0" fontId="7" fillId="9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left" vertical="center"/>
    </xf>
    <xf numFmtId="1" fontId="3" fillId="7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/>
    </xf>
    <xf numFmtId="1" fontId="3" fillId="4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1" fontId="3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Codex</author>
  </authors>
  <commentList>
    <comment ref="B79" authorId="0" shapeId="0">
      <text>
        <t>本次来源：/root/autodl-tmp/beauty/v7_CLIP_no90_pilot_20260912/evaluation/comparison_no90.json；探索性历史对照；限制详见评估说明。</t>
      </text>
    </comment>
    <comment ref="B80" authorId="0" shapeId="0">
      <text>
        <t>本次来源：/root/autodl-tmp/beauty/v7_CLIP_no90_pilot_20260912/evaluation/comparison_no90.json；探索性历史对照；限制详见评估说明。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B79" authorId="0" shapeId="0">
      <text>
        <t>本次来源：/root/autodl-tmp/beauty/v7_CLIP_no90_pilot_20260912/evaluation/comparison_no90.json；探索性历史对照；限制详见评估说明。</t>
      </text>
    </comment>
    <comment ref="B80" authorId="0" shapeId="0">
      <text>
        <t>本次来源：/root/autodl-tmp/beauty/v7_CLIP_no90_pilot_20260912/evaluation/comparison_no90.json；探索性历史对照；限制详见评估说明。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B79" authorId="0" shapeId="0">
      <text>
        <t>本次来源：/root/autodl-tmp/beauty/v7_CLIP_no90_pilot_20260912/evaluation/comparison_no90.json；探索性历史对照；限制详见评估说明。</t>
      </text>
    </comment>
    <comment ref="B80" authorId="0" shapeId="0">
      <text>
        <t>本次来源：/root/autodl-tmp/beauty/v7_CLIP_no90_pilot_20260912/evaluation/comparison_no90.json；探索性历史对照；限制详见评估说明。</t>
      </text>
    </comment>
  </commentList>
</comments>
</file>

<file path=xl/comments/comment4.xml><?xml version="1.0" encoding="utf-8"?>
<comments xmlns="http://schemas.openxmlformats.org/spreadsheetml/2006/main">
  <authors>
    <author>Codex</author>
  </authors>
  <commentList>
    <comment ref="B79" authorId="0" shapeId="0">
      <text>
        <t>本次来源：/root/autodl-tmp/beauty/v7_CLIP_no90_pilot_20260912/evaluation/comparison_no90.json；探索性历史对照；限制详见评估说明。</t>
      </text>
    </comment>
    <comment ref="B80" authorId="0" shapeId="0">
      <text>
        <t>本次来源：/root/autodl-tmp/beauty/v7_CLIP_no90_pilot_20260912/evaluation/comparison_no90.json；探索性历史对照；限制详见评估说明。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8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</cols>
  <sheetData>
    <row r="1" ht="30" customHeight="1">
      <c r="A1" s="1" t="inlineStr">
        <is>
          <t>Replica 统一评估 v2：四方法八场景，另列新增方法单场景结果</t>
        </is>
      </c>
    </row>
    <row r="2" ht="30" customHeight="1">
      <c r="A2" s="1" t="inlineStr">
        <is>
          <t>统一v2；历史地图结果保留。新增固定地图的bbox语义读出，见下方配对结果。</t>
        </is>
      </c>
    </row>
    <row r="3"/>
    <row r="4" ht="38" customHeight="1">
      <c r="A4" s="2" t="inlineStr">
        <is>
          <t>方法</t>
        </is>
      </c>
      <c r="B4" s="2" t="inlineStr">
        <is>
          <t>场景数</t>
        </is>
      </c>
      <c r="C4" s="2" t="inlineStr">
        <is>
          <t>Inst. mIoU</t>
        </is>
      </c>
      <c r="D4" s="2" t="inlineStr">
        <is>
          <t>Inst. AP25</t>
        </is>
      </c>
      <c r="E4" s="2" t="inlineStr">
        <is>
          <t>Inst. AP50</t>
        </is>
      </c>
      <c r="F4" s="2" t="inlineStr">
        <is>
          <t>Inst. AP75</t>
        </is>
      </c>
      <c r="G4" s="2" t="inlineStr">
        <is>
          <t>Sem. mIoU</t>
        </is>
      </c>
      <c r="H4" s="2" t="inlineStr">
        <is>
          <t>Sem. AP25</t>
        </is>
      </c>
      <c r="I4" s="2" t="inlineStr">
        <is>
          <t>Sem. AP50</t>
        </is>
      </c>
      <c r="J4" s="2" t="inlineStr">
        <is>
          <t>mAcc</t>
        </is>
      </c>
      <c r="K4" s="2" t="inlineStr">
        <is>
          <t>Object Surface Coverage@5cm</t>
        </is>
      </c>
    </row>
    <row r="5" ht="28" customHeight="1">
      <c r="A5" s="3" t="inlineStr">
        <is>
          <t>Baseline_gateoff</t>
        </is>
      </c>
      <c r="B5" s="3" t="n">
        <v>8</v>
      </c>
      <c r="C5" s="4" t="n">
        <v>0.4278293178558412</v>
      </c>
      <c r="D5" s="4" t="n">
        <v>0.6008457186934357</v>
      </c>
      <c r="E5" s="4" t="n">
        <v>0.2587596375789169</v>
      </c>
      <c r="F5" s="4" t="n">
        <v>0.04785000121453901</v>
      </c>
      <c r="G5" s="4" t="n">
        <v>0.1277402581632639</v>
      </c>
      <c r="H5" s="4" t="n">
        <v>0.2017414044393655</v>
      </c>
      <c r="I5" s="4" t="n">
        <v>0.1342780680347301</v>
      </c>
      <c r="J5" s="4" t="n">
        <v>0.2406252973689092</v>
      </c>
      <c r="K5" s="4" t="n">
        <v>0.7063880443525679</v>
      </c>
    </row>
    <row r="6" ht="28" customHeight="1">
      <c r="A6" s="5" t="inlineStr">
        <is>
          <t>v7_CLIP</t>
        </is>
      </c>
      <c r="B6" s="5" t="n">
        <v>8</v>
      </c>
      <c r="C6" s="6" t="n">
        <v>0.4395780469286663</v>
      </c>
      <c r="D6" s="7" t="n">
        <v>0.6033406577065344</v>
      </c>
      <c r="E6" s="6" t="n">
        <v>0.2918178937492031</v>
      </c>
      <c r="F6" s="6" t="n">
        <v>0.04064713397139101</v>
      </c>
      <c r="G6" s="6" t="n">
        <v>0.1365468126959448</v>
      </c>
      <c r="H6" s="7" t="n">
        <v>0.2056739744032219</v>
      </c>
      <c r="I6" s="6" t="n">
        <v>0.1531374726859488</v>
      </c>
      <c r="J6" s="7" t="n">
        <v>0.2582890361669045</v>
      </c>
      <c r="K6" s="6" t="n">
        <v>0.6982104297455811</v>
      </c>
    </row>
    <row r="7" ht="28" customHeight="1">
      <c r="A7" s="3" t="inlineStr">
        <is>
          <t>OVI_MAP</t>
        </is>
      </c>
      <c r="B7" s="3" t="n">
        <v>8</v>
      </c>
      <c r="C7" s="7" t="n">
        <v>0.4509652335629098</v>
      </c>
      <c r="D7" s="4" t="n">
        <v>0.6031480768303205</v>
      </c>
      <c r="E7" s="7" t="n">
        <v>0.2945340108429469</v>
      </c>
      <c r="F7" s="7" t="n">
        <v>0.05418073227963421</v>
      </c>
      <c r="G7" s="7" t="n">
        <v>0.1484184335713401</v>
      </c>
      <c r="H7" s="4" t="n">
        <v>0.2003790944434488</v>
      </c>
      <c r="I7" s="7" t="n">
        <v>0.1540223314866042</v>
      </c>
      <c r="J7" s="4" t="n">
        <v>0.2506381151637648</v>
      </c>
      <c r="K7" s="7" t="n">
        <v>0.7392752029015667</v>
      </c>
    </row>
    <row r="8" ht="28" customHeight="1">
      <c r="A8" s="5" t="inlineStr">
        <is>
          <t>ali_my</t>
        </is>
      </c>
      <c r="B8" s="5" t="n">
        <v>8</v>
      </c>
      <c r="C8" s="6" t="n">
        <v>0.3456547169250158</v>
      </c>
      <c r="D8" s="6" t="n">
        <v>0.4910127025410906</v>
      </c>
      <c r="E8" s="6" t="n">
        <v>0.1879618011172292</v>
      </c>
      <c r="F8" s="6" t="n">
        <v>0.01746008904621209</v>
      </c>
      <c r="G8" s="6" t="n">
        <v>0.1211719923288914</v>
      </c>
      <c r="H8" s="6" t="n">
        <v>0.1707876786093617</v>
      </c>
      <c r="I8" s="6" t="n">
        <v>0.1421035505876515</v>
      </c>
      <c r="J8" s="6" t="n">
        <v>0.2467413591948206</v>
      </c>
      <c r="K8" s="6" t="n">
        <v>0.6350991760833455</v>
      </c>
    </row>
    <row r="9"/>
    <row r="10" ht="30" customHeight="1">
      <c r="A10" s="1" t="inlineStr">
        <is>
          <t>以上为联合结果：AP 跨场景联合计算；语义合并混淆矩阵；mIoU 按 GT 实例加权；覆盖按 GT 顶点加权。</t>
        </is>
      </c>
    </row>
    <row r="11"/>
    <row r="12" ht="30" customHeight="1">
      <c r="A12" s="1" t="inlineStr">
        <is>
          <t>八场景简单平均（与上方联合结果区分）</t>
        </is>
      </c>
    </row>
    <row r="13" ht="38" customHeight="1">
      <c r="A13" s="2" t="inlineStr">
        <is>
          <t>方法</t>
        </is>
      </c>
      <c r="B13" s="2" t="inlineStr">
        <is>
          <t>场景数</t>
        </is>
      </c>
      <c r="C13" s="2" t="inlineStr">
        <is>
          <t>Inst. mIoU</t>
        </is>
      </c>
      <c r="D13" s="2" t="inlineStr">
        <is>
          <t>Inst. AP25</t>
        </is>
      </c>
      <c r="E13" s="2" t="inlineStr">
        <is>
          <t>Inst. AP50</t>
        </is>
      </c>
      <c r="F13" s="2" t="inlineStr">
        <is>
          <t>Inst. AP75</t>
        </is>
      </c>
      <c r="G13" s="2" t="inlineStr">
        <is>
          <t>Sem. mIoU</t>
        </is>
      </c>
      <c r="H13" s="2" t="inlineStr">
        <is>
          <t>Sem. AP25</t>
        </is>
      </c>
      <c r="I13" s="2" t="inlineStr">
        <is>
          <t>Sem. AP50</t>
        </is>
      </c>
      <c r="J13" s="2" t="inlineStr">
        <is>
          <t>mAcc</t>
        </is>
      </c>
      <c r="K13" s="2" t="inlineStr">
        <is>
          <t>Object Surface Coverage@5cm</t>
        </is>
      </c>
    </row>
    <row r="14" ht="28" customHeight="1">
      <c r="A14" s="5" t="inlineStr">
        <is>
          <t>Baseline_gateoff</t>
        </is>
      </c>
      <c r="B14" s="5" t="n">
        <v>8</v>
      </c>
      <c r="C14" s="6" t="n">
        <v>0.4269232686284746</v>
      </c>
      <c r="D14" s="6" t="n">
        <v>0.6152531523267896</v>
      </c>
      <c r="E14" s="6" t="n">
        <v>0.2730992972403894</v>
      </c>
      <c r="F14" s="6" t="n">
        <v>0.0652195259496635</v>
      </c>
      <c r="G14" s="6" t="n">
        <v>0.1369582080310665</v>
      </c>
      <c r="H14" s="6" t="n">
        <v>0.2385895592541423</v>
      </c>
      <c r="I14" s="6" t="n">
        <v>0.1734802092080158</v>
      </c>
      <c r="J14" s="6" t="n">
        <v>0.2322067005260871</v>
      </c>
      <c r="K14" s="6" t="n">
        <v>0.7026869096626933</v>
      </c>
    </row>
    <row r="15" ht="28" customHeight="1">
      <c r="A15" s="3" t="inlineStr">
        <is>
          <t>v7_CLIP</t>
        </is>
      </c>
      <c r="B15" s="3" t="n">
        <v>8</v>
      </c>
      <c r="C15" s="4" t="n">
        <v>0.440059129447801</v>
      </c>
      <c r="D15" s="7" t="n">
        <v>0.6303999981943544</v>
      </c>
      <c r="E15" s="4" t="n">
        <v>0.306565335459004</v>
      </c>
      <c r="F15" s="4" t="n">
        <v>0.06256328639243156</v>
      </c>
      <c r="G15" s="4" t="n">
        <v>0.1450632981659993</v>
      </c>
      <c r="H15" s="7" t="n">
        <v>0.2496262126691388</v>
      </c>
      <c r="I15" s="7" t="n">
        <v>0.1921757739249197</v>
      </c>
      <c r="J15" s="4" t="n">
        <v>0.2349464298615404</v>
      </c>
      <c r="K15" s="4" t="n">
        <v>0.6956877726342059</v>
      </c>
    </row>
    <row r="16" ht="28" customHeight="1">
      <c r="A16" s="5" t="inlineStr">
        <is>
          <t>OVI_MAP</t>
        </is>
      </c>
      <c r="B16" s="5" t="n">
        <v>8</v>
      </c>
      <c r="C16" s="7" t="n">
        <v>0.451764621821156</v>
      </c>
      <c r="D16" s="6" t="n">
        <v>0.6145390314440289</v>
      </c>
      <c r="E16" s="7" t="n">
        <v>0.3108923911217526</v>
      </c>
      <c r="F16" s="7" t="n">
        <v>0.07038915311398058</v>
      </c>
      <c r="G16" s="7" t="n">
        <v>0.1690665450783843</v>
      </c>
      <c r="H16" s="6" t="n">
        <v>0.2392868765752245</v>
      </c>
      <c r="I16" s="6" t="n">
        <v>0.1717109029223084</v>
      </c>
      <c r="J16" s="7" t="n">
        <v>0.2397452325887914</v>
      </c>
      <c r="K16" s="7" t="n">
        <v>0.7430174392558671</v>
      </c>
    </row>
    <row r="17" ht="28" customHeight="1">
      <c r="A17" s="3" t="inlineStr">
        <is>
          <t>ali_my</t>
        </is>
      </c>
      <c r="B17" s="3" t="n">
        <v>8</v>
      </c>
      <c r="C17" s="4" t="n">
        <v>0.3500910678062243</v>
      </c>
      <c r="D17" s="4" t="n">
        <v>0.5169594042122171</v>
      </c>
      <c r="E17" s="4" t="n">
        <v>0.2085662327371056</v>
      </c>
      <c r="F17" s="4" t="n">
        <v>0.02847980615319</v>
      </c>
      <c r="G17" s="4" t="n">
        <v>0.1426672953280648</v>
      </c>
      <c r="H17" s="4" t="n">
        <v>0.2062676283959674</v>
      </c>
      <c r="I17" s="4" t="n">
        <v>0.1632832853187628</v>
      </c>
      <c r="J17" s="4" t="n">
        <v>0.2271930448252639</v>
      </c>
      <c r="K17" s="4" t="n">
        <v>0.6305809465152915</v>
      </c>
    </row>
    <row r="18"/>
    <row r="19" ht="30" customHeight="1">
      <c r="A19" s="1" t="inlineStr">
        <is>
          <t>room0 六方法对照：merge_2 与 v7_CLIP_TwoRoad 仅列本场景，不并入八场景总分。</t>
        </is>
      </c>
    </row>
    <row r="20" ht="38" customHeight="1">
      <c r="A20" s="2" t="inlineStr">
        <is>
          <t>方法</t>
        </is>
      </c>
      <c r="B20" s="2" t="inlineStr">
        <is>
          <t>场景</t>
        </is>
      </c>
      <c r="C20" s="2" t="inlineStr">
        <is>
          <t>Inst. mIoU</t>
        </is>
      </c>
      <c r="D20" s="2" t="inlineStr">
        <is>
          <t>Inst. AP25</t>
        </is>
      </c>
      <c r="E20" s="2" t="inlineStr">
        <is>
          <t>Inst. AP50</t>
        </is>
      </c>
      <c r="F20" s="2" t="inlineStr">
        <is>
          <t>Inst. AP75</t>
        </is>
      </c>
      <c r="G20" s="2" t="inlineStr">
        <is>
          <t>Sem. mIoU</t>
        </is>
      </c>
      <c r="H20" s="2" t="inlineStr">
        <is>
          <t>Sem. AP25</t>
        </is>
      </c>
      <c r="I20" s="2" t="inlineStr">
        <is>
          <t>Sem. AP50</t>
        </is>
      </c>
      <c r="J20" s="2" t="inlineStr">
        <is>
          <t>mAcc</t>
        </is>
      </c>
      <c r="K20" s="2" t="inlineStr">
        <is>
          <t>Object Surface Coverage@5cm</t>
        </is>
      </c>
    </row>
    <row r="21" ht="28" customHeight="1">
      <c r="A21" s="3" t="inlineStr">
        <is>
          <t>Baseline_gateoff</t>
        </is>
      </c>
      <c r="B21" s="3" t="inlineStr">
        <is>
          <t>room0</t>
        </is>
      </c>
      <c r="C21" s="4" t="n">
        <v>0.4566818855574561</v>
      </c>
      <c r="D21" s="7" t="n">
        <v>0.6399740513829686</v>
      </c>
      <c r="E21" s="4" t="n">
        <v>0.3107075875659532</v>
      </c>
      <c r="F21" s="4" t="n">
        <v>0.05040682999194148</v>
      </c>
      <c r="G21" s="4" t="n">
        <v>0.1469110799950082</v>
      </c>
      <c r="H21" s="4" t="n">
        <v>0.2497519841269841</v>
      </c>
      <c r="I21" s="4" t="n">
        <v>0.2281746031746032</v>
      </c>
      <c r="J21" s="4" t="n">
        <v>0.235854646973188</v>
      </c>
      <c r="K21" s="4" t="n">
        <v>0.7942460632075451</v>
      </c>
    </row>
    <row r="22" ht="28" customHeight="1">
      <c r="A22" s="5" t="inlineStr">
        <is>
          <t>v7_CLIP</t>
        </is>
      </c>
      <c r="B22" s="5" t="inlineStr">
        <is>
          <t>room0</t>
        </is>
      </c>
      <c r="C22" s="6" t="n">
        <v>0.4459973845205167</v>
      </c>
      <c r="D22" s="6" t="n">
        <v>0.5796719003160379</v>
      </c>
      <c r="E22" s="7" t="n">
        <v>0.3890281657883834</v>
      </c>
      <c r="F22" s="6" t="n">
        <v>0.05225624652684709</v>
      </c>
      <c r="G22" s="6" t="n">
        <v>0.1786878237913492</v>
      </c>
      <c r="H22" s="6" t="n">
        <v>0.3083457341269841</v>
      </c>
      <c r="I22" s="7" t="n">
        <v>0.3010912698412698</v>
      </c>
      <c r="J22" s="6" t="n">
        <v>0.2842225158085255</v>
      </c>
      <c r="K22" s="6" t="n">
        <v>0.7851162333645254</v>
      </c>
    </row>
    <row r="23" ht="28" customHeight="1">
      <c r="A23" s="3" t="inlineStr">
        <is>
          <t>OVI_MAP</t>
        </is>
      </c>
      <c r="B23" s="3" t="inlineStr">
        <is>
          <t>room0</t>
        </is>
      </c>
      <c r="C23" s="4" t="n">
        <v>0.461697466047436</v>
      </c>
      <c r="D23" s="4" t="n">
        <v>0.5578941898535368</v>
      </c>
      <c r="E23" s="4" t="n">
        <v>0.3386461133042409</v>
      </c>
      <c r="F23" s="4" t="n">
        <v>0.06555361648153979</v>
      </c>
      <c r="G23" s="4" t="n">
        <v>0.1978566868964842</v>
      </c>
      <c r="H23" s="4" t="n">
        <v>0.2691592261904762</v>
      </c>
      <c r="I23" s="4" t="n">
        <v>0.2202380952380952</v>
      </c>
      <c r="J23" s="4" t="n">
        <v>0.2623306230248453</v>
      </c>
      <c r="K23" s="7" t="n">
        <v>0.8109848290278563</v>
      </c>
    </row>
    <row r="24" ht="28" customHeight="1">
      <c r="A24" s="5" t="inlineStr">
        <is>
          <t>ali_my</t>
        </is>
      </c>
      <c r="B24" s="5" t="inlineStr">
        <is>
          <t>room0</t>
        </is>
      </c>
      <c r="C24" s="6" t="n">
        <v>0.3637402590649125</v>
      </c>
      <c r="D24" s="6" t="n">
        <v>0.4257461073838992</v>
      </c>
      <c r="E24" s="6" t="n">
        <v>0.2716480862677419</v>
      </c>
      <c r="F24" s="6" t="n">
        <v>0.03146829251988424</v>
      </c>
      <c r="G24" s="6" t="n">
        <v>0.1565739705836436</v>
      </c>
      <c r="H24" s="6" t="n">
        <v>0.1922743055555556</v>
      </c>
      <c r="I24" s="6" t="n">
        <v>0.1909722222222222</v>
      </c>
      <c r="J24" s="6" t="n">
        <v>0.2575115639343521</v>
      </c>
      <c r="K24" s="6" t="n">
        <v>0.6803219560347773</v>
      </c>
    </row>
    <row r="25" ht="28" customHeight="1">
      <c r="A25" s="3" t="inlineStr">
        <is>
          <t>merge_2</t>
        </is>
      </c>
      <c r="B25" s="3" t="inlineStr">
        <is>
          <t>room0</t>
        </is>
      </c>
      <c r="C25" s="7" t="n">
        <v>0.465391068664511</v>
      </c>
      <c r="D25" s="4" t="n">
        <v>0.588309730782574</v>
      </c>
      <c r="E25" s="4" t="n">
        <v>0.3397631291393964</v>
      </c>
      <c r="F25" s="7" t="n">
        <v>0.07284638500166739</v>
      </c>
      <c r="G25" s="7" t="n">
        <v>0.216167893870595</v>
      </c>
      <c r="H25" s="7" t="n">
        <v>0.3118799603174603</v>
      </c>
      <c r="I25" s="4" t="n">
        <v>0.2867063492063492</v>
      </c>
      <c r="J25" s="7" t="n">
        <v>0.3399722327779137</v>
      </c>
      <c r="K25" s="4" t="n">
        <v>0.7887855852314729</v>
      </c>
    </row>
    <row r="26" ht="28" customHeight="1">
      <c r="A26" s="3" t="inlineStr">
        <is>
          <t>TwoRoad（融合旧读出）</t>
        </is>
      </c>
      <c r="B26" s="3" t="inlineStr">
        <is>
          <t>room0</t>
        </is>
      </c>
      <c r="C26" s="6" t="n">
        <v>0.4641733359877803</v>
      </c>
      <c r="D26" s="6" t="n">
        <v>0.5882035341289031</v>
      </c>
      <c r="E26" s="6" t="n">
        <v>0.3500447103479245</v>
      </c>
      <c r="F26" s="6" t="n">
        <v>0.066556381316938</v>
      </c>
      <c r="G26" s="6" t="n">
        <v>0.1755434233342291</v>
      </c>
      <c r="H26" s="6" t="n">
        <v>0.2666790674603174</v>
      </c>
      <c r="I26" s="6" t="n">
        <v>0.2385912698412699</v>
      </c>
      <c r="J26" s="6" t="n">
        <v>0.2776635147235777</v>
      </c>
      <c r="K26" s="6" t="n">
        <v>0.7917715398547892</v>
      </c>
    </row>
    <row r="27" ht="30" customHeight="1">
      <c r="A27" s="1" t="inlineStr">
        <is>
          <t>Baseline_gateoff 与 v7_CLIP 共用检测输入；ali_my 为历史版本，merge_2 为独立检测缓存。统一指标不消除前端差异。</t>
        </is>
      </c>
    </row>
    <row r="28"/>
    <row r="29" ht="36" customHeight="1">
      <c r="A29" s="1" t="inlineStr">
        <is>
          <t>office2 六方法对照：v7_merge 与 v7_merge_re 仅列本场景，不并入八场景总分。</t>
        </is>
      </c>
    </row>
    <row r="30" ht="38" customHeight="1">
      <c r="A30" s="2" t="inlineStr">
        <is>
          <t>方法</t>
        </is>
      </c>
      <c r="B30" s="2" t="inlineStr">
        <is>
          <t>场景</t>
        </is>
      </c>
      <c r="C30" s="2" t="inlineStr">
        <is>
          <t>Inst. mIoU</t>
        </is>
      </c>
      <c r="D30" s="2" t="inlineStr">
        <is>
          <t>Inst. AP25</t>
        </is>
      </c>
      <c r="E30" s="2" t="inlineStr">
        <is>
          <t>Inst. AP50</t>
        </is>
      </c>
      <c r="F30" s="2" t="inlineStr">
        <is>
          <t>Inst. AP75</t>
        </is>
      </c>
      <c r="G30" s="2" t="inlineStr">
        <is>
          <t>Sem. mIoU</t>
        </is>
      </c>
      <c r="H30" s="2" t="inlineStr">
        <is>
          <t>Sem. AP25</t>
        </is>
      </c>
      <c r="I30" s="2" t="inlineStr">
        <is>
          <t>Sem. AP50</t>
        </is>
      </c>
      <c r="J30" s="2" t="inlineStr">
        <is>
          <t>mAcc</t>
        </is>
      </c>
      <c r="K30" s="2" t="inlineStr">
        <is>
          <t>Object Surface Coverage@5cm</t>
        </is>
      </c>
    </row>
    <row r="31" ht="28" customHeight="1">
      <c r="A31" s="3" t="inlineStr">
        <is>
          <t>Baseline_gateoff</t>
        </is>
      </c>
      <c r="B31" s="3" t="inlineStr">
        <is>
          <t>office2</t>
        </is>
      </c>
      <c r="C31" s="4" t="n">
        <v>0.4274213123126236</v>
      </c>
      <c r="D31" s="4" t="n">
        <v>0.6029752958868543</v>
      </c>
      <c r="E31" s="4" t="n">
        <v>0.2531119530107198</v>
      </c>
      <c r="F31" s="4" t="n">
        <v>0.05261318914350951</v>
      </c>
      <c r="G31" s="4" t="n">
        <v>0.08926405319354429</v>
      </c>
      <c r="H31" s="4" t="n">
        <v>0.1490196078431373</v>
      </c>
      <c r="I31" s="4" t="n">
        <v>0.09509803921568627</v>
      </c>
      <c r="J31" s="4" t="n">
        <v>0.1330212197387609</v>
      </c>
      <c r="K31" s="7" t="n">
        <v>0.655402705222873</v>
      </c>
    </row>
    <row r="32" ht="28" customHeight="1">
      <c r="A32" s="5" t="inlineStr">
        <is>
          <t>v7_CLIP</t>
        </is>
      </c>
      <c r="B32" s="5" t="inlineStr">
        <is>
          <t>office2</t>
        </is>
      </c>
      <c r="C32" s="6" t="n">
        <v>0.4491063861008109</v>
      </c>
      <c r="D32" s="6" t="n">
        <v>0.6567383578878236</v>
      </c>
      <c r="E32" s="6" t="n">
        <v>0.3263653732257894</v>
      </c>
      <c r="F32" s="7" t="n">
        <v>0.05978287373810829</v>
      </c>
      <c r="G32" s="6" t="n">
        <v>0.125540415041475</v>
      </c>
      <c r="H32" s="6" t="n">
        <v>0.1490196078431373</v>
      </c>
      <c r="I32" s="6" t="n">
        <v>0.1294117647058824</v>
      </c>
      <c r="J32" s="6" t="n">
        <v>0.1340251427601324</v>
      </c>
      <c r="K32" s="6" t="n">
        <v>0.6452968220651716</v>
      </c>
    </row>
    <row r="33" ht="28" customHeight="1">
      <c r="A33" s="3" t="inlineStr">
        <is>
          <t>OVI_MAP</t>
        </is>
      </c>
      <c r="B33" s="3" t="inlineStr">
        <is>
          <t>office2</t>
        </is>
      </c>
      <c r="C33" s="7" t="n">
        <v>0.4837386724777433</v>
      </c>
      <c r="D33" s="7" t="n">
        <v>0.7074648988515204</v>
      </c>
      <c r="E33" s="7" t="n">
        <v>0.3599542234985441</v>
      </c>
      <c r="F33" s="4" t="n">
        <v>0.02925363389583002</v>
      </c>
      <c r="G33" s="7" t="n">
        <v>0.1676560909201648</v>
      </c>
      <c r="H33" s="4" t="n">
        <v>0.2352941176470588</v>
      </c>
      <c r="I33" s="4" t="n">
        <v>0.1470588235294118</v>
      </c>
      <c r="J33" s="7" t="n">
        <v>0.2422804162358396</v>
      </c>
      <c r="K33" s="4" t="n">
        <v>0.6545890502197949</v>
      </c>
    </row>
    <row r="34" ht="28" customHeight="1">
      <c r="A34" s="5" t="inlineStr">
        <is>
          <t>ali_my</t>
        </is>
      </c>
      <c r="B34" s="5" t="inlineStr">
        <is>
          <t>office2</t>
        </is>
      </c>
      <c r="C34" s="6" t="n">
        <v>0.3112246365288973</v>
      </c>
      <c r="D34" s="6" t="n">
        <v>0.4581866432603831</v>
      </c>
      <c r="E34" s="6" t="n">
        <v>0.1176396581359817</v>
      </c>
      <c r="F34" s="6" t="n">
        <v>0.006587009803921568</v>
      </c>
      <c r="G34" s="6" t="n">
        <v>0.1181135487639056</v>
      </c>
      <c r="H34" s="6" t="n">
        <v>0.1588235294117647</v>
      </c>
      <c r="I34" s="6" t="n">
        <v>0.1294117647058824</v>
      </c>
      <c r="J34" s="6" t="n">
        <v>0.1397158315227187</v>
      </c>
      <c r="K34" s="6" t="n">
        <v>0.5870880871546916</v>
      </c>
    </row>
    <row r="35" ht="28" customHeight="1">
      <c r="A35" s="3" t="inlineStr">
        <is>
          <t>v7_merge_re</t>
        </is>
      </c>
      <c r="B35" s="3" t="inlineStr">
        <is>
          <t>office2</t>
        </is>
      </c>
      <c r="C35" s="4" t="n">
        <v>0.4381981384834157</v>
      </c>
      <c r="D35" s="4" t="n">
        <v>0.6720566204942495</v>
      </c>
      <c r="E35" s="4" t="n">
        <v>0.2862629877110334</v>
      </c>
      <c r="F35" s="4" t="n">
        <v>0.04355590808377186</v>
      </c>
      <c r="G35" s="4" t="n">
        <v>0.1313714572446489</v>
      </c>
      <c r="H35" s="7" t="n">
        <v>0.2470588235294118</v>
      </c>
      <c r="I35" s="7" t="n">
        <v>0.1882352941176471</v>
      </c>
      <c r="J35" s="4" t="n">
        <v>0.1801540841243777</v>
      </c>
      <c r="K35" s="4" t="n">
        <v>0.6404868969142314</v>
      </c>
    </row>
    <row r="36" ht="28" customHeight="1">
      <c r="A36" s="3" t="inlineStr">
        <is>
          <t>v7_merge</t>
        </is>
      </c>
      <c r="B36" s="3" t="inlineStr">
        <is>
          <t>office2</t>
        </is>
      </c>
      <c r="C36" s="6" t="n">
        <v>0.457450931130748</v>
      </c>
      <c r="D36" s="6" t="n">
        <v>0.676374749376237</v>
      </c>
      <c r="E36" s="6" t="n">
        <v>0.2728854910247132</v>
      </c>
      <c r="F36" s="6" t="n">
        <v>0.05660818168945104</v>
      </c>
      <c r="G36" s="6" t="n">
        <v>0.1226641744802187</v>
      </c>
      <c r="H36" s="6" t="n">
        <v>0.1882352941176471</v>
      </c>
      <c r="I36" s="6" t="n">
        <v>0.1882352941176471</v>
      </c>
      <c r="J36" s="6" t="n">
        <v>0.167214631863368</v>
      </c>
      <c r="K36" s="6" t="n">
        <v>0.646326491670837</v>
      </c>
    </row>
    <row r="37" ht="36" customHeight="1">
      <c r="A37" s="1" t="inlineStr">
        <is>
          <t>v7_merge / v7_merge_re：400帧在线建图；同一v2评估器、GT、投影与CLIP文本。前端差异仍保留；单场景结果。</t>
        </is>
      </c>
    </row>
    <row r="38"/>
    <row r="39" ht="28" customHeight="1">
      <c r="A39" s="1" t="inlineStr">
        <is>
          <t>TwoRoad 八场景联合对照：同一组 v7_CLIP 地图，仅改变语义读出</t>
        </is>
      </c>
    </row>
    <row r="40" ht="32" customHeight="1">
      <c r="A40" s="10" t="inlineStr">
        <is>
          <t>方法</t>
        </is>
      </c>
      <c r="B40" s="10" t="inlineStr">
        <is>
          <t>场景数</t>
        </is>
      </c>
      <c r="C40" s="11" t="inlineStr">
        <is>
          <t>Inst. mIoU</t>
        </is>
      </c>
      <c r="D40" s="11" t="inlineStr">
        <is>
          <t>Inst. AP25</t>
        </is>
      </c>
      <c r="E40" s="11" t="inlineStr">
        <is>
          <t>Inst. AP50</t>
        </is>
      </c>
      <c r="F40" s="11" t="inlineStr">
        <is>
          <t>Inst. AP75</t>
        </is>
      </c>
      <c r="G40" s="11" t="inlineStr">
        <is>
          <t>Sem. mIoU</t>
        </is>
      </c>
      <c r="H40" s="11" t="inlineStr">
        <is>
          <t>Sem. AP25</t>
        </is>
      </c>
      <c r="I40" s="11" t="inlineStr">
        <is>
          <t>Sem. AP50</t>
        </is>
      </c>
      <c r="J40" s="11" t="inlineStr">
        <is>
          <t>mAcc</t>
        </is>
      </c>
      <c r="K40" s="11" t="inlineStr">
        <is>
          <t>Object Surface Coverage@5cm</t>
        </is>
      </c>
    </row>
    <row r="41" ht="32" customHeight="1">
      <c r="A41" s="12" t="inlineStr">
        <is>
          <t>CLIP融合读出</t>
        </is>
      </c>
      <c r="B41" s="12" t="n">
        <v>8</v>
      </c>
      <c r="C41" s="13" t="n">
        <v>0.4395780469286663</v>
      </c>
      <c r="D41" s="13" t="n">
        <v>0.6033406577065344</v>
      </c>
      <c r="E41" s="13" t="n">
        <v>0.2918178937492031</v>
      </c>
      <c r="F41" s="13" t="n">
        <v>0.04064713397139101</v>
      </c>
      <c r="G41" s="13" t="n">
        <v>0.1365468126959448</v>
      </c>
      <c r="H41" s="14" t="n">
        <v>0.2056739744032219</v>
      </c>
      <c r="I41" s="14" t="n">
        <v>0.1531374726859488</v>
      </c>
      <c r="J41" s="14" t="n">
        <v>0.2582890361669045</v>
      </c>
      <c r="K41" s="13" t="n">
        <v>0.6982104297455811</v>
      </c>
    </row>
    <row r="42" ht="32" customHeight="1">
      <c r="A42" s="12" t="inlineStr">
        <is>
          <t>CLIP+bbox读出</t>
        </is>
      </c>
      <c r="B42" s="12" t="n">
        <v>8</v>
      </c>
      <c r="C42" s="13" t="n">
        <v>0.4395780469286663</v>
      </c>
      <c r="D42" s="13" t="n">
        <v>0.6033406577065344</v>
      </c>
      <c r="E42" s="13" t="n">
        <v>0.2918178937492031</v>
      </c>
      <c r="F42" s="13" t="n">
        <v>0.04064713397139101</v>
      </c>
      <c r="G42" s="14" t="n">
        <v>0.1330173287115932</v>
      </c>
      <c r="H42" s="13" t="n">
        <v>0.2193097849931351</v>
      </c>
      <c r="I42" s="13" t="n">
        <v>0.1800319591125825</v>
      </c>
      <c r="J42" s="13" t="n">
        <v>0.2748141810060153</v>
      </c>
      <c r="K42" s="13" t="n">
        <v>0.6982104297455811</v>
      </c>
    </row>
    <row r="43" ht="32" customHeight="1">
      <c r="A43" s="12" t="inlineStr">
        <is>
          <t>差值（百分点）</t>
        </is>
      </c>
      <c r="B43" s="12" t="n"/>
      <c r="C43" s="15">
        <f>(C42-C41)*100</f>
        <v/>
      </c>
      <c r="D43" s="15">
        <f>(D42-D41)*100</f>
        <v/>
      </c>
      <c r="E43" s="15">
        <f>(E42-E41)*100</f>
        <v/>
      </c>
      <c r="F43" s="15">
        <f>(F42-F41)*100</f>
        <v/>
      </c>
      <c r="G43" s="15">
        <f>(G42-G41)*100</f>
        <v/>
      </c>
      <c r="H43" s="15">
        <f>(H42-H41)*100</f>
        <v/>
      </c>
      <c r="I43" s="15">
        <f>(I42-I41)*100</f>
        <v/>
      </c>
      <c r="J43" s="15">
        <f>(J42-J41)*100</f>
        <v/>
      </c>
      <c r="K43" s="15">
        <f>(K42-K41)*100</f>
        <v/>
      </c>
    </row>
    <row r="44"/>
    <row r="45" ht="28" customHeight="1">
      <c r="A45" s="1" t="inlineStr">
        <is>
          <t>现有 TwoRoad room0：修正语义字段，实例指标保持一致</t>
        </is>
      </c>
    </row>
    <row r="46" ht="32" customHeight="1">
      <c r="A46" s="10" t="inlineStr">
        <is>
          <t>方法</t>
        </is>
      </c>
      <c r="B46" s="10" t="inlineStr">
        <is>
          <t>场景数</t>
        </is>
      </c>
      <c r="C46" s="11" t="inlineStr">
        <is>
          <t>Inst. mIoU</t>
        </is>
      </c>
      <c r="D46" s="11" t="inlineStr">
        <is>
          <t>Inst. AP25</t>
        </is>
      </c>
      <c r="E46" s="11" t="inlineStr">
        <is>
          <t>Inst. AP50</t>
        </is>
      </c>
      <c r="F46" s="11" t="inlineStr">
        <is>
          <t>Inst. AP75</t>
        </is>
      </c>
      <c r="G46" s="11" t="inlineStr">
        <is>
          <t>Sem. mIoU</t>
        </is>
      </c>
      <c r="H46" s="11" t="inlineStr">
        <is>
          <t>Sem. AP25</t>
        </is>
      </c>
      <c r="I46" s="11" t="inlineStr">
        <is>
          <t>Sem. AP50</t>
        </is>
      </c>
      <c r="J46" s="11" t="inlineStr">
        <is>
          <t>mAcc</t>
        </is>
      </c>
      <c r="K46" s="11" t="inlineStr">
        <is>
          <t>Object Surface Coverage@5cm</t>
        </is>
      </c>
    </row>
    <row r="47" ht="32" customHeight="1">
      <c r="A47" s="12" t="inlineStr">
        <is>
          <t>TwoRoad融合读出</t>
        </is>
      </c>
      <c r="B47" s="12" t="inlineStr">
        <is>
          <t>room0</t>
        </is>
      </c>
      <c r="C47" s="13" t="n">
        <v>0.4641733359877803</v>
      </c>
      <c r="D47" s="13" t="n">
        <v>0.5882035341289031</v>
      </c>
      <c r="E47" s="13" t="n">
        <v>0.3500447103479245</v>
      </c>
      <c r="F47" s="13" t="n">
        <v>0.066556381316938</v>
      </c>
      <c r="G47" s="14" t="n">
        <v>0.1755434233342291</v>
      </c>
      <c r="H47" s="14" t="n">
        <v>0.2666790674603174</v>
      </c>
      <c r="I47" s="14" t="n">
        <v>0.2385912698412699</v>
      </c>
      <c r="J47" s="14" t="n">
        <v>0.2776635147235777</v>
      </c>
      <c r="K47" s="13" t="n">
        <v>0.7917715398547892</v>
      </c>
    </row>
    <row r="48" ht="32" customHeight="1">
      <c r="A48" s="12" t="inlineStr">
        <is>
          <t>TwoRoad bbox读出</t>
        </is>
      </c>
      <c r="B48" s="12" t="inlineStr">
        <is>
          <t>room0</t>
        </is>
      </c>
      <c r="C48" s="13" t="n">
        <v>0.4641733359877803</v>
      </c>
      <c r="D48" s="13" t="n">
        <v>0.5882035341289031</v>
      </c>
      <c r="E48" s="13" t="n">
        <v>0.3500447103479245</v>
      </c>
      <c r="F48" s="13" t="n">
        <v>0.066556381316938</v>
      </c>
      <c r="G48" s="13" t="n">
        <v>0.2159402350275205</v>
      </c>
      <c r="H48" s="13" t="n">
        <v>0.2914806547619048</v>
      </c>
      <c r="I48" s="13" t="n">
        <v>0.2693452380952381</v>
      </c>
      <c r="J48" s="13" t="n">
        <v>0.3113481382138575</v>
      </c>
      <c r="K48" s="13" t="n">
        <v>0.7917715398547892</v>
      </c>
    </row>
    <row r="49" ht="32" customHeight="1">
      <c r="A49" s="12" t="inlineStr">
        <is>
          <t>差值（百分点）</t>
        </is>
      </c>
      <c r="B49" s="12" t="n"/>
      <c r="C49" s="15">
        <f>(C48-C47)*100</f>
        <v/>
      </c>
      <c r="D49" s="15">
        <f>(D48-D47)*100</f>
        <v/>
      </c>
      <c r="E49" s="15">
        <f>(E48-E47)*100</f>
        <v/>
      </c>
      <c r="F49" s="15">
        <f>(F48-F47)*100</f>
        <v/>
      </c>
      <c r="G49" s="15">
        <f>(G48-G47)*100</f>
        <v/>
      </c>
      <c r="H49" s="15">
        <f>(H48-H47)*100</f>
        <v/>
      </c>
      <c r="I49" s="15">
        <f>(I48-I47)*100</f>
        <v/>
      </c>
      <c r="J49" s="15">
        <f>(J48-J47)*100</f>
        <v/>
      </c>
      <c r="K49" s="15">
        <f>(K48-K47)*100</f>
        <v/>
      </c>
    </row>
    <row r="50"/>
    <row r="51" ht="28" customHeight="1">
      <c r="A51" s="1" t="inlineStr">
        <is>
          <t>新增四场景联合对照：room2、office1、office3、office4</t>
        </is>
      </c>
    </row>
    <row r="52" ht="32" customHeight="1">
      <c r="A52" s="10" t="inlineStr">
        <is>
          <t>方法</t>
        </is>
      </c>
      <c r="B52" s="10" t="inlineStr">
        <is>
          <t>场景数</t>
        </is>
      </c>
      <c r="C52" s="11" t="inlineStr">
        <is>
          <t>Inst. mIoU</t>
        </is>
      </c>
      <c r="D52" s="11" t="inlineStr">
        <is>
          <t>Inst. AP25</t>
        </is>
      </c>
      <c r="E52" s="11" t="inlineStr">
        <is>
          <t>Inst. AP50</t>
        </is>
      </c>
      <c r="F52" s="11" t="inlineStr">
        <is>
          <t>Inst. AP75</t>
        </is>
      </c>
      <c r="G52" s="11" t="inlineStr">
        <is>
          <t>Sem. mIoU</t>
        </is>
      </c>
      <c r="H52" s="11" t="inlineStr">
        <is>
          <t>Sem. AP25</t>
        </is>
      </c>
      <c r="I52" s="11" t="inlineStr">
        <is>
          <t>Sem. AP50</t>
        </is>
      </c>
      <c r="J52" s="11" t="inlineStr">
        <is>
          <t>mAcc</t>
        </is>
      </c>
      <c r="K52" s="11" t="inlineStr">
        <is>
          <t>Object Surface Coverage@5cm</t>
        </is>
      </c>
    </row>
    <row r="53" ht="32" customHeight="1">
      <c r="A53" s="12" t="inlineStr">
        <is>
          <t>CLIP融合读出</t>
        </is>
      </c>
      <c r="B53" s="12" t="n">
        <v>4</v>
      </c>
      <c r="C53" s="13" t="n">
        <v>0.4357769740209494</v>
      </c>
      <c r="D53" s="13" t="n">
        <v>0.6296485601141499</v>
      </c>
      <c r="E53" s="13" t="n">
        <v>0.3022914758263098</v>
      </c>
      <c r="F53" s="13" t="n">
        <v>0.03621143630066412</v>
      </c>
      <c r="G53" s="13" t="n">
        <v>0.1247245978070396</v>
      </c>
      <c r="H53" s="13" t="n">
        <v>0.2220264935782177</v>
      </c>
      <c r="I53" s="13" t="n">
        <v>0.1649901990419232</v>
      </c>
      <c r="J53" s="13" t="n">
        <v>0.2452606820297153</v>
      </c>
      <c r="K53" s="13" t="n">
        <v>0.6750596379707092</v>
      </c>
    </row>
    <row r="54" ht="32" customHeight="1">
      <c r="A54" s="12" t="inlineStr">
        <is>
          <t>CLIP+bbox读出</t>
        </is>
      </c>
      <c r="B54" s="12" t="n">
        <v>4</v>
      </c>
      <c r="C54" s="13" t="n">
        <v>0.4357769740209494</v>
      </c>
      <c r="D54" s="13" t="n">
        <v>0.6296485601141499</v>
      </c>
      <c r="E54" s="13" t="n">
        <v>0.3022914758263098</v>
      </c>
      <c r="F54" s="13" t="n">
        <v>0.03621143630066412</v>
      </c>
      <c r="G54" s="14" t="n">
        <v>0.1140289720254583</v>
      </c>
      <c r="H54" s="14" t="n">
        <v>0.1903967596496332</v>
      </c>
      <c r="I54" s="14" t="n">
        <v>0.1613630649652113</v>
      </c>
      <c r="J54" s="14" t="n">
        <v>0.2369960758890501</v>
      </c>
      <c r="K54" s="13" t="n">
        <v>0.6750596379707092</v>
      </c>
    </row>
    <row r="55" ht="32" customHeight="1">
      <c r="A55" s="12" t="inlineStr">
        <is>
          <t>差值（百分点）</t>
        </is>
      </c>
      <c r="B55" s="12" t="n"/>
      <c r="C55" s="15">
        <f>(C54-C53)*100</f>
        <v/>
      </c>
      <c r="D55" s="15">
        <f>(D54-D53)*100</f>
        <v/>
      </c>
      <c r="E55" s="15">
        <f>(E54-E53)*100</f>
        <v/>
      </c>
      <c r="F55" s="15">
        <f>(F54-F53)*100</f>
        <v/>
      </c>
      <c r="G55" s="15">
        <f>(G54-G53)*100</f>
        <v/>
      </c>
      <c r="H55" s="15">
        <f>(H54-H53)*100</f>
        <v/>
      </c>
      <c r="I55" s="15">
        <f>(I54-I53)*100</f>
        <v/>
      </c>
      <c r="J55" s="15">
        <f>(J54-J53)*100</f>
        <v/>
      </c>
      <c r="K55" s="15">
        <f>(K54-K53)*100</f>
        <v/>
      </c>
    </row>
    <row r="56"/>
    <row r="57" ht="32" customHeight="1">
      <c r="A57" s="1" t="inlineStr">
        <is>
          <t>八景为已有在线地图的离线读出重评；本次新增在线建图与VLM请求均为0。</t>
        </is>
      </c>
    </row>
    <row r="58"/>
    <row r="59" ht="32" customHeight="1">
      <c r="A59" s="1" t="inlineStr">
        <is>
          <t>结论：不替换v7_CLIP主版。bbox联合mIoU下降，新增四景mIoU与AP50均下降。</t>
        </is>
      </c>
    </row>
    <row r="60"/>
    <row r="61" ht="30" customHeight="1">
      <c r="A61" s="1" t="inlineStr">
        <is>
          <t>v7_CLIP_v3 五场景联合对照：room1、room2、office0、office1、office2</t>
        </is>
      </c>
    </row>
    <row r="62" ht="32" customHeight="1">
      <c r="A62" s="10" t="inlineStr">
        <is>
          <t>方法</t>
        </is>
      </c>
      <c r="B62" s="10" t="inlineStr">
        <is>
          <t>场景数</t>
        </is>
      </c>
      <c r="C62" s="11" t="inlineStr">
        <is>
          <t>Inst. mIoU</t>
        </is>
      </c>
      <c r="D62" s="11" t="inlineStr">
        <is>
          <t>Inst. AP25</t>
        </is>
      </c>
      <c r="E62" s="11" t="inlineStr">
        <is>
          <t>Inst. AP50</t>
        </is>
      </c>
      <c r="F62" s="11" t="inlineStr">
        <is>
          <t>Inst. AP75</t>
        </is>
      </c>
      <c r="G62" s="11" t="inlineStr">
        <is>
          <t>Sem. mIoU</t>
        </is>
      </c>
      <c r="H62" s="11" t="inlineStr">
        <is>
          <t>Sem. AP25</t>
        </is>
      </c>
      <c r="I62" s="11" t="inlineStr">
        <is>
          <t>Sem. AP50</t>
        </is>
      </c>
      <c r="J62" s="11" t="inlineStr">
        <is>
          <t>mAcc</t>
        </is>
      </c>
      <c r="K62" s="11" t="inlineStr">
        <is>
          <t>Object Surface Coverage@5cm</t>
        </is>
      </c>
    </row>
    <row r="63" ht="32" customHeight="1">
      <c r="A63" s="12" t="inlineStr">
        <is>
          <t>v7_CLIP</t>
        </is>
      </c>
      <c r="B63" s="12" t="n">
        <v>5</v>
      </c>
      <c r="C63" s="19" t="n">
        <v>0.4317443232820347</v>
      </c>
      <c r="D63" s="19" t="n">
        <v>0.5999295559374982</v>
      </c>
      <c r="E63" s="19" t="n">
        <v>0.2724223709609409</v>
      </c>
      <c r="F63" s="19" t="n">
        <v>0.04036680229539437</v>
      </c>
      <c r="G63" s="19" t="n">
        <v>0.140416762442453</v>
      </c>
      <c r="H63" s="19" t="n">
        <v>0.2425888226773293</v>
      </c>
      <c r="I63" s="19" t="n">
        <v>0.1637845324472627</v>
      </c>
      <c r="J63" s="19" t="n">
        <v>0.2632136853714623</v>
      </c>
      <c r="K63" s="19" t="n">
        <v>0.6841202740509399</v>
      </c>
    </row>
    <row r="64" ht="32" customHeight="1">
      <c r="A64" s="12" t="inlineStr">
        <is>
          <t>v7_CLIP_v3</t>
        </is>
      </c>
      <c r="B64" s="12" t="n">
        <v>5</v>
      </c>
      <c r="C64" s="14" t="n">
        <v>0.4346149168040835</v>
      </c>
      <c r="D64" s="14" t="n">
        <v>0.6118231347845413</v>
      </c>
      <c r="E64" s="14" t="n">
        <v>0.2564599455368038</v>
      </c>
      <c r="F64" s="14" t="n">
        <v>0.04162348485663843</v>
      </c>
      <c r="G64" s="14" t="n">
        <v>0.1377223938950153</v>
      </c>
      <c r="H64" s="14" t="n">
        <v>0.2394206643423994</v>
      </c>
      <c r="I64" s="14" t="n">
        <v>0.1689193950621667</v>
      </c>
      <c r="J64" s="14" t="n">
        <v>0.2565015426941514</v>
      </c>
      <c r="K64" s="14" t="n">
        <v>0.6784229907064695</v>
      </c>
    </row>
    <row r="65" ht="32" customHeight="1">
      <c r="A65" s="12" t="inlineStr">
        <is>
          <t>v3 - CLIP（百分点）</t>
        </is>
      </c>
      <c r="B65" s="12" t="inlineStr">
        <is>
          <t>同5场景</t>
        </is>
      </c>
      <c r="C65" s="20">
        <f>(C64-C63)*100</f>
        <v/>
      </c>
      <c r="D65" s="20">
        <f>(D64-D63)*100</f>
        <v/>
      </c>
      <c r="E65" s="20">
        <f>(E64-E63)*100</f>
        <v/>
      </c>
      <c r="F65" s="20">
        <f>(F64-F63)*100</f>
        <v/>
      </c>
      <c r="G65" s="20">
        <f>(G64-G63)*100</f>
        <v/>
      </c>
      <c r="H65" s="20">
        <f>(H64-H63)*100</f>
        <v/>
      </c>
      <c r="I65" s="20">
        <f>(I64-I63)*100</f>
        <v/>
      </c>
      <c r="J65" s="20">
        <f>(J64-J63)*100</f>
        <v/>
      </c>
      <c r="K65" s="20">
        <f>(K64-K63)*100</f>
        <v/>
      </c>
    </row>
    <row r="66"/>
    <row r="67" ht="30" customHeight="1">
      <c r="A67" s="1" t="inlineStr">
        <is>
          <t>同五场景简单平均：与上方联合结果区分</t>
        </is>
      </c>
    </row>
    <row r="68" ht="32" customHeight="1">
      <c r="A68" s="10" t="inlineStr">
        <is>
          <t>方法</t>
        </is>
      </c>
      <c r="B68" s="10" t="inlineStr">
        <is>
          <t>场景数</t>
        </is>
      </c>
      <c r="C68" s="11" t="inlineStr">
        <is>
          <t>Inst. mIoU</t>
        </is>
      </c>
      <c r="D68" s="11" t="inlineStr">
        <is>
          <t>Inst. AP25</t>
        </is>
      </c>
      <c r="E68" s="11" t="inlineStr">
        <is>
          <t>Inst. AP50</t>
        </is>
      </c>
      <c r="F68" s="11" t="inlineStr">
        <is>
          <t>Inst. AP75</t>
        </is>
      </c>
      <c r="G68" s="11" t="inlineStr">
        <is>
          <t>Sem. mIoU</t>
        </is>
      </c>
      <c r="H68" s="11" t="inlineStr">
        <is>
          <t>Sem. AP25</t>
        </is>
      </c>
      <c r="I68" s="11" t="inlineStr">
        <is>
          <t>Sem. AP50</t>
        </is>
      </c>
      <c r="J68" s="11" t="inlineStr">
        <is>
          <t>mAcc</t>
        </is>
      </c>
      <c r="K68" s="11" t="inlineStr">
        <is>
          <t>Object Surface Coverage@5cm</t>
        </is>
      </c>
    </row>
    <row r="69" ht="32" customHeight="1">
      <c r="A69" s="12" t="inlineStr">
        <is>
          <t>v7_CLIP</t>
        </is>
      </c>
      <c r="B69" s="12" t="n">
        <v>5</v>
      </c>
      <c r="C69" s="19" t="n">
        <v>0.4310949454824377</v>
      </c>
      <c r="D69" s="19" t="n">
        <v>0.6118385944458063</v>
      </c>
      <c r="E69" s="19" t="n">
        <v>0.2953426677115989</v>
      </c>
      <c r="F69" s="19" t="n">
        <v>0.06467366370282497</v>
      </c>
      <c r="G69" s="19" t="n">
        <v>0.1479818342347573</v>
      </c>
      <c r="H69" s="19" t="n">
        <v>0.2529669071575998</v>
      </c>
      <c r="I69" s="19" t="n">
        <v>0.1809753588935574</v>
      </c>
      <c r="J69" s="19" t="n">
        <v>0.2420993869792166</v>
      </c>
      <c r="K69" s="19" t="n">
        <v>0.6850520140723704</v>
      </c>
    </row>
    <row r="70" ht="32" customHeight="1">
      <c r="A70" s="12" t="inlineStr">
        <is>
          <t>v7_CLIP_v3</t>
        </is>
      </c>
      <c r="B70" s="12" t="n">
        <v>5</v>
      </c>
      <c r="C70" s="14" t="n">
        <v>0.4350519837556356</v>
      </c>
      <c r="D70" s="14" t="n">
        <v>0.6268339169396964</v>
      </c>
      <c r="E70" s="14" t="n">
        <v>0.2790941893543737</v>
      </c>
      <c r="F70" s="14" t="n">
        <v>0.06531674323263792</v>
      </c>
      <c r="G70" s="14" t="n">
        <v>0.1366623475656643</v>
      </c>
      <c r="H70" s="14" t="n">
        <v>0.2479759140498304</v>
      </c>
      <c r="I70" s="14" t="n">
        <v>0.1843045803847855</v>
      </c>
      <c r="J70" s="14" t="n">
        <v>0.2321334827827868</v>
      </c>
      <c r="K70" s="14" t="n">
        <v>0.6799397552670609</v>
      </c>
    </row>
    <row r="71" ht="32" customHeight="1">
      <c r="A71" s="12" t="inlineStr">
        <is>
          <t>v3 - CLIP（百分点）</t>
        </is>
      </c>
      <c r="B71" s="12" t="inlineStr">
        <is>
          <t>同5场景</t>
        </is>
      </c>
      <c r="C71" s="20">
        <f>(C70-C69)*100</f>
        <v/>
      </c>
      <c r="D71" s="20">
        <f>(D70-D69)*100</f>
        <v/>
      </c>
      <c r="E71" s="20">
        <f>(E70-E69)*100</f>
        <v/>
      </c>
      <c r="F71" s="20">
        <f>(F70-F69)*100</f>
        <v/>
      </c>
      <c r="G71" s="20">
        <f>(G70-G69)*100</f>
        <v/>
      </c>
      <c r="H71" s="20">
        <f>(H70-H69)*100</f>
        <v/>
      </c>
      <c r="I71" s="20">
        <f>(I70-I69)*100</f>
        <v/>
      </c>
      <c r="J71" s="20">
        <f>(J70-J69)*100</f>
        <v/>
      </c>
      <c r="K71" s="20">
        <f>(K70-K69)*100</f>
        <v/>
      </c>
    </row>
    <row r="72"/>
    <row r="73" ht="30" customHeight="1">
      <c r="A73" s="1" t="inlineStr">
        <is>
          <t>office2 已完成并评估。room0、office3、office4 按用户要求暂停；此处为五场景局部结果，不代表八场景。</t>
        </is>
      </c>
    </row>
    <row r="74"/>
    <row r="75" ht="30" customHeight="1">
      <c r="A75" s="1" t="inlineStr">
        <is>
          <t>联合结果：实例 mIoU 略升，实例 AP50、语义 mIoU 和覆盖率下降。保留收益与退化，暂不扩大场景。</t>
        </is>
      </c>
    </row>
    <row r="76"/>
    <row r="77" ht="38" customHeight="1">
      <c r="A77" s="1" t="inlineStr">
        <is>
          <t>论文消融：三组八场景联合结果（2026-09-11重新评测）</t>
        </is>
      </c>
    </row>
    <row r="78" ht="38" customHeight="1">
      <c r="A78" s="2" t="inlineStr">
        <is>
          <t>方法</t>
        </is>
      </c>
      <c r="B78" s="2" t="inlineStr">
        <is>
          <t>场景数</t>
        </is>
      </c>
      <c r="C78" s="2" t="inlineStr">
        <is>
          <t>Inst. mIoU</t>
        </is>
      </c>
      <c r="D78" s="2" t="inlineStr">
        <is>
          <t>Inst. AP25</t>
        </is>
      </c>
      <c r="E78" s="2" t="inlineStr">
        <is>
          <t>Inst. AP50</t>
        </is>
      </c>
      <c r="F78" s="2" t="inlineStr">
        <is>
          <t>Inst. AP75</t>
        </is>
      </c>
      <c r="G78" s="2" t="inlineStr">
        <is>
          <t>Sem. mIoU</t>
        </is>
      </c>
      <c r="H78" s="2" t="inlineStr">
        <is>
          <t>Sem. AP25</t>
        </is>
      </c>
      <c r="I78" s="2" t="inlineStr">
        <is>
          <t>Sem. AP50</t>
        </is>
      </c>
      <c r="J78" s="2" t="inlineStr">
        <is>
          <t>mAcc</t>
        </is>
      </c>
      <c r="K78" s="2" t="inlineStr">
        <is>
          <t>Object Surface Coverage@5cm</t>
        </is>
      </c>
    </row>
    <row r="79" ht="42" customHeight="1">
      <c r="A79" s="5" t="inlineStr">
        <is>
          <t>A ali-my bff233f</t>
        </is>
      </c>
      <c r="B79" s="5" t="n">
        <v>8</v>
      </c>
      <c r="C79" s="6" t="n">
        <v>0.3456547169250158</v>
      </c>
      <c r="D79" s="6" t="n">
        <v>0.4910127025410906</v>
      </c>
      <c r="E79" s="6" t="n">
        <v>0.1879618011172292</v>
      </c>
      <c r="F79" s="6" t="n">
        <v>0.01746008904621209</v>
      </c>
      <c r="G79" s="6" t="n">
        <v>0.1211719923288914</v>
      </c>
      <c r="H79" s="6" t="n">
        <v>0.1707876786093617</v>
      </c>
      <c r="I79" s="6" t="n">
        <v>0.1421035505876515</v>
      </c>
      <c r="J79" s="6" t="n">
        <v>0.2467413591948206</v>
      </c>
      <c r="K79" s="6" t="n">
        <v>0.6350991760833455</v>
      </c>
    </row>
    <row r="80" ht="42" customHeight="1">
      <c r="A80" s="5" t="inlineStr">
        <is>
          <t>B 原图（无VLM）</t>
        </is>
      </c>
      <c r="B80" s="5" t="n">
        <v>8</v>
      </c>
      <c r="C80" s="6" t="n">
        <v>0.4258950844500016</v>
      </c>
      <c r="D80" s="6" t="n">
        <v>0.5987879201746854</v>
      </c>
      <c r="E80" s="6" t="n">
        <v>0.2423677730014008</v>
      </c>
      <c r="F80" s="6" t="n">
        <v>0.04400122777173261</v>
      </c>
      <c r="G80" s="6" t="n">
        <v>0.1251758349438012</v>
      </c>
      <c r="H80" s="6" t="n">
        <v>0.2164887713200658</v>
      </c>
      <c r="I80" s="6" t="n">
        <v>0.1541044713269139</v>
      </c>
      <c r="J80" s="6" t="n">
        <v>0.2613256482242413</v>
      </c>
      <c r="K80" s="6" t="n">
        <v>0.7064098178271998</v>
      </c>
    </row>
    <row r="81" ht="42" customHeight="1">
      <c r="A81" s="5" t="inlineStr">
        <is>
          <t>C 原图+CLIP（无VLM）</t>
        </is>
      </c>
      <c r="B81" s="5" t="n">
        <v>8</v>
      </c>
      <c r="C81" s="6" t="n">
        <v>0.4278293178558412</v>
      </c>
      <c r="D81" s="6" t="n">
        <v>0.6008457186934357</v>
      </c>
      <c r="E81" s="6" t="n">
        <v>0.2587596375789169</v>
      </c>
      <c r="F81" s="6" t="n">
        <v>0.04785000121453901</v>
      </c>
      <c r="G81" s="6" t="n">
        <v>0.1277402581632639</v>
      </c>
      <c r="H81" s="6" t="n">
        <v>0.2017414044393655</v>
      </c>
      <c r="I81" s="6" t="n">
        <v>0.1342780680347301</v>
      </c>
      <c r="J81" s="6" t="n">
        <v>0.2406252973689092</v>
      </c>
      <c r="K81" s="6" t="n">
        <v>0.7063880443525679</v>
      </c>
    </row>
    <row r="82" ht="32" customHeight="1">
      <c r="A82" s="12" t="inlineStr">
        <is>
          <t>B − A（百分点）</t>
        </is>
      </c>
      <c r="B82" s="12" t="n">
        <v>8</v>
      </c>
      <c r="C82" s="15">
        <f>(C80-C79)*100</f>
        <v/>
      </c>
      <c r="D82" s="15">
        <f>(D80-D79)*100</f>
        <v/>
      </c>
      <c r="E82" s="15">
        <f>(E80-E79)*100</f>
        <v/>
      </c>
      <c r="F82" s="15">
        <f>(F80-F79)*100</f>
        <v/>
      </c>
      <c r="G82" s="15">
        <f>(G80-G79)*100</f>
        <v/>
      </c>
      <c r="H82" s="15">
        <f>(H80-H79)*100</f>
        <v/>
      </c>
      <c r="I82" s="15">
        <f>(I80-I79)*100</f>
        <v/>
      </c>
      <c r="J82" s="15">
        <f>(J80-J79)*100</f>
        <v/>
      </c>
      <c r="K82" s="15">
        <f>(K80-K79)*100</f>
        <v/>
      </c>
    </row>
    <row r="83" ht="32" customHeight="1">
      <c r="A83" s="12" t="inlineStr">
        <is>
          <t>C − B（百分点）</t>
        </is>
      </c>
      <c r="B83" s="12" t="n">
        <v>8</v>
      </c>
      <c r="C83" s="15">
        <f>(C81-C80)*100</f>
        <v/>
      </c>
      <c r="D83" s="15">
        <f>(D81-D80)*100</f>
        <v/>
      </c>
      <c r="E83" s="15">
        <f>(E81-E80)*100</f>
        <v/>
      </c>
      <c r="F83" s="15">
        <f>(F81-F80)*100</f>
        <v/>
      </c>
      <c r="G83" s="15">
        <f>(G81-G80)*100</f>
        <v/>
      </c>
      <c r="H83" s="15">
        <f>(H81-H80)*100</f>
        <v/>
      </c>
      <c r="I83" s="15">
        <f>(I81-I80)*100</f>
        <v/>
      </c>
      <c r="J83" s="15">
        <f>(J81-J80)*100</f>
        <v/>
      </c>
      <c r="K83" s="15">
        <f>(K81-K80)*100</f>
        <v/>
      </c>
    </row>
    <row r="84"/>
    <row r="85" ht="38" customHeight="1">
      <c r="A85" s="1" t="inlineStr">
        <is>
          <t>八场景简单平均：与联合结果区分</t>
        </is>
      </c>
    </row>
    <row r="86" ht="38" customHeight="1">
      <c r="A86" s="2" t="inlineStr">
        <is>
          <t>方法</t>
        </is>
      </c>
      <c r="B86" s="2" t="inlineStr">
        <is>
          <t>场景数</t>
        </is>
      </c>
      <c r="C86" s="2" t="inlineStr">
        <is>
          <t>Inst. mIoU</t>
        </is>
      </c>
      <c r="D86" s="2" t="inlineStr">
        <is>
          <t>Inst. AP25</t>
        </is>
      </c>
      <c r="E86" s="2" t="inlineStr">
        <is>
          <t>Inst. AP50</t>
        </is>
      </c>
      <c r="F86" s="2" t="inlineStr">
        <is>
          <t>Inst. AP75</t>
        </is>
      </c>
      <c r="G86" s="2" t="inlineStr">
        <is>
          <t>Sem. mIoU</t>
        </is>
      </c>
      <c r="H86" s="2" t="inlineStr">
        <is>
          <t>Sem. AP25</t>
        </is>
      </c>
      <c r="I86" s="2" t="inlineStr">
        <is>
          <t>Sem. AP50</t>
        </is>
      </c>
      <c r="J86" s="2" t="inlineStr">
        <is>
          <t>mAcc</t>
        </is>
      </c>
      <c r="K86" s="2" t="inlineStr">
        <is>
          <t>Object Surface Coverage@5cm</t>
        </is>
      </c>
    </row>
    <row r="87" ht="42" customHeight="1">
      <c r="A87" s="5" t="inlineStr">
        <is>
          <t>A ali-my bff233f</t>
        </is>
      </c>
      <c r="B87" s="5" t="n">
        <v>8</v>
      </c>
      <c r="C87" s="6" t="n">
        <v>0.3500910678062243</v>
      </c>
      <c r="D87" s="6" t="n">
        <v>0.5169594042122171</v>
      </c>
      <c r="E87" s="6" t="n">
        <v>0.2085662327371056</v>
      </c>
      <c r="F87" s="6" t="n">
        <v>0.02847980615319</v>
      </c>
      <c r="G87" s="6" t="n">
        <v>0.1426672953280648</v>
      </c>
      <c r="H87" s="6" t="n">
        <v>0.2062676283959674</v>
      </c>
      <c r="I87" s="6" t="n">
        <v>0.1632832853187628</v>
      </c>
      <c r="J87" s="6" t="n">
        <v>0.2271930448252639</v>
      </c>
      <c r="K87" s="6" t="n">
        <v>0.6305809465152915</v>
      </c>
    </row>
    <row r="88" ht="42" customHeight="1">
      <c r="A88" s="5" t="inlineStr">
        <is>
          <t>B 原图（无VLM）</t>
        </is>
      </c>
      <c r="B88" s="5" t="n">
        <v>8</v>
      </c>
      <c r="C88" s="6" t="n">
        <v>0.425186859534395</v>
      </c>
      <c r="D88" s="6" t="n">
        <v>0.6128962968901328</v>
      </c>
      <c r="E88" s="6" t="n">
        <v>0.2606280085346284</v>
      </c>
      <c r="F88" s="6" t="n">
        <v>0.06388521272806591</v>
      </c>
      <c r="G88" s="6" t="n">
        <v>0.1580235004796247</v>
      </c>
      <c r="H88" s="6" t="n">
        <v>0.2508118179011358</v>
      </c>
      <c r="I88" s="6" t="n">
        <v>0.1969691593499711</v>
      </c>
      <c r="J88" s="6" t="n">
        <v>0.2546586714097689</v>
      </c>
      <c r="K88" s="6" t="n">
        <v>0.7027058184349448</v>
      </c>
    </row>
    <row r="89" ht="42" customHeight="1">
      <c r="A89" s="5" t="inlineStr">
        <is>
          <t>C 原图+CLIP（无VLM）</t>
        </is>
      </c>
      <c r="B89" s="5" t="n">
        <v>8</v>
      </c>
      <c r="C89" s="6" t="n">
        <v>0.4269232686284746</v>
      </c>
      <c r="D89" s="6" t="n">
        <v>0.6152531523267896</v>
      </c>
      <c r="E89" s="6" t="n">
        <v>0.2730992972403894</v>
      </c>
      <c r="F89" s="6" t="n">
        <v>0.0652195259496635</v>
      </c>
      <c r="G89" s="6" t="n">
        <v>0.1369582080310665</v>
      </c>
      <c r="H89" s="6" t="n">
        <v>0.2385895592541423</v>
      </c>
      <c r="I89" s="6" t="n">
        <v>0.1734802092080158</v>
      </c>
      <c r="J89" s="6" t="n">
        <v>0.2322067005260871</v>
      </c>
      <c r="K89" s="6" t="n">
        <v>0.7026869096626933</v>
      </c>
    </row>
    <row r="90"/>
    <row r="91" ht="38" customHeight="1">
      <c r="A91" s="1" t="inlineStr">
        <is>
          <t>A为项目复现ali-my bff233f；B仅原图输入；C另加CLIP融合，VLM全部关闭。</t>
        </is>
      </c>
    </row>
    <row r="92"/>
    <row r="93" ht="38" customHeight="1">
      <c r="A93" s="1" t="inlineStr">
        <is>
          <t>原图输入改善联合主指标；CLIP进一步改善实例指标，但语义AP25/AP50及mAcc退化。</t>
        </is>
      </c>
    </row>
    <row r="94"/>
    <row r="95" ht="38" customHeight="1">
      <c r="A95" s="1" t="inlineStr">
        <is>
          <t>24个地图分别重新投影评测，与消融记录结果一致。历史方法及已有局部实验保留。</t>
        </is>
      </c>
    </row>
    <row r="96"/>
    <row r="97" ht="32" customHeight="1">
      <c r="A97" s="1" t="inlineStr">
        <is>
          <t>room1：v7_CLIP_no90 与历史 v7_CLIP / OVI_MAP（统一v2，探索性对照）</t>
        </is>
      </c>
    </row>
    <row r="98" ht="38" customHeight="1">
      <c r="A98" s="2" t="inlineStr">
        <is>
          <t>方法</t>
        </is>
      </c>
      <c r="B98" s="2" t="inlineStr">
        <is>
          <t>场景</t>
        </is>
      </c>
      <c r="C98" s="2" t="inlineStr">
        <is>
          <t>Inst. mIoU</t>
        </is>
      </c>
      <c r="D98" s="2" t="inlineStr">
        <is>
          <t>Inst. AP25</t>
        </is>
      </c>
      <c r="E98" s="2" t="inlineStr">
        <is>
          <t>Inst. AP50</t>
        </is>
      </c>
      <c r="F98" s="2" t="inlineStr">
        <is>
          <t>Inst. AP75</t>
        </is>
      </c>
      <c r="G98" s="2" t="inlineStr">
        <is>
          <t>Sem. mIoU</t>
        </is>
      </c>
      <c r="H98" s="2" t="inlineStr">
        <is>
          <t>Sem. AP25</t>
        </is>
      </c>
      <c r="I98" s="2" t="inlineStr">
        <is>
          <t>Sem. AP50</t>
        </is>
      </c>
      <c r="J98" s="2" t="inlineStr">
        <is>
          <t>mAcc</t>
        </is>
      </c>
      <c r="K98" s="2" t="inlineStr">
        <is>
          <t>Object Surface Coverage@5cm</t>
        </is>
      </c>
    </row>
    <row r="99" ht="28" customHeight="1">
      <c r="A99" s="3" t="inlineStr">
        <is>
          <t>v7_CLIP</t>
        </is>
      </c>
      <c r="B99" s="3" t="inlineStr">
        <is>
          <t>room1</t>
        </is>
      </c>
      <c r="C99" s="4" t="n">
        <v>0.4912027306040631</v>
      </c>
      <c r="D99" s="4" t="n">
        <v>0.6312015912144155</v>
      </c>
      <c r="E99" s="4" t="n">
        <v>0.2567989750327216</v>
      </c>
      <c r="F99" s="4" t="n">
        <v>0.04332999655618973</v>
      </c>
      <c r="G99" s="4" t="n">
        <v>0.1845328565569055</v>
      </c>
      <c r="H99" s="4" t="n">
        <v>0.3426378446115289</v>
      </c>
      <c r="I99" s="4" t="n">
        <v>0.2339285714285714</v>
      </c>
      <c r="J99" s="4" t="n">
        <v>0.3585448367349413</v>
      </c>
      <c r="K99" s="4" t="n">
        <v>0.7612885442583471</v>
      </c>
    </row>
    <row r="100" ht="28" customHeight="1">
      <c r="A100" s="3" t="inlineStr">
        <is>
          <t>OVI_MAP</t>
        </is>
      </c>
      <c r="B100" s="3" t="inlineStr">
        <is>
          <t>room1</t>
        </is>
      </c>
      <c r="C100" s="7" t="n">
        <v>0.5308433414953346</v>
      </c>
      <c r="D100" s="7" t="n">
        <v>0.7184038440529159</v>
      </c>
      <c r="E100" s="7" t="n">
        <v>0.2796791877290669</v>
      </c>
      <c r="F100" s="7" t="n">
        <v>0.08314988926566022</v>
      </c>
      <c r="G100" s="7" t="n">
        <v>0.2048829527606001</v>
      </c>
      <c r="H100" s="4" t="n">
        <v>0.3007518796992481</v>
      </c>
      <c r="I100" s="4" t="n">
        <v>0.1818922305764411</v>
      </c>
      <c r="J100" s="4" t="n">
        <v>0.3018541851609077</v>
      </c>
      <c r="K100" s="7" t="n">
        <v>0.7738192817403037</v>
      </c>
    </row>
    <row r="101" ht="28" customHeight="1">
      <c r="A101" s="3" t="inlineStr">
        <is>
          <t>v7_CLIP_no90</t>
        </is>
      </c>
      <c r="B101" s="3" t="inlineStr">
        <is>
          <t>room1</t>
        </is>
      </c>
      <c r="C101" s="4" t="n">
        <v>0.4835277712430571</v>
      </c>
      <c r="D101" s="4" t="n">
        <v>0.6486227793090682</v>
      </c>
      <c r="E101" s="4" t="n">
        <v>0.2523145044209976</v>
      </c>
      <c r="F101" s="4" t="n">
        <v>0.03904615638990638</v>
      </c>
      <c r="G101" s="4" t="n">
        <v>0.1942595929361401</v>
      </c>
      <c r="H101" s="7" t="n">
        <v>0.3437343358395991</v>
      </c>
      <c r="I101" s="7" t="n">
        <v>0.2350250626566416</v>
      </c>
      <c r="J101" s="7" t="n">
        <v>0.3605355242124516</v>
      </c>
      <c r="K101" s="4" t="n">
        <v>0.7497624418798645</v>
      </c>
    </row>
    <row r="102"/>
    <row r="103" ht="32" customHeight="1">
      <c r="A103" s="1" t="inlineStr">
        <is>
          <t>office1：v7_CLIP_no90 与历史 v7_CLIP / OVI_MAP（统一v2，探索性对照）</t>
        </is>
      </c>
    </row>
    <row r="104" ht="38" customHeight="1">
      <c r="A104" s="2" t="inlineStr">
        <is>
          <t>方法</t>
        </is>
      </c>
      <c r="B104" s="2" t="inlineStr">
        <is>
          <t>场景</t>
        </is>
      </c>
      <c r="C104" s="2" t="inlineStr">
        <is>
          <t>Inst. mIoU</t>
        </is>
      </c>
      <c r="D104" s="2" t="inlineStr">
        <is>
          <t>Inst. AP25</t>
        </is>
      </c>
      <c r="E104" s="2" t="inlineStr">
        <is>
          <t>Inst. AP50</t>
        </is>
      </c>
      <c r="F104" s="2" t="inlineStr">
        <is>
          <t>Inst. AP75</t>
        </is>
      </c>
      <c r="G104" s="2" t="inlineStr">
        <is>
          <t>Sem. mIoU</t>
        </is>
      </c>
      <c r="H104" s="2" t="inlineStr">
        <is>
          <t>Sem. AP25</t>
        </is>
      </c>
      <c r="I104" s="2" t="inlineStr">
        <is>
          <t>Sem. AP50</t>
        </is>
      </c>
      <c r="J104" s="2" t="inlineStr">
        <is>
          <t>mAcc</t>
        </is>
      </c>
      <c r="K104" s="2" t="inlineStr">
        <is>
          <t>Object Surface Coverage@5cm</t>
        </is>
      </c>
    </row>
    <row r="105" ht="28" customHeight="1">
      <c r="A105" s="3" t="inlineStr">
        <is>
          <t>v7_CLIP</t>
        </is>
      </c>
      <c r="B105" s="3" t="inlineStr">
        <is>
          <t>office1</t>
        </is>
      </c>
      <c r="C105" s="4" t="n">
        <v>0.4511795994883415</v>
      </c>
      <c r="D105" s="4" t="n">
        <v>0.6328415032679739</v>
      </c>
      <c r="E105" s="4" t="n">
        <v>0.4724691881905504</v>
      </c>
      <c r="F105" s="4" t="n">
        <v>0.1514444444444444</v>
      </c>
      <c r="G105" s="4" t="n">
        <v>0.1524305564380284</v>
      </c>
      <c r="H105" s="4" t="n">
        <v>0.25</v>
      </c>
      <c r="I105" s="7" t="n">
        <v>0.25</v>
      </c>
      <c r="J105" s="4" t="n">
        <v>0.2325511044534559</v>
      </c>
      <c r="K105" s="4" t="n">
        <v>0.7078874400691217</v>
      </c>
    </row>
    <row r="106" ht="28" customHeight="1">
      <c r="A106" s="3" t="inlineStr">
        <is>
          <t>OVI_MAP</t>
        </is>
      </c>
      <c r="B106" s="3" t="inlineStr">
        <is>
          <t>office1</t>
        </is>
      </c>
      <c r="C106" s="4" t="n">
        <v>0.4473195491092988</v>
      </c>
      <c r="D106" s="4" t="n">
        <v>0.5870133591898297</v>
      </c>
      <c r="E106" s="4" t="n">
        <v>0.4226128316128316</v>
      </c>
      <c r="F106" s="4" t="n">
        <v>0.07089082554872028</v>
      </c>
      <c r="G106" s="4" t="n">
        <v>0.1234151821911196</v>
      </c>
      <c r="H106" s="4" t="n">
        <v>0.2352941176470588</v>
      </c>
      <c r="I106" s="4" t="n">
        <v>0.1764705882352941</v>
      </c>
      <c r="J106" s="4" t="n">
        <v>0.1462614799574493</v>
      </c>
      <c r="K106" s="7" t="n">
        <v>0.77523591165525</v>
      </c>
    </row>
    <row r="107" ht="28" customHeight="1">
      <c r="A107" s="3" t="inlineStr">
        <is>
          <t>v7_CLIP_no90</t>
        </is>
      </c>
      <c r="B107" s="3" t="inlineStr">
        <is>
          <t>office1</t>
        </is>
      </c>
      <c r="C107" s="7" t="n">
        <v>0.4732839666096738</v>
      </c>
      <c r="D107" s="7" t="n">
        <v>0.6777124183006538</v>
      </c>
      <c r="E107" s="7" t="n">
        <v>0.5118804109547144</v>
      </c>
      <c r="F107" s="7" t="n">
        <v>0.1791624158435304</v>
      </c>
      <c r="G107" s="7" t="n">
        <v>0.1667219007917106</v>
      </c>
      <c r="H107" s="7" t="n">
        <v>0.3088235294117647</v>
      </c>
      <c r="I107" s="7" t="n">
        <v>0.25</v>
      </c>
      <c r="J107" s="7" t="n">
        <v>0.255230560802329</v>
      </c>
      <c r="K107" s="4" t="n">
        <v>0.7073961339289244</v>
      </c>
    </row>
    <row r="108"/>
    <row r="109" ht="32" customHeight="1">
      <c r="A109" s="1" t="inlineStr">
        <is>
          <t>F1@50 对照：类别无关，一对一匹配，IoU≥0.5，GT/预测≥100点</t>
        </is>
      </c>
    </row>
    <row r="110" ht="38" customHeight="1">
      <c r="A110" s="2" t="inlineStr">
        <is>
          <t>方法</t>
        </is>
      </c>
      <c r="B110" s="2" t="inlineStr">
        <is>
          <t>场景</t>
        </is>
      </c>
      <c r="C110" s="2" t="inlineStr">
        <is>
          <t>Precision50</t>
        </is>
      </c>
      <c r="D110" s="2" t="inlineStr">
        <is>
          <t>Recall50</t>
        </is>
      </c>
      <c r="E110" s="2" t="inlineStr">
        <is>
          <t>F1@50</t>
        </is>
      </c>
      <c r="F110" s="2" t="inlineStr">
        <is>
          <t>TP50</t>
        </is>
      </c>
      <c r="G110" s="2" t="inlineStr">
        <is>
          <t>FP50</t>
        </is>
      </c>
      <c r="H110" s="2" t="inlineStr">
        <is>
          <t>FN50</t>
        </is>
      </c>
    </row>
    <row r="111" ht="28" customHeight="1">
      <c r="A111" s="3" t="inlineStr">
        <is>
          <t>v7_CLIP</t>
        </is>
      </c>
      <c r="B111" s="3" t="inlineStr">
        <is>
          <t>room1</t>
        </is>
      </c>
      <c r="C111" s="4" t="n">
        <v>0.3396226415094339</v>
      </c>
      <c r="D111" s="4" t="n">
        <v>0.45</v>
      </c>
      <c r="E111" s="4" t="n">
        <v>0.3870967741935484</v>
      </c>
      <c r="F111" s="23" t="n">
        <v>18</v>
      </c>
      <c r="G111" s="23" t="n">
        <v>35</v>
      </c>
      <c r="H111" s="23" t="n">
        <v>22</v>
      </c>
    </row>
    <row r="112" ht="28" customHeight="1">
      <c r="A112" s="3" t="inlineStr">
        <is>
          <t>OVI_MAP</t>
        </is>
      </c>
      <c r="B112" s="3" t="inlineStr">
        <is>
          <t>room1</t>
        </is>
      </c>
      <c r="C112" s="4" t="n">
        <v>0.475</v>
      </c>
      <c r="D112" s="4" t="n">
        <v>0.475</v>
      </c>
      <c r="E112" s="4" t="n">
        <v>0.475</v>
      </c>
      <c r="F112" s="23" t="n">
        <v>19</v>
      </c>
      <c r="G112" s="23" t="n">
        <v>21</v>
      </c>
      <c r="H112" s="23" t="n">
        <v>21</v>
      </c>
    </row>
    <row r="113" ht="28" customHeight="1">
      <c r="A113" s="3" t="inlineStr">
        <is>
          <t>v7_CLIP_no90</t>
        </is>
      </c>
      <c r="B113" s="3" t="inlineStr">
        <is>
          <t>room1</t>
        </is>
      </c>
      <c r="C113" s="4" t="n">
        <v>0.3541666666666667</v>
      </c>
      <c r="D113" s="4" t="n">
        <v>0.425</v>
      </c>
      <c r="E113" s="4" t="n">
        <v>0.3863636363636364</v>
      </c>
      <c r="F113" s="23" t="n">
        <v>17</v>
      </c>
      <c r="G113" s="23" t="n">
        <v>31</v>
      </c>
      <c r="H113" s="23" t="n">
        <v>23</v>
      </c>
    </row>
    <row r="114" ht="28" customHeight="1">
      <c r="A114" s="3" t="inlineStr">
        <is>
          <t>v7_CLIP</t>
        </is>
      </c>
      <c r="B114" s="3" t="inlineStr">
        <is>
          <t>office1</t>
        </is>
      </c>
      <c r="C114" s="4" t="n">
        <v>0.4666666666666667</v>
      </c>
      <c r="D114" s="4" t="n">
        <v>0.5600000000000001</v>
      </c>
      <c r="E114" s="4" t="n">
        <v>0.509090909090909</v>
      </c>
      <c r="F114" s="23" t="n">
        <v>14</v>
      </c>
      <c r="G114" s="23" t="n">
        <v>16</v>
      </c>
      <c r="H114" s="23" t="n">
        <v>11</v>
      </c>
    </row>
    <row r="115" ht="28" customHeight="1">
      <c r="A115" s="3" t="inlineStr">
        <is>
          <t>OVI_MAP</t>
        </is>
      </c>
      <c r="B115" s="3" t="inlineStr">
        <is>
          <t>office1</t>
        </is>
      </c>
      <c r="C115" s="4" t="n">
        <v>0.3870967741935484</v>
      </c>
      <c r="D115" s="4" t="n">
        <v>0.48</v>
      </c>
      <c r="E115" s="4" t="n">
        <v>0.4285714285714285</v>
      </c>
      <c r="F115" s="23" t="n">
        <v>12</v>
      </c>
      <c r="G115" s="23" t="n">
        <v>19</v>
      </c>
      <c r="H115" s="23" t="n">
        <v>13</v>
      </c>
    </row>
    <row r="116" ht="28" customHeight="1">
      <c r="A116" s="3" t="inlineStr">
        <is>
          <t>v7_CLIP_no90</t>
        </is>
      </c>
      <c r="B116" s="3" t="inlineStr">
        <is>
          <t>office1</t>
        </is>
      </c>
      <c r="C116" s="4" t="n">
        <v>0.46875</v>
      </c>
      <c r="D116" s="4" t="n">
        <v>0.6</v>
      </c>
      <c r="E116" s="4" t="n">
        <v>0.5263157894736842</v>
      </c>
      <c r="F116" s="23" t="n">
        <v>15</v>
      </c>
      <c r="G116" s="23" t="n">
        <v>17</v>
      </c>
      <c r="H116" s="23" t="n">
        <v>10</v>
      </c>
    </row>
    <row r="117"/>
    <row r="118" ht="32" customHeight="1">
      <c r="A118" s="1" t="inlineStr">
        <is>
          <t>两场景合并 F1：先汇总TP/FP/FN，不平均逐场景F1；不与8场景汇总比较</t>
        </is>
      </c>
    </row>
    <row r="119" ht="38" customHeight="1">
      <c r="A119" s="2" t="inlineStr">
        <is>
          <t>方法</t>
        </is>
      </c>
      <c r="B119" s="2" t="inlineStr">
        <is>
          <t>场景数</t>
        </is>
      </c>
      <c r="C119" s="2" t="inlineStr">
        <is>
          <t>Precision50</t>
        </is>
      </c>
      <c r="D119" s="2" t="inlineStr">
        <is>
          <t>Recall50</t>
        </is>
      </c>
      <c r="E119" s="2" t="inlineStr">
        <is>
          <t>F1@50</t>
        </is>
      </c>
      <c r="F119" s="2" t="inlineStr">
        <is>
          <t>TP50</t>
        </is>
      </c>
      <c r="G119" s="2" t="inlineStr">
        <is>
          <t>FP50</t>
        </is>
      </c>
      <c r="H119" s="2" t="inlineStr">
        <is>
          <t>FN50</t>
        </is>
      </c>
    </row>
    <row r="120" ht="28" customHeight="1">
      <c r="A120" s="3" t="inlineStr">
        <is>
          <t>v7_CLIP</t>
        </is>
      </c>
      <c r="B120" s="3" t="n">
        <v>2</v>
      </c>
      <c r="C120" s="4" t="n">
        <v>0.3855421686746988</v>
      </c>
      <c r="D120" s="4" t="n">
        <v>0.4923076923076923</v>
      </c>
      <c r="E120" s="4" t="n">
        <v>0.4324324324324325</v>
      </c>
      <c r="F120" s="23" t="n">
        <v>32</v>
      </c>
      <c r="G120" s="23" t="n">
        <v>51</v>
      </c>
      <c r="H120" s="23" t="n">
        <v>33</v>
      </c>
    </row>
    <row r="121" ht="28" customHeight="1">
      <c r="A121" s="3" t="inlineStr">
        <is>
          <t>OVI_MAP</t>
        </is>
      </c>
      <c r="B121" s="3" t="n">
        <v>2</v>
      </c>
      <c r="C121" s="4" t="n">
        <v>0.4366197183098591</v>
      </c>
      <c r="D121" s="4" t="n">
        <v>0.4769230769230769</v>
      </c>
      <c r="E121" s="4" t="n">
        <v>0.4558823529411765</v>
      </c>
      <c r="F121" s="23" t="n">
        <v>31</v>
      </c>
      <c r="G121" s="23" t="n">
        <v>40</v>
      </c>
      <c r="H121" s="23" t="n">
        <v>34</v>
      </c>
    </row>
    <row r="122" ht="28" customHeight="1">
      <c r="A122" s="3" t="inlineStr">
        <is>
          <t>v7_CLIP_no90</t>
        </is>
      </c>
      <c r="B122" s="3" t="n">
        <v>2</v>
      </c>
      <c r="C122" s="4" t="n">
        <v>0.4</v>
      </c>
      <c r="D122" s="4" t="n">
        <v>0.4923076923076923</v>
      </c>
      <c r="E122" s="4" t="n">
        <v>0.4413793103448276</v>
      </c>
      <c r="F122" s="23" t="n">
        <v>32</v>
      </c>
      <c r="G122" s="23" t="n">
        <v>48</v>
      </c>
      <c r="H122" s="23" t="n">
        <v>33</v>
      </c>
    </row>
    <row r="123"/>
    <row r="124" ht="42" customHeight="1">
      <c r="A124" s="1" t="inlineStr">
        <is>
          <t>结论：office1改善；room1部分退化。前端缓存和VLM环境不同，不能将变化全部归因于no90；语义文本矩阵为重建版本。</t>
        </is>
      </c>
    </row>
    <row r="125"/>
    <row r="126" ht="32" customHeight="1">
      <c r="A126" s="1" t="inlineStr">
        <is>
          <t>八场景统一v2主汇总：v7_CLIP_no90、v7_CLIP、OVI_MAP</t>
        </is>
      </c>
    </row>
    <row r="127" ht="38" customHeight="1">
      <c r="A127" s="2" t="inlineStr">
        <is>
          <t>方法</t>
        </is>
      </c>
      <c r="B127" s="2" t="inlineStr">
        <is>
          <t>场景数</t>
        </is>
      </c>
      <c r="C127" s="2" t="inlineStr">
        <is>
          <t>Inst. mIoU</t>
        </is>
      </c>
      <c r="D127" s="2" t="inlineStr">
        <is>
          <t>Inst. AP25</t>
        </is>
      </c>
      <c r="E127" s="2" t="inlineStr">
        <is>
          <t>Inst. AP50</t>
        </is>
      </c>
      <c r="F127" s="2" t="inlineStr">
        <is>
          <t>Inst. AP75</t>
        </is>
      </c>
      <c r="G127" s="2" t="inlineStr">
        <is>
          <t>Sem. mIoU</t>
        </is>
      </c>
      <c r="H127" s="2" t="inlineStr">
        <is>
          <t>Sem. AP25</t>
        </is>
      </c>
      <c r="I127" s="2" t="inlineStr">
        <is>
          <t>Sem. AP50</t>
        </is>
      </c>
      <c r="J127" s="2" t="inlineStr">
        <is>
          <t>mAcc</t>
        </is>
      </c>
      <c r="K127" s="2" t="inlineStr">
        <is>
          <t>Object Surface Coverage@5cm</t>
        </is>
      </c>
    </row>
    <row r="128" ht="28" customHeight="1">
      <c r="A128" s="3" t="inlineStr">
        <is>
          <t>v7_CLIP</t>
        </is>
      </c>
      <c r="B128" s="3" t="n">
        <v>8</v>
      </c>
      <c r="C128" s="4" t="n">
        <v>0.4395780469286663</v>
      </c>
      <c r="D128" s="4" t="n">
        <v>0.6033406577065344</v>
      </c>
      <c r="E128" s="4" t="n">
        <v>0.2918178937492031</v>
      </c>
      <c r="F128" s="4" t="n">
        <v>0.04064713397139101</v>
      </c>
      <c r="G128" s="4" t="n">
        <v>0.1365468126959448</v>
      </c>
      <c r="H128" s="4" t="n">
        <v>0.2056739744032219</v>
      </c>
      <c r="I128" s="4" t="n">
        <v>0.1531374726859488</v>
      </c>
      <c r="J128" s="4" t="n">
        <v>0.2582890361669045</v>
      </c>
      <c r="K128" s="4" t="n">
        <v>0.6982104297455811</v>
      </c>
    </row>
    <row r="129" ht="28" customHeight="1">
      <c r="A129" s="3" t="inlineStr">
        <is>
          <t>OVI_MAP</t>
        </is>
      </c>
      <c r="B129" s="3" t="n">
        <v>8</v>
      </c>
      <c r="C129" s="7" t="n">
        <v>0.4509652335629098</v>
      </c>
      <c r="D129" s="4" t="n">
        <v>0.6031480768303205</v>
      </c>
      <c r="E129" s="7" t="n">
        <v>0.2945340108429469</v>
      </c>
      <c r="F129" s="7" t="n">
        <v>0.05418073227963421</v>
      </c>
      <c r="G129" s="7" t="n">
        <v>0.1484184335713401</v>
      </c>
      <c r="H129" s="4" t="n">
        <v>0.2003790944434488</v>
      </c>
      <c r="I129" s="7" t="n">
        <v>0.1540223314866042</v>
      </c>
      <c r="J129" s="4" t="n">
        <v>0.2506381151637648</v>
      </c>
      <c r="K129" s="7" t="n">
        <v>0.7392752029015667</v>
      </c>
    </row>
    <row r="130" ht="28" customHeight="1">
      <c r="A130" s="3" t="inlineStr">
        <is>
          <t>v7_CLIP_no90</t>
        </is>
      </c>
      <c r="B130" s="3" t="n">
        <v>8</v>
      </c>
      <c r="C130" s="4" t="n">
        <v>0.4464282989521529</v>
      </c>
      <c r="D130" s="7" t="n">
        <v>0.6491839855658907</v>
      </c>
      <c r="E130" s="4" t="n">
        <v>0.2788803947900624</v>
      </c>
      <c r="F130" s="4" t="n">
        <v>0.04573676021283524</v>
      </c>
      <c r="G130" s="4" t="n">
        <v>0.142670839503796</v>
      </c>
      <c r="H130" s="7" t="n">
        <v>0.209645945064186</v>
      </c>
      <c r="I130" s="4" t="n">
        <v>0.147053824543099</v>
      </c>
      <c r="J130" s="7" t="n">
        <v>0.2607047739505304</v>
      </c>
      <c r="K130" s="4" t="n">
        <v>0.6823890693807582</v>
      </c>
    </row>
    <row r="131"/>
    <row r="132" ht="32" customHeight="1">
      <c r="A132" s="1" t="inlineStr">
        <is>
          <t>八场景诊断汇总：F1先汇总TP/FP/FN；IoU≥0.5，GT/预测≥100点</t>
        </is>
      </c>
    </row>
    <row r="133" ht="38" customHeight="1">
      <c r="A133" s="2" t="inlineStr">
        <is>
          <t>方法</t>
        </is>
      </c>
      <c r="B133" s="2" t="inlineStr">
        <is>
          <t>场景数</t>
        </is>
      </c>
      <c r="C133" s="2" t="inlineStr">
        <is>
          <t>一对一mIoU</t>
        </is>
      </c>
      <c r="D133" s="2" t="inlineStr">
        <is>
          <t>GT≥10点</t>
        </is>
      </c>
      <c r="E133" s="2" t="inlineStr">
        <is>
          <t>GT≥100点</t>
        </is>
      </c>
      <c r="F133" s="2" t="inlineStr">
        <is>
          <t>TP50</t>
        </is>
      </c>
      <c r="G133" s="2" t="inlineStr">
        <is>
          <t>FP50</t>
        </is>
      </c>
      <c r="H133" s="2" t="inlineStr">
        <is>
          <t>FN50</t>
        </is>
      </c>
      <c r="I133" s="2" t="inlineStr">
        <is>
          <t>Precision50</t>
        </is>
      </c>
      <c r="J133" s="2" t="inlineStr">
        <is>
          <t>Recall50</t>
        </is>
      </c>
      <c r="K133" s="2" t="inlineStr">
        <is>
          <t>F1@50</t>
        </is>
      </c>
    </row>
    <row r="134" ht="28" customHeight="1">
      <c r="A134" s="3" t="inlineStr">
        <is>
          <t>v7_CLIP</t>
        </is>
      </c>
      <c r="B134" s="3" t="n">
        <v>8</v>
      </c>
      <c r="C134" s="4" t="n">
        <v>0.4247674809398719</v>
      </c>
      <c r="D134" s="23" t="n">
        <v>367</v>
      </c>
      <c r="E134" s="23" t="n">
        <v>332</v>
      </c>
      <c r="F134" s="23" t="n">
        <v>155</v>
      </c>
      <c r="G134" s="23" t="n">
        <v>264</v>
      </c>
      <c r="H134" s="23" t="n">
        <v>177</v>
      </c>
      <c r="I134" s="4" t="n">
        <v>0.369928400954654</v>
      </c>
      <c r="J134" s="4" t="n">
        <v>0.466867469879518</v>
      </c>
      <c r="K134" s="4" t="n">
        <v>0.4127829560585886</v>
      </c>
    </row>
    <row r="135" ht="28" customHeight="1">
      <c r="A135" s="3" t="inlineStr">
        <is>
          <t>OVI_MAP</t>
        </is>
      </c>
      <c r="B135" s="3" t="n">
        <v>8</v>
      </c>
      <c r="C135" s="4" t="n">
        <v>0.4165294595790066</v>
      </c>
      <c r="D135" s="23" t="n">
        <v>367</v>
      </c>
      <c r="E135" s="23" t="n">
        <v>332</v>
      </c>
      <c r="F135" s="23" t="n">
        <v>151</v>
      </c>
      <c r="G135" s="23" t="n">
        <v>185</v>
      </c>
      <c r="H135" s="23" t="n">
        <v>181</v>
      </c>
      <c r="I135" s="4" t="n">
        <v>0.4494047619047619</v>
      </c>
      <c r="J135" s="4" t="n">
        <v>0.4548192771084337</v>
      </c>
      <c r="K135" s="4" t="n">
        <v>0.4520958083832335</v>
      </c>
    </row>
    <row r="136" ht="28" customHeight="1">
      <c r="A136" s="3" t="inlineStr">
        <is>
          <t>v7_CLIP_no90</t>
        </is>
      </c>
      <c r="B136" s="3" t="n">
        <v>8</v>
      </c>
      <c r="C136" s="4" t="n">
        <v>0.4391556613421652</v>
      </c>
      <c r="D136" s="23" t="n">
        <v>367</v>
      </c>
      <c r="E136" s="23" t="n">
        <v>332</v>
      </c>
      <c r="F136" s="23" t="n">
        <v>151</v>
      </c>
      <c r="G136" s="23" t="n">
        <v>276</v>
      </c>
      <c r="H136" s="23" t="n">
        <v>181</v>
      </c>
      <c r="I136" s="4" t="n">
        <v>0.3536299765807963</v>
      </c>
      <c r="J136" s="4" t="n">
        <v>0.4548192771084337</v>
      </c>
      <c r="K136" s="4" t="n">
        <v>0.3978919631093544</v>
      </c>
    </row>
    <row r="137"/>
    <row r="138" ht="32" customHeight="1">
      <c r="A138" s="1" t="inlineStr">
        <is>
          <t>八场景等权均值：另列参考，不与上方联合AP/加权汇总混用</t>
        </is>
      </c>
    </row>
    <row r="139" ht="38" customHeight="1">
      <c r="A139" s="2" t="inlineStr">
        <is>
          <t>方法</t>
        </is>
      </c>
      <c r="B139" s="2" t="inlineStr">
        <is>
          <t>场景数</t>
        </is>
      </c>
      <c r="C139" s="2" t="inlineStr">
        <is>
          <t>Inst. mIoU</t>
        </is>
      </c>
      <c r="D139" s="2" t="inlineStr">
        <is>
          <t>Inst. AP25</t>
        </is>
      </c>
      <c r="E139" s="2" t="inlineStr">
        <is>
          <t>Inst. AP50</t>
        </is>
      </c>
      <c r="F139" s="2" t="inlineStr">
        <is>
          <t>Inst. AP75</t>
        </is>
      </c>
      <c r="G139" s="2" t="inlineStr">
        <is>
          <t>Sem. mIoU</t>
        </is>
      </c>
      <c r="H139" s="2" t="inlineStr">
        <is>
          <t>Sem. AP25</t>
        </is>
      </c>
      <c r="I139" s="2" t="inlineStr">
        <is>
          <t>Sem. AP50</t>
        </is>
      </c>
      <c r="J139" s="2" t="inlineStr">
        <is>
          <t>mAcc</t>
        </is>
      </c>
      <c r="K139" s="2" t="inlineStr">
        <is>
          <t>Object Surface Coverage@5cm</t>
        </is>
      </c>
    </row>
    <row r="140" ht="28" customHeight="1">
      <c r="A140" s="3" t="inlineStr">
        <is>
          <t>v7_CLIP</t>
        </is>
      </c>
      <c r="B140" s="3" t="n">
        <v>8</v>
      </c>
      <c r="C140" s="4" t="n">
        <v>0.440059129447801</v>
      </c>
      <c r="D140" s="4" t="n">
        <v>0.6303999981943544</v>
      </c>
      <c r="E140" s="4" t="n">
        <v>0.306565335459004</v>
      </c>
      <c r="F140" s="4" t="n">
        <v>0.06256328639243156</v>
      </c>
      <c r="G140" s="4" t="n">
        <v>0.1450632981659993</v>
      </c>
      <c r="H140" s="4" t="n">
        <v>0.2496262126691388</v>
      </c>
      <c r="I140" s="4" t="n">
        <v>0.1921757739249197</v>
      </c>
      <c r="J140" s="4" t="n">
        <v>0.2349464298615404</v>
      </c>
      <c r="K140" s="4" t="n">
        <v>0.6956877726342059</v>
      </c>
    </row>
    <row r="141" ht="28" customHeight="1">
      <c r="A141" s="3" t="inlineStr">
        <is>
          <t>OVI_MAP</t>
        </is>
      </c>
      <c r="B141" s="3" t="n">
        <v>8</v>
      </c>
      <c r="C141" s="4" t="n">
        <v>0.451764621821156</v>
      </c>
      <c r="D141" s="4" t="n">
        <v>0.6145390314440289</v>
      </c>
      <c r="E141" s="4" t="n">
        <v>0.3108923911217526</v>
      </c>
      <c r="F141" s="4" t="n">
        <v>0.07038915311398058</v>
      </c>
      <c r="G141" s="4" t="n">
        <v>0.1690665450783843</v>
      </c>
      <c r="H141" s="4" t="n">
        <v>0.2392868765752245</v>
      </c>
      <c r="I141" s="4" t="n">
        <v>0.1717109029223084</v>
      </c>
      <c r="J141" s="4" t="n">
        <v>0.2397452325887914</v>
      </c>
      <c r="K141" s="4" t="n">
        <v>0.7430174392558671</v>
      </c>
    </row>
    <row r="142" ht="28" customHeight="1">
      <c r="A142" s="3" t="inlineStr">
        <is>
          <t>v7_CLIP_no90</t>
        </is>
      </c>
      <c r="B142" s="3" t="n">
        <v>8</v>
      </c>
      <c r="C142" s="4" t="n">
        <v>0.445384509272863</v>
      </c>
      <c r="D142" s="4" t="n">
        <v>0.6665195837442621</v>
      </c>
      <c r="E142" s="4" t="n">
        <v>0.2948527185634708</v>
      </c>
      <c r="F142" s="4" t="n">
        <v>0.0636622193559743</v>
      </c>
      <c r="G142" s="4" t="n">
        <v>0.1440193338879558</v>
      </c>
      <c r="H142" s="4" t="n">
        <v>0.2440715238671306</v>
      </c>
      <c r="I142" s="4" t="n">
        <v>0.1827796578137632</v>
      </c>
      <c r="J142" s="4" t="n">
        <v>0.2335524382837495</v>
      </c>
      <c r="K142" s="4" t="n">
        <v>0.6785720731828897</v>
      </c>
    </row>
    <row r="143"/>
    <row r="144" ht="32" customHeight="1">
      <c r="A144" s="1" t="inlineStr">
        <is>
          <t>逐场景F1@50及no90变化（Δ单位：百分点）</t>
        </is>
      </c>
    </row>
    <row r="145" ht="38" customHeight="1">
      <c r="A145" s="2" t="inlineStr">
        <is>
          <t>场景</t>
        </is>
      </c>
      <c r="B145" s="2" t="inlineStr">
        <is>
          <t>v7_CLIP</t>
        </is>
      </c>
      <c r="C145" s="2" t="inlineStr">
        <is>
          <t>OVI_MAP</t>
        </is>
      </c>
      <c r="D145" s="2" t="inlineStr">
        <is>
          <t>v7_CLIP_no90</t>
        </is>
      </c>
      <c r="E145" s="2" t="inlineStr">
        <is>
          <t>Δ v7_CLIP</t>
        </is>
      </c>
      <c r="F145" s="2" t="inlineStr">
        <is>
          <t>Δ OVI_MAP</t>
        </is>
      </c>
    </row>
    <row r="146" ht="28" customHeight="1">
      <c r="A146" s="3" t="inlineStr">
        <is>
          <t>room0</t>
        </is>
      </c>
      <c r="B146" s="4" t="n">
        <v>0.5106382978723404</v>
      </c>
      <c r="C146" s="4" t="n">
        <v>0.5483870967741935</v>
      </c>
      <c r="D146" s="4" t="n">
        <v>0.4761904761904762</v>
      </c>
      <c r="E146" s="25" t="n">
        <v>-3.444782168186422</v>
      </c>
      <c r="F146" s="25" t="n">
        <v>-7.219662058371734</v>
      </c>
    </row>
    <row r="147" ht="28" customHeight="1">
      <c r="A147" s="3" t="inlineStr">
        <is>
          <t>room1</t>
        </is>
      </c>
      <c r="B147" s="4" t="n">
        <v>0.3870967741935484</v>
      </c>
      <c r="C147" s="4" t="n">
        <v>0.475</v>
      </c>
      <c r="D147" s="4" t="n">
        <v>0.3863636363636364</v>
      </c>
      <c r="E147" s="25" t="n">
        <v>-0.07331378299120228</v>
      </c>
      <c r="F147" s="25" t="n">
        <v>-8.863636363636363</v>
      </c>
    </row>
    <row r="148" ht="28" customHeight="1">
      <c r="A148" s="3" t="inlineStr">
        <is>
          <t>room2</t>
        </is>
      </c>
      <c r="B148" s="4" t="n">
        <v>0.3673469387755102</v>
      </c>
      <c r="C148" s="4" t="n">
        <v>0.4946236559139785</v>
      </c>
      <c r="D148" s="4" t="n">
        <v>0.3469387755102041</v>
      </c>
      <c r="E148" s="25" t="n">
        <v>-2.040816326530615</v>
      </c>
      <c r="F148" s="25" t="n">
        <v>-14.76848804037744</v>
      </c>
    </row>
    <row r="149" ht="28" customHeight="1">
      <c r="A149" s="3" t="inlineStr">
        <is>
          <t>office0</t>
        </is>
      </c>
      <c r="B149" s="4" t="n">
        <v>0.2941176470588235</v>
      </c>
      <c r="C149" s="4" t="n">
        <v>0.3928571428571428</v>
      </c>
      <c r="D149" s="4" t="n">
        <v>0.3333333333333333</v>
      </c>
      <c r="E149" s="25" t="n">
        <v>3.921568627450978</v>
      </c>
      <c r="F149" s="25" t="n">
        <v>-5.952380952380953</v>
      </c>
    </row>
    <row r="150" ht="28" customHeight="1">
      <c r="A150" s="3" t="inlineStr">
        <is>
          <t>office1</t>
        </is>
      </c>
      <c r="B150" s="4" t="n">
        <v>0.509090909090909</v>
      </c>
      <c r="C150" s="4" t="n">
        <v>0.4285714285714285</v>
      </c>
      <c r="D150" s="4" t="n">
        <v>0.5263157894736842</v>
      </c>
      <c r="E150" s="25" t="n">
        <v>1.722488038277514</v>
      </c>
      <c r="F150" s="25" t="n">
        <v>9.774436090225564</v>
      </c>
    </row>
    <row r="151" ht="28" customHeight="1">
      <c r="A151" s="3" t="inlineStr">
        <is>
          <t>office2</t>
        </is>
      </c>
      <c r="B151" s="4" t="n">
        <v>0.4</v>
      </c>
      <c r="C151" s="4" t="n">
        <v>0.4523809523809524</v>
      </c>
      <c r="D151" s="4" t="n">
        <v>0.3711340206185567</v>
      </c>
      <c r="E151" s="25" t="n">
        <v>-2.886597938144331</v>
      </c>
      <c r="F151" s="25" t="n">
        <v>-8.124693176239568</v>
      </c>
    </row>
    <row r="152" ht="28" customHeight="1">
      <c r="A152" s="3" t="inlineStr">
        <is>
          <t>office3</t>
        </is>
      </c>
      <c r="B152" s="4" t="n">
        <v>0.45</v>
      </c>
      <c r="C152" s="4" t="n">
        <v>0.4190476190476191</v>
      </c>
      <c r="D152" s="4" t="n">
        <v>0.4193548387096774</v>
      </c>
      <c r="E152" s="25" t="n">
        <v>-3.064516129032258</v>
      </c>
      <c r="F152" s="25" t="n">
        <v>0.03072196620583778</v>
      </c>
    </row>
    <row r="153" ht="28" customHeight="1">
      <c r="A153" s="3" t="inlineStr">
        <is>
          <t>office4</t>
        </is>
      </c>
      <c r="B153" s="4" t="n">
        <v>0.3209876543209876</v>
      </c>
      <c r="C153" s="4" t="n">
        <v>0.3142857142857143</v>
      </c>
      <c r="D153" s="4" t="n">
        <v>0.2926829268292683</v>
      </c>
      <c r="E153" s="25" t="n">
        <v>-2.830472749171936</v>
      </c>
      <c r="F153" s="25" t="n">
        <v>-2.1602787456446</v>
      </c>
    </row>
    <row r="154"/>
    <row r="155" ht="32" customHeight="1">
      <c r="A155" s="1" t="inlineStr">
        <is>
          <t>八场景覆盖与地图规模（对象数量为各场景相加）</t>
        </is>
      </c>
    </row>
    <row r="156" ht="38" customHeight="1">
      <c r="A156" s="2" t="inlineStr">
        <is>
          <t>方法</t>
        </is>
      </c>
      <c r="B156" s="2" t="inlineStr">
        <is>
          <t>场景数</t>
        </is>
      </c>
      <c r="C156" s="2" t="inlineStr">
        <is>
          <t>语义覆盖率</t>
        </is>
      </c>
      <c r="D156" s="2" t="inlineStr">
        <is>
          <t>全网格覆盖率</t>
        </is>
      </c>
      <c r="E156" s="2" t="inlineStr">
        <is>
          <t>对象数</t>
        </is>
      </c>
      <c r="F156" s="2" t="inlineStr">
        <is>
          <t>零支持对象</t>
        </is>
      </c>
      <c r="G156" s="2" t="inlineStr">
        <is>
          <t>1–99点对象</t>
        </is>
      </c>
    </row>
    <row r="157" ht="28" customHeight="1">
      <c r="A157" s="3" t="inlineStr">
        <is>
          <t>v7_CLIP</t>
        </is>
      </c>
      <c r="B157" s="3" t="n">
        <v>8</v>
      </c>
      <c r="C157" s="4" t="n">
        <v>0.6651006769512025</v>
      </c>
      <c r="D157" s="4" t="n">
        <v>0.6682414479913458</v>
      </c>
      <c r="E157" s="23" t="n">
        <v>441</v>
      </c>
      <c r="F157" s="23" t="n">
        <v>0</v>
      </c>
      <c r="G157" s="23" t="n">
        <v>22</v>
      </c>
    </row>
    <row r="158" ht="28" customHeight="1">
      <c r="A158" s="3" t="inlineStr">
        <is>
          <t>OVI_MAP</t>
        </is>
      </c>
      <c r="B158" s="3" t="n">
        <v>8</v>
      </c>
      <c r="C158" s="4" t="n">
        <v>0.8360421672173848</v>
      </c>
      <c r="D158" s="4" t="n">
        <v>0.8330429516481155</v>
      </c>
      <c r="E158" s="23" t="n">
        <v>479</v>
      </c>
      <c r="F158" s="23" t="n">
        <v>30</v>
      </c>
      <c r="G158" s="23" t="n">
        <v>113</v>
      </c>
    </row>
    <row r="159" ht="28" customHeight="1">
      <c r="A159" s="3" t="inlineStr">
        <is>
          <t>v7_CLIP_no90</t>
        </is>
      </c>
      <c r="B159" s="3" t="n">
        <v>8</v>
      </c>
      <c r="C159" s="4" t="n">
        <v>0.6358471984759246</v>
      </c>
      <c r="D159" s="4" t="n">
        <v>0.6402030501451647</v>
      </c>
      <c r="E159" s="23" t="n">
        <v>476</v>
      </c>
      <c r="F159" s="23" t="n">
        <v>1</v>
      </c>
      <c r="G159" s="23" t="n">
        <v>48</v>
      </c>
    </row>
    <row r="160"/>
    <row r="161" ht="32" customHeight="1">
      <c r="A161" s="1" t="inlineStr">
        <is>
          <t>八场景成本：硬件和查询类型不同，不计算加速比；时长为各场景相加</t>
        </is>
      </c>
    </row>
    <row r="162" ht="38" customHeight="1">
      <c r="A162" s="2" t="inlineStr">
        <is>
          <t>方法</t>
        </is>
      </c>
      <c r="B162" s="2" t="inlineStr">
        <is>
          <t>采样帧数</t>
        </is>
      </c>
      <c r="C162" s="2" t="inlineStr">
        <is>
          <t>原生查询数</t>
        </is>
      </c>
      <c r="D162" s="2" t="inlineStr">
        <is>
          <t>总运行小时</t>
        </is>
      </c>
      <c r="E162" s="2" t="inlineStr">
        <is>
          <t>秒/采样帧</t>
        </is>
      </c>
      <c r="F162" s="2" t="inlineStr">
        <is>
          <t>评测耗时秒</t>
        </is>
      </c>
    </row>
    <row r="163" ht="28" customHeight="1">
      <c r="A163" s="3" t="inlineStr">
        <is>
          <t>v7_CLIP</t>
        </is>
      </c>
      <c r="B163" s="23" t="n">
        <v>3200</v>
      </c>
      <c r="C163" s="23" t="n">
        <v>9107</v>
      </c>
      <c r="D163" s="26" t="n">
        <v>12.72066180833333</v>
      </c>
      <c r="E163" s="26" t="n">
        <v>14.310744534375</v>
      </c>
      <c r="F163" s="26" t="n">
        <v>148.5428547430784</v>
      </c>
    </row>
    <row r="164" ht="28" customHeight="1">
      <c r="A164" s="3" t="inlineStr">
        <is>
          <t>OVI_MAP</t>
        </is>
      </c>
      <c r="B164" s="23" t="n">
        <v>3200</v>
      </c>
      <c r="C164" s="23" t="n">
        <v>5098</v>
      </c>
      <c r="D164" s="26" t="n">
        <v>4.341441666666666</v>
      </c>
      <c r="E164" s="26" t="n">
        <v>4.884121875</v>
      </c>
      <c r="F164" s="26" t="n">
        <v>181.2787286927924</v>
      </c>
    </row>
    <row r="165" ht="28" customHeight="1">
      <c r="A165" s="3" t="inlineStr">
        <is>
          <t>v7_CLIP_no90</t>
        </is>
      </c>
      <c r="B165" s="23" t="n">
        <v>3200</v>
      </c>
      <c r="C165" s="23" t="n">
        <v>12706</v>
      </c>
      <c r="D165" s="26" t="n">
        <v>13.72438323888889</v>
      </c>
      <c r="E165" s="26" t="n">
        <v>15.43993114375</v>
      </c>
      <c r="F165" s="26" t="n">
        <v>120.0077314618975</v>
      </c>
    </row>
    <row r="166"/>
    <row r="167" ht="48" customHeight="1">
      <c r="A167" s="1" t="inlineStr">
        <is>
          <t>结论：no90的实例mIoU/AP25提高，但AP50、F1和对象覆盖率下降，不能认定整体改善。前端缓存、VLM与文本特征差异见评估说明。</t>
        </is>
      </c>
    </row>
    <row r="168"/>
    <row r="169"/>
    <row r="170" ht="32" customHeight="1">
      <c r="A170" s="1" t="inlineStr">
        <is>
          <t>v7_CLIP_no90_new：八景联合三方比较（2026-09-13）</t>
        </is>
      </c>
    </row>
    <row r="171" ht="42" customHeight="1">
      <c r="A171" s="30" t="inlineStr">
        <is>
          <t>方法</t>
        </is>
      </c>
      <c r="B171" s="30" t="inlineStr">
        <is>
          <t>场景数</t>
        </is>
      </c>
      <c r="C171" s="30" t="inlineStr">
        <is>
          <t>Inst. mIoU</t>
        </is>
      </c>
      <c r="D171" s="30" t="inlineStr">
        <is>
          <t>Inst. AP25</t>
        </is>
      </c>
      <c r="E171" s="30" t="inlineStr">
        <is>
          <t>Inst. AP50</t>
        </is>
      </c>
      <c r="F171" s="30" t="inlineStr">
        <is>
          <t>Inst. AP75</t>
        </is>
      </c>
      <c r="G171" s="30" t="inlineStr">
        <is>
          <t>Sem. mIoU</t>
        </is>
      </c>
      <c r="H171" s="30" t="inlineStr">
        <is>
          <t>Sem. AP25</t>
        </is>
      </c>
      <c r="I171" s="30" t="inlineStr">
        <is>
          <t>Sem. AP50</t>
        </is>
      </c>
      <c r="J171" s="30" t="inlineStr">
        <is>
          <t>mAcc</t>
        </is>
      </c>
      <c r="K171" s="30" t="inlineStr">
        <is>
          <t>Object Surface Coverage@5cm</t>
        </is>
      </c>
    </row>
    <row r="172" ht="42" customHeight="1">
      <c r="A172" s="31" t="inlineStr">
        <is>
          <t>v7_CLIP_no90_new</t>
        </is>
      </c>
      <c r="B172" s="32" t="n">
        <v>8</v>
      </c>
      <c r="C172" s="33" t="n">
        <v>0.437177937310272</v>
      </c>
      <c r="D172" s="33" t="n">
        <v>0.6280822491536393</v>
      </c>
      <c r="E172" s="33" t="n">
        <v>0.2676704162458044</v>
      </c>
      <c r="F172" s="33" t="n">
        <v>0.04485899497334866</v>
      </c>
      <c r="G172" s="33" t="n">
        <v>0.1281746444190175</v>
      </c>
      <c r="H172" s="33" t="n">
        <v>0.2009993251522546</v>
      </c>
      <c r="I172" s="33" t="n">
        <v>0.1240278965065263</v>
      </c>
      <c r="J172" s="33" t="n">
        <v>0.2331512687500948</v>
      </c>
      <c r="K172" s="33" t="n">
        <v>0.6793257089882997</v>
      </c>
    </row>
    <row r="173" ht="42" customHeight="1">
      <c r="A173" s="27" t="inlineStr">
        <is>
          <t>v7_CLIP_no90</t>
        </is>
      </c>
      <c r="B173" s="28" t="n">
        <v>8</v>
      </c>
      <c r="C173" s="14" t="n">
        <v>0.4464282989521529</v>
      </c>
      <c r="D173" s="14" t="n">
        <v>0.6491839855658907</v>
      </c>
      <c r="E173" s="14" t="n">
        <v>0.2788803947900624</v>
      </c>
      <c r="F173" s="14" t="n">
        <v>0.04573676021283524</v>
      </c>
      <c r="G173" s="14" t="n">
        <v>0.142670839503796</v>
      </c>
      <c r="H173" s="14" t="n">
        <v>0.209645945064186</v>
      </c>
      <c r="I173" s="14" t="n">
        <v>0.147053824543099</v>
      </c>
      <c r="J173" s="14" t="n">
        <v>0.2607047739505304</v>
      </c>
      <c r="K173" s="14" t="n">
        <v>0.6823890693807582</v>
      </c>
    </row>
    <row r="174" ht="42" customHeight="1">
      <c r="A174" s="31" t="inlineStr">
        <is>
          <t>OVI_MAP</t>
        </is>
      </c>
      <c r="B174" s="32" t="n">
        <v>8</v>
      </c>
      <c r="C174" s="33" t="n">
        <v>0.4509652335629098</v>
      </c>
      <c r="D174" s="33" t="n">
        <v>0.6031480768303205</v>
      </c>
      <c r="E174" s="33" t="n">
        <v>0.2945340108429469</v>
      </c>
      <c r="F174" s="33" t="n">
        <v>0.05418073227963421</v>
      </c>
      <c r="G174" s="33" t="n">
        <v>0.1484184335713401</v>
      </c>
      <c r="H174" s="33" t="n">
        <v>0.2003790944434488</v>
      </c>
      <c r="I174" s="33" t="n">
        <v>0.1540223314866042</v>
      </c>
      <c r="J174" s="33" t="n">
        <v>0.2506381151637648</v>
      </c>
      <c r="K174" s="33" t="n">
        <v>0.7392752029015667</v>
      </c>
    </row>
    <row r="176" ht="30" customHeight="1">
      <c r="A176" s="1" t="inlineStr">
        <is>
          <t>room2 单场景比较（2026-09-14，不计入八场景联合）</t>
        </is>
      </c>
    </row>
    <row r="177" ht="38" customHeight="1">
      <c r="A177" s="2" t="inlineStr">
        <is>
          <t>方法</t>
        </is>
      </c>
      <c r="B177" s="2" t="inlineStr">
        <is>
          <t>场景数</t>
        </is>
      </c>
      <c r="C177" s="2" t="inlineStr">
        <is>
          <t>Inst. mIoU</t>
        </is>
      </c>
      <c r="D177" s="2" t="inlineStr">
        <is>
          <t>Inst. AP25</t>
        </is>
      </c>
      <c r="E177" s="2" t="inlineStr">
        <is>
          <t>Inst. AP50</t>
        </is>
      </c>
      <c r="F177" s="2" t="inlineStr">
        <is>
          <t>Inst. AP75</t>
        </is>
      </c>
      <c r="G177" s="2" t="inlineStr">
        <is>
          <t>Sem. mIoU</t>
        </is>
      </c>
      <c r="H177" s="2" t="inlineStr">
        <is>
          <t>Sem. AP25</t>
        </is>
      </c>
      <c r="I177" s="2" t="inlineStr">
        <is>
          <t>Sem. AP50</t>
        </is>
      </c>
      <c r="J177" s="2" t="inlineStr">
        <is>
          <t>mAcc</t>
        </is>
      </c>
      <c r="K177" s="2" t="inlineStr">
        <is>
          <t>Object Surface Coverage@5cm</t>
        </is>
      </c>
    </row>
    <row r="178" ht="32" customHeight="1">
      <c r="A178" s="12" t="inlineStr">
        <is>
          <t>v7_CLIP_must</t>
        </is>
      </c>
      <c r="B178" s="50" t="n">
        <v>1</v>
      </c>
      <c r="C178" s="16" t="n">
        <v>0.4097102167876197</v>
      </c>
      <c r="D178" s="16" t="n">
        <v>0.6139600756609889</v>
      </c>
      <c r="E178" s="16" t="n">
        <v>0.1778919969698995</v>
      </c>
      <c r="F178" s="16" t="n">
        <v>0.003221040189125295</v>
      </c>
      <c r="G178" s="16" t="n">
        <v>0.1237352192039817</v>
      </c>
      <c r="H178" s="16" t="n">
        <v>0.221875</v>
      </c>
      <c r="I178" s="16" t="n">
        <v>0.07801339285714286</v>
      </c>
      <c r="J178" s="16" t="n">
        <v>0.2190871725328969</v>
      </c>
      <c r="K178" s="16" t="n">
        <v>0.6730189345101452</v>
      </c>
    </row>
    <row r="179" ht="32" customHeight="1">
      <c r="A179" s="12" t="inlineStr">
        <is>
          <t>v7_CLIP</t>
        </is>
      </c>
      <c r="B179" s="50" t="n">
        <v>1</v>
      </c>
      <c r="C179" s="16" t="n">
        <v>0.399339036463037</v>
      </c>
      <c r="D179" s="16" t="n">
        <v>0.5420953523934778</v>
      </c>
      <c r="E179" s="16" t="n">
        <v>0.2312408736060368</v>
      </c>
      <c r="F179" s="16" t="n">
        <v>0.003102836879432624</v>
      </c>
      <c r="G179" s="16" t="n">
        <v>0.1308147558568227</v>
      </c>
      <c r="H179" s="16" t="n">
        <v>0.2231770833333333</v>
      </c>
      <c r="I179" s="16" t="n">
        <v>0.1415364583333333</v>
      </c>
      <c r="J179" s="16" t="n">
        <v>0.2586783808982117</v>
      </c>
      <c r="K179" s="16" t="n">
        <v>0.673829564950017</v>
      </c>
    </row>
    <row r="180" ht="32" customHeight="1">
      <c r="A180" s="12" t="inlineStr">
        <is>
          <t>OVI_MAP</t>
        </is>
      </c>
      <c r="B180" s="50" t="n">
        <v>1</v>
      </c>
      <c r="C180" s="16" t="n">
        <v>0.443249387360472</v>
      </c>
      <c r="D180" s="16" t="n">
        <v>0.6197058352643331</v>
      </c>
      <c r="E180" s="16" t="n">
        <v>0.3341814643965065</v>
      </c>
      <c r="F180" s="16" t="n">
        <v>0.03961998917726232</v>
      </c>
      <c r="G180" s="16" t="n">
        <v>0.1756290492721754</v>
      </c>
      <c r="H180" s="16" t="n">
        <v>0.1869791666666666</v>
      </c>
      <c r="I180" s="16" t="n">
        <v>0.16875</v>
      </c>
      <c r="J180" s="16" t="n">
        <v>0.2591181619919237</v>
      </c>
      <c r="K180" s="16" t="n">
        <v>0.7365625775252711</v>
      </c>
    </row>
  </sheetData>
  <mergeCells count="36">
    <mergeCell ref="A176:K176"/>
    <mergeCell ref="A167:K167"/>
    <mergeCell ref="A39:K39"/>
    <mergeCell ref="A77:K77"/>
    <mergeCell ref="A59:K59"/>
    <mergeCell ref="A73:K73"/>
    <mergeCell ref="A51:K51"/>
    <mergeCell ref="A138:K138"/>
    <mergeCell ref="A132:K132"/>
    <mergeCell ref="A45:K45"/>
    <mergeCell ref="A1:K1"/>
    <mergeCell ref="A103:K103"/>
    <mergeCell ref="A61:K61"/>
    <mergeCell ref="A124:K124"/>
    <mergeCell ref="A118:K118"/>
    <mergeCell ref="A75:K75"/>
    <mergeCell ref="A37:K37"/>
    <mergeCell ref="A27:K27"/>
    <mergeCell ref="A12:K12"/>
    <mergeCell ref="A57:K57"/>
    <mergeCell ref="A95:K95"/>
    <mergeCell ref="A2:K2"/>
    <mergeCell ref="A85:K85"/>
    <mergeCell ref="A126:K126"/>
    <mergeCell ref="A144:K144"/>
    <mergeCell ref="A91:K91"/>
    <mergeCell ref="A97:K97"/>
    <mergeCell ref="A109:K109"/>
    <mergeCell ref="A29:K29"/>
    <mergeCell ref="A19:K19"/>
    <mergeCell ref="A170:K170"/>
    <mergeCell ref="A10:K10"/>
    <mergeCell ref="A155:K155"/>
    <mergeCell ref="A161:K161"/>
    <mergeCell ref="A93:K93"/>
    <mergeCell ref="A67:K67"/>
  </mergeCells>
  <pageMargins left="0.75" right="0.75" top="1" bottom="1" header="0.5" footer="0.5"/>
  <pageSetup orientation="landscape" paperSize="8" fitToHeight="0" fitToWidth="1"/>
  <rowBreaks count="2" manualBreakCount="2">
    <brk id="38" min="0" max="16383" man="1"/>
    <brk id="6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18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</cols>
  <sheetData>
    <row r="1" ht="30" customHeight="1">
      <c r="A1" s="1" t="inlineStr">
        <is>
          <t>逐场景结果（v2）</t>
        </is>
      </c>
    </row>
    <row r="2" ht="30" customHeight="1">
      <c r="A2" s="1" t="inlineStr">
        <is>
          <t>主 mIoU：每个 GT 独立最大 IoU，GT&gt;=10点；AP：GT/预测&gt;=100点。完整规则见评估说明。</t>
        </is>
      </c>
    </row>
    <row r="3"/>
    <row r="4" ht="38" customHeight="1">
      <c r="A4" s="2" t="inlineStr">
        <is>
          <t>场景</t>
        </is>
      </c>
      <c r="B4" s="2" t="inlineStr">
        <is>
          <t>方法</t>
        </is>
      </c>
      <c r="C4" s="2" t="inlineStr">
        <is>
          <t>Inst. mIoU</t>
        </is>
      </c>
      <c r="D4" s="2" t="inlineStr">
        <is>
          <t>Inst. AP25</t>
        </is>
      </c>
      <c r="E4" s="2" t="inlineStr">
        <is>
          <t>Inst. AP50</t>
        </is>
      </c>
      <c r="F4" s="2" t="inlineStr">
        <is>
          <t>Inst. AP75</t>
        </is>
      </c>
      <c r="G4" s="2" t="inlineStr">
        <is>
          <t>Sem. mIoU</t>
        </is>
      </c>
      <c r="H4" s="2" t="inlineStr">
        <is>
          <t>Sem. AP25</t>
        </is>
      </c>
      <c r="I4" s="2" t="inlineStr">
        <is>
          <t>Sem. AP50</t>
        </is>
      </c>
      <c r="J4" s="2" t="inlineStr">
        <is>
          <t>mAcc</t>
        </is>
      </c>
      <c r="K4" s="2" t="inlineStr">
        <is>
          <t>Object Surface Coverage@5cm</t>
        </is>
      </c>
    </row>
    <row r="5" ht="28" customHeight="1">
      <c r="A5" s="3" t="inlineStr">
        <is>
          <t>room0</t>
        </is>
      </c>
      <c r="B5" s="3" t="inlineStr">
        <is>
          <t>Baseline_gateoff</t>
        </is>
      </c>
      <c r="C5" s="4" t="n">
        <v>0.4566818855574561</v>
      </c>
      <c r="D5" s="7" t="n">
        <v>0.6399740513829686</v>
      </c>
      <c r="E5" s="4" t="n">
        <v>0.3107075875659532</v>
      </c>
      <c r="F5" s="4" t="n">
        <v>0.05040682999194148</v>
      </c>
      <c r="G5" s="4" t="n">
        <v>0.1469110799950082</v>
      </c>
      <c r="H5" s="4" t="n">
        <v>0.2497519841269841</v>
      </c>
      <c r="I5" s="4" t="n">
        <v>0.2281746031746032</v>
      </c>
      <c r="J5" s="4" t="n">
        <v>0.235854646973188</v>
      </c>
      <c r="K5" s="4" t="n">
        <v>0.7942460632075451</v>
      </c>
    </row>
    <row r="6" ht="28" customHeight="1">
      <c r="A6" s="5" t="inlineStr">
        <is>
          <t>room0</t>
        </is>
      </c>
      <c r="B6" s="5" t="inlineStr">
        <is>
          <t>v7_CLIP</t>
        </is>
      </c>
      <c r="C6" s="6" t="n">
        <v>0.4459973845205167</v>
      </c>
      <c r="D6" s="6" t="n">
        <v>0.5796719003160379</v>
      </c>
      <c r="E6" s="7" t="n">
        <v>0.3890281657883834</v>
      </c>
      <c r="F6" s="6" t="n">
        <v>0.05225624652684709</v>
      </c>
      <c r="G6" s="6" t="n">
        <v>0.1786878237913492</v>
      </c>
      <c r="H6" s="6" t="n">
        <v>0.3083457341269841</v>
      </c>
      <c r="I6" s="7" t="n">
        <v>0.3010912698412698</v>
      </c>
      <c r="J6" s="6" t="n">
        <v>0.2842225158085255</v>
      </c>
      <c r="K6" s="6" t="n">
        <v>0.7851162333645254</v>
      </c>
    </row>
    <row r="7" ht="28" customHeight="1">
      <c r="A7" s="3" t="inlineStr">
        <is>
          <t>room0</t>
        </is>
      </c>
      <c r="B7" s="3" t="inlineStr">
        <is>
          <t>OVI_MAP</t>
        </is>
      </c>
      <c r="C7" s="4" t="n">
        <v>0.461697466047436</v>
      </c>
      <c r="D7" s="4" t="n">
        <v>0.5578941898535368</v>
      </c>
      <c r="E7" s="4" t="n">
        <v>0.3386461133042409</v>
      </c>
      <c r="F7" s="4" t="n">
        <v>0.06555361648153979</v>
      </c>
      <c r="G7" s="4" t="n">
        <v>0.1978566868964842</v>
      </c>
      <c r="H7" s="4" t="n">
        <v>0.2691592261904762</v>
      </c>
      <c r="I7" s="4" t="n">
        <v>0.2202380952380952</v>
      </c>
      <c r="J7" s="4" t="n">
        <v>0.2623306230248453</v>
      </c>
      <c r="K7" s="7" t="n">
        <v>0.8109848290278563</v>
      </c>
    </row>
    <row r="8" ht="28" customHeight="1">
      <c r="A8" s="5" t="inlineStr">
        <is>
          <t>room0</t>
        </is>
      </c>
      <c r="B8" s="5" t="inlineStr">
        <is>
          <t>ali_my</t>
        </is>
      </c>
      <c r="C8" s="6" t="n">
        <v>0.3637402590649125</v>
      </c>
      <c r="D8" s="6" t="n">
        <v>0.4257461073838992</v>
      </c>
      <c r="E8" s="6" t="n">
        <v>0.2716480862677419</v>
      </c>
      <c r="F8" s="6" t="n">
        <v>0.03146829251988424</v>
      </c>
      <c r="G8" s="6" t="n">
        <v>0.1565739705836436</v>
      </c>
      <c r="H8" s="6" t="n">
        <v>0.1922743055555556</v>
      </c>
      <c r="I8" s="6" t="n">
        <v>0.1909722222222222</v>
      </c>
      <c r="J8" s="6" t="n">
        <v>0.2575115639343521</v>
      </c>
      <c r="K8" s="6" t="n">
        <v>0.6803219560347773</v>
      </c>
    </row>
    <row r="9" ht="28" customHeight="1">
      <c r="A9" s="3" t="inlineStr">
        <is>
          <t>room0</t>
        </is>
      </c>
      <c r="B9" s="3" t="inlineStr">
        <is>
          <t>merge_2</t>
        </is>
      </c>
      <c r="C9" s="7" t="n">
        <v>0.465391068664511</v>
      </c>
      <c r="D9" s="4" t="n">
        <v>0.588309730782574</v>
      </c>
      <c r="E9" s="4" t="n">
        <v>0.3397631291393964</v>
      </c>
      <c r="F9" s="7" t="n">
        <v>0.07284638500166739</v>
      </c>
      <c r="G9" s="7" t="n">
        <v>0.216167893870595</v>
      </c>
      <c r="H9" s="7" t="n">
        <v>0.3118799603174603</v>
      </c>
      <c r="I9" s="4" t="n">
        <v>0.2867063492063492</v>
      </c>
      <c r="J9" s="7" t="n">
        <v>0.3399722327779137</v>
      </c>
      <c r="K9" s="4" t="n">
        <v>0.7887855852314729</v>
      </c>
    </row>
    <row r="10" ht="28" customHeight="1">
      <c r="A10" s="5" t="inlineStr">
        <is>
          <t>room1</t>
        </is>
      </c>
      <c r="B10" s="5" t="inlineStr">
        <is>
          <t>Baseline_gateoff</t>
        </is>
      </c>
      <c r="C10" s="6" t="n">
        <v>0.4181198305560399</v>
      </c>
      <c r="D10" s="6" t="n">
        <v>0.557620411627763</v>
      </c>
      <c r="E10" s="6" t="n">
        <v>0.1665911359008001</v>
      </c>
      <c r="F10" s="6" t="n">
        <v>0.03661744505494505</v>
      </c>
      <c r="G10" s="6" t="n">
        <v>0.1792344390280264</v>
      </c>
      <c r="H10" s="7" t="n">
        <v>0.3475877192982456</v>
      </c>
      <c r="I10" s="6" t="n">
        <v>0.1962719298245614</v>
      </c>
      <c r="J10" s="7" t="n">
        <v>0.3642018397284388</v>
      </c>
      <c r="K10" s="6" t="n">
        <v>0.7637257817656915</v>
      </c>
    </row>
    <row r="11" ht="28" customHeight="1">
      <c r="A11" s="3" t="inlineStr">
        <is>
          <t>room1</t>
        </is>
      </c>
      <c r="B11" s="3" t="inlineStr">
        <is>
          <t>v7_CLIP</t>
        </is>
      </c>
      <c r="C11" s="4" t="n">
        <v>0.4912027306040631</v>
      </c>
      <c r="D11" s="4" t="n">
        <v>0.6312015912144155</v>
      </c>
      <c r="E11" s="4" t="n">
        <v>0.2567989750327216</v>
      </c>
      <c r="F11" s="4" t="n">
        <v>0.04332999655618973</v>
      </c>
      <c r="G11" s="4" t="n">
        <v>0.1845328565569055</v>
      </c>
      <c r="H11" s="4" t="n">
        <v>0.3426378446115289</v>
      </c>
      <c r="I11" s="4" t="n">
        <v>0.2339285714285714</v>
      </c>
      <c r="J11" s="4" t="n">
        <v>0.3585448367349413</v>
      </c>
      <c r="K11" s="4" t="n">
        <v>0.7612885442583471</v>
      </c>
    </row>
    <row r="12" ht="28" customHeight="1">
      <c r="A12" s="5" t="inlineStr">
        <is>
          <t>room1</t>
        </is>
      </c>
      <c r="B12" s="5" t="inlineStr">
        <is>
          <t>OVI_MAP</t>
        </is>
      </c>
      <c r="C12" s="7" t="n">
        <v>0.5308433414953346</v>
      </c>
      <c r="D12" s="7" t="n">
        <v>0.7184038440529159</v>
      </c>
      <c r="E12" s="7" t="n">
        <v>0.2796791877290669</v>
      </c>
      <c r="F12" s="7" t="n">
        <v>0.08314988926566022</v>
      </c>
      <c r="G12" s="7" t="n">
        <v>0.2048829527606001</v>
      </c>
      <c r="H12" s="6" t="n">
        <v>0.3007518796992481</v>
      </c>
      <c r="I12" s="6" t="n">
        <v>0.1818922305764411</v>
      </c>
      <c r="J12" s="6" t="n">
        <v>0.3018541851609077</v>
      </c>
      <c r="K12" s="7" t="n">
        <v>0.7738192817403037</v>
      </c>
    </row>
    <row r="13" ht="28" customHeight="1">
      <c r="A13" s="3" t="inlineStr">
        <is>
          <t>room1</t>
        </is>
      </c>
      <c r="B13" s="3" t="inlineStr">
        <is>
          <t>ali_my</t>
        </is>
      </c>
      <c r="C13" s="4" t="n">
        <v>0.4057704824186006</v>
      </c>
      <c r="D13" s="4" t="n">
        <v>0.5385901460650347</v>
      </c>
      <c r="E13" s="4" t="n">
        <v>0.1607705170113091</v>
      </c>
      <c r="F13" s="4" t="n">
        <v>0.03205546802054154</v>
      </c>
      <c r="G13" s="4" t="n">
        <v>0.2000931751856478</v>
      </c>
      <c r="H13" s="4" t="n">
        <v>0.3067042606516291</v>
      </c>
      <c r="I13" s="7" t="n">
        <v>0.2431077694235589</v>
      </c>
      <c r="J13" s="4" t="n">
        <v>0.3474329149333769</v>
      </c>
      <c r="K13" s="4" t="n">
        <v>0.7622133888481877</v>
      </c>
    </row>
    <row r="14" ht="28" customHeight="1">
      <c r="A14" s="5" t="inlineStr">
        <is>
          <t>room2</t>
        </is>
      </c>
      <c r="B14" s="5" t="inlineStr">
        <is>
          <t>Baseline_gateoff</t>
        </is>
      </c>
      <c r="C14" s="6" t="n">
        <v>0.3840957294450087</v>
      </c>
      <c r="D14" s="6" t="n">
        <v>0.5074434214410927</v>
      </c>
      <c r="E14" s="6" t="n">
        <v>0.1531533877317172</v>
      </c>
      <c r="F14" s="6" t="n">
        <v>0.003508105369807497</v>
      </c>
      <c r="G14" s="6" t="n">
        <v>0.1297694209395298</v>
      </c>
      <c r="H14" s="6" t="n">
        <v>0.2177083333333333</v>
      </c>
      <c r="I14" s="6" t="n">
        <v>0.1291666666666667</v>
      </c>
      <c r="J14" s="6" t="n">
        <v>0.2575086486914407</v>
      </c>
      <c r="K14" s="6" t="n">
        <v>0.6816039301599947</v>
      </c>
    </row>
    <row r="15" ht="28" customHeight="1">
      <c r="A15" s="3" t="inlineStr">
        <is>
          <t>room2</t>
        </is>
      </c>
      <c r="B15" s="3" t="inlineStr">
        <is>
          <t>v7_CLIP</t>
        </is>
      </c>
      <c r="C15" s="4" t="n">
        <v>0.399339036463037</v>
      </c>
      <c r="D15" s="4" t="n">
        <v>0.5420953523934778</v>
      </c>
      <c r="E15" s="4" t="n">
        <v>0.2312408736060368</v>
      </c>
      <c r="F15" s="4" t="n">
        <v>0.003102836879432624</v>
      </c>
      <c r="G15" s="4" t="n">
        <v>0.1308147558568227</v>
      </c>
      <c r="H15" s="7" t="n">
        <v>0.2231770833333333</v>
      </c>
      <c r="I15" s="4" t="n">
        <v>0.1415364583333333</v>
      </c>
      <c r="J15" s="4" t="n">
        <v>0.2586783808982117</v>
      </c>
      <c r="K15" s="4" t="n">
        <v>0.673829564950017</v>
      </c>
    </row>
    <row r="16" ht="28" customHeight="1">
      <c r="A16" s="5" t="inlineStr">
        <is>
          <t>room2</t>
        </is>
      </c>
      <c r="B16" s="5" t="inlineStr">
        <is>
          <t>OVI_MAP</t>
        </is>
      </c>
      <c r="C16" s="7" t="n">
        <v>0.443249387360472</v>
      </c>
      <c r="D16" s="7" t="n">
        <v>0.6197058352643331</v>
      </c>
      <c r="E16" s="7" t="n">
        <v>0.3341814643965065</v>
      </c>
      <c r="F16" s="7" t="n">
        <v>0.03961998917726232</v>
      </c>
      <c r="G16" s="7" t="n">
        <v>0.1756290492721754</v>
      </c>
      <c r="H16" s="6" t="n">
        <v>0.1869791666666666</v>
      </c>
      <c r="I16" s="7" t="n">
        <v>0.16875</v>
      </c>
      <c r="J16" s="6" t="n">
        <v>0.2591181619919237</v>
      </c>
      <c r="K16" s="7" t="n">
        <v>0.7365625775252711</v>
      </c>
    </row>
    <row r="17" ht="28" customHeight="1">
      <c r="A17" s="3" t="inlineStr">
        <is>
          <t>room2</t>
        </is>
      </c>
      <c r="B17" s="3" t="inlineStr">
        <is>
          <t>ali_my</t>
        </is>
      </c>
      <c r="C17" s="4" t="n">
        <v>0.3066587707428885</v>
      </c>
      <c r="D17" s="4" t="n">
        <v>0.4468625054751035</v>
      </c>
      <c r="E17" s="4" t="n">
        <v>0.1193336493914976</v>
      </c>
      <c r="F17" s="4" t="n">
        <v>0</v>
      </c>
      <c r="G17" s="4" t="n">
        <v>0.1511335181354062</v>
      </c>
      <c r="H17" s="4" t="n">
        <v>0.1878255208333333</v>
      </c>
      <c r="I17" s="4" t="n">
        <v>0.1354166666666667</v>
      </c>
      <c r="J17" s="7" t="n">
        <v>0.2825288246850953</v>
      </c>
      <c r="K17" s="4" t="n">
        <v>0.6458069092268612</v>
      </c>
    </row>
    <row r="18" ht="28" customHeight="1">
      <c r="A18" s="5" t="inlineStr">
        <is>
          <t>office0</t>
        </is>
      </c>
      <c r="B18" s="5" t="inlineStr">
        <is>
          <t>Baseline_gateoff</t>
        </is>
      </c>
      <c r="C18" s="6" t="n">
        <v>0.3363655241826327</v>
      </c>
      <c r="D18" s="6" t="n">
        <v>0.562706627495507</v>
      </c>
      <c r="E18" s="6" t="n">
        <v>0.1898389285028961</v>
      </c>
      <c r="F18" s="6" t="n">
        <v>0.06617165357267168</v>
      </c>
      <c r="G18" s="6" t="n">
        <v>0.147935571172336</v>
      </c>
      <c r="H18" s="6" t="n">
        <v>0.25</v>
      </c>
      <c r="I18" s="6" t="n">
        <v>0.15</v>
      </c>
      <c r="J18" s="6" t="n">
        <v>0.2275172695828565</v>
      </c>
      <c r="K18" s="6" t="n">
        <v>0.6439617305493712</v>
      </c>
    </row>
    <row r="19" ht="28" customHeight="1">
      <c r="A19" s="3" t="inlineStr">
        <is>
          <t>office0</t>
        </is>
      </c>
      <c r="B19" s="3" t="inlineStr">
        <is>
          <t>v7_CLIP</t>
        </is>
      </c>
      <c r="C19" s="4" t="n">
        <v>0.3646469747559358</v>
      </c>
      <c r="D19" s="7" t="n">
        <v>0.5963161674653411</v>
      </c>
      <c r="E19" s="4" t="n">
        <v>0.1898389285028961</v>
      </c>
      <c r="F19" s="4" t="n">
        <v>0.06570816689594972</v>
      </c>
      <c r="G19" s="4" t="n">
        <v>0.1465905872805552</v>
      </c>
      <c r="H19" s="4" t="n">
        <v>0.3</v>
      </c>
      <c r="I19" s="4" t="n">
        <v>0.15</v>
      </c>
      <c r="J19" s="4" t="n">
        <v>0.2266974700493418</v>
      </c>
      <c r="K19" s="4" t="n">
        <v>0.6369576990191949</v>
      </c>
    </row>
    <row r="20" ht="28" customHeight="1">
      <c r="A20" s="5" t="inlineStr">
        <is>
          <t>office0</t>
        </is>
      </c>
      <c r="B20" s="5" t="inlineStr">
        <is>
          <t>OVI_MAP</t>
        </is>
      </c>
      <c r="C20" s="7" t="n">
        <v>0.4432503193942858</v>
      </c>
      <c r="D20" s="6" t="n">
        <v>0.5653563348416289</v>
      </c>
      <c r="E20" s="7" t="n">
        <v>0.2992126013887147</v>
      </c>
      <c r="F20" s="7" t="n">
        <v>0.1333471858775503</v>
      </c>
      <c r="G20" s="7" t="n">
        <v>0.1802461216696858</v>
      </c>
      <c r="H20" s="7" t="n">
        <v>0.3375</v>
      </c>
      <c r="I20" s="7" t="n">
        <v>0.225</v>
      </c>
      <c r="J20" s="7" t="n">
        <v>0.2916928397655629</v>
      </c>
      <c r="K20" s="7" t="n">
        <v>0.8451491265017952</v>
      </c>
    </row>
    <row r="21" ht="28" customHeight="1">
      <c r="A21" s="3" t="inlineStr">
        <is>
          <t>office0</t>
        </is>
      </c>
      <c r="B21" s="3" t="inlineStr">
        <is>
          <t>ali_my</t>
        </is>
      </c>
      <c r="C21" s="4" t="n">
        <v>0.3133584077766908</v>
      </c>
      <c r="D21" s="4" t="n">
        <v>0.595544822179884</v>
      </c>
      <c r="E21" s="4" t="n">
        <v>0.1981485834427011</v>
      </c>
      <c r="F21" s="4" t="n">
        <v>0.05926573426573427</v>
      </c>
      <c r="G21" s="4" t="n">
        <v>0.1294941435581326</v>
      </c>
      <c r="H21" s="4" t="n">
        <v>0.25</v>
      </c>
      <c r="I21" s="4" t="n">
        <v>0.15</v>
      </c>
      <c r="J21" s="4" t="n">
        <v>0.2385333849047172</v>
      </c>
      <c r="K21" s="4" t="n">
        <v>0.5854343422187456</v>
      </c>
    </row>
    <row r="22" ht="28" customHeight="1">
      <c r="A22" s="5" t="inlineStr">
        <is>
          <t>office1</t>
        </is>
      </c>
      <c r="B22" s="5" t="inlineStr">
        <is>
          <t>Baseline_gateoff</t>
        </is>
      </c>
      <c r="C22" s="7" t="n">
        <v>0.4574954556002807</v>
      </c>
      <c r="D22" s="7" t="n">
        <v>0.6328415032679739</v>
      </c>
      <c r="E22" s="7" t="n">
        <v>0.5260033332680392</v>
      </c>
      <c r="F22" s="7" t="n">
        <v>0.1826984126984127</v>
      </c>
      <c r="G22" s="6" t="n">
        <v>0.1458646020184084</v>
      </c>
      <c r="H22" s="6" t="n">
        <v>0.25</v>
      </c>
      <c r="I22" s="7" t="n">
        <v>0.25</v>
      </c>
      <c r="J22" s="6" t="n">
        <v>0.2326939244860381</v>
      </c>
      <c r="K22" s="6" t="n">
        <v>0.7085312205286906</v>
      </c>
    </row>
    <row r="23" ht="28" customHeight="1">
      <c r="A23" s="3" t="inlineStr">
        <is>
          <t>office1</t>
        </is>
      </c>
      <c r="B23" s="3" t="inlineStr">
        <is>
          <t>v7_CLIP</t>
        </is>
      </c>
      <c r="C23" s="4" t="n">
        <v>0.4511795994883415</v>
      </c>
      <c r="D23" s="7" t="n">
        <v>0.6328415032679739</v>
      </c>
      <c r="E23" s="4" t="n">
        <v>0.4724691881905504</v>
      </c>
      <c r="F23" s="4" t="n">
        <v>0.1514444444444444</v>
      </c>
      <c r="G23" s="7" t="n">
        <v>0.1524305564380284</v>
      </c>
      <c r="H23" s="4" t="n">
        <v>0.25</v>
      </c>
      <c r="I23" s="7" t="n">
        <v>0.25</v>
      </c>
      <c r="J23" s="4" t="n">
        <v>0.2325511044534559</v>
      </c>
      <c r="K23" s="4" t="n">
        <v>0.7078874400691217</v>
      </c>
    </row>
    <row r="24" ht="28" customHeight="1">
      <c r="A24" s="5" t="inlineStr">
        <is>
          <t>office1</t>
        </is>
      </c>
      <c r="B24" s="5" t="inlineStr">
        <is>
          <t>OVI_MAP</t>
        </is>
      </c>
      <c r="C24" s="6" t="n">
        <v>0.4473195491092988</v>
      </c>
      <c r="D24" s="6" t="n">
        <v>0.5870133591898297</v>
      </c>
      <c r="E24" s="6" t="n">
        <v>0.4226128316128316</v>
      </c>
      <c r="F24" s="6" t="n">
        <v>0.07089082554872028</v>
      </c>
      <c r="G24" s="6" t="n">
        <v>0.1234151821911196</v>
      </c>
      <c r="H24" s="6" t="n">
        <v>0.2352941176470588</v>
      </c>
      <c r="I24" s="6" t="n">
        <v>0.1764705882352941</v>
      </c>
      <c r="J24" s="6" t="n">
        <v>0.1462614799574493</v>
      </c>
      <c r="K24" s="7" t="n">
        <v>0.77523591165525</v>
      </c>
    </row>
    <row r="25" ht="28" customHeight="1">
      <c r="A25" s="3" t="inlineStr">
        <is>
          <t>office1</t>
        </is>
      </c>
      <c r="B25" s="3" t="inlineStr">
        <is>
          <t>ali_my</t>
        </is>
      </c>
      <c r="C25" s="4" t="n">
        <v>0.3785159267500634</v>
      </c>
      <c r="D25" s="4" t="n">
        <v>0.5199999999999999</v>
      </c>
      <c r="E25" s="4" t="n">
        <v>0.3278896658896658</v>
      </c>
      <c r="F25" s="4" t="n">
        <v>0.05866883116883116</v>
      </c>
      <c r="G25" s="4" t="n">
        <v>0.1438352037936087</v>
      </c>
      <c r="H25" s="7" t="n">
        <v>0.2941176470588235</v>
      </c>
      <c r="I25" s="7" t="n">
        <v>0.25</v>
      </c>
      <c r="J25" s="7" t="n">
        <v>0.2333964304343212</v>
      </c>
      <c r="K25" s="4" t="n">
        <v>0.5801986683909441</v>
      </c>
    </row>
    <row r="26" ht="28" customHeight="1">
      <c r="A26" s="5" t="inlineStr">
        <is>
          <t>office2</t>
        </is>
      </c>
      <c r="B26" s="5" t="inlineStr">
        <is>
          <t>Baseline_gateoff</t>
        </is>
      </c>
      <c r="C26" s="6" t="n">
        <v>0.4274213123126236</v>
      </c>
      <c r="D26" s="6" t="n">
        <v>0.6029752958868543</v>
      </c>
      <c r="E26" s="6" t="n">
        <v>0.2531119530107198</v>
      </c>
      <c r="F26" s="6" t="n">
        <v>0.05261318914350951</v>
      </c>
      <c r="G26" s="6" t="n">
        <v>0.08926405319354429</v>
      </c>
      <c r="H26" s="6" t="n">
        <v>0.1490196078431373</v>
      </c>
      <c r="I26" s="6" t="n">
        <v>0.09509803921568627</v>
      </c>
      <c r="J26" s="6" t="n">
        <v>0.1330212197387609</v>
      </c>
      <c r="K26" s="7" t="n">
        <v>0.655402705222873</v>
      </c>
    </row>
    <row r="27" ht="28" customHeight="1">
      <c r="A27" s="3" t="inlineStr">
        <is>
          <t>office2</t>
        </is>
      </c>
      <c r="B27" s="3" t="inlineStr">
        <is>
          <t>v7_CLIP</t>
        </is>
      </c>
      <c r="C27" s="4" t="n">
        <v>0.4491063861008109</v>
      </c>
      <c r="D27" s="4" t="n">
        <v>0.6567383578878236</v>
      </c>
      <c r="E27" s="4" t="n">
        <v>0.3263653732257894</v>
      </c>
      <c r="F27" s="7" t="n">
        <v>0.05978287373810829</v>
      </c>
      <c r="G27" s="4" t="n">
        <v>0.125540415041475</v>
      </c>
      <c r="H27" s="4" t="n">
        <v>0.1490196078431373</v>
      </c>
      <c r="I27" s="4" t="n">
        <v>0.1294117647058824</v>
      </c>
      <c r="J27" s="4" t="n">
        <v>0.1340251427601324</v>
      </c>
      <c r="K27" s="4" t="n">
        <v>0.6452968220651716</v>
      </c>
    </row>
    <row r="28" ht="28" customHeight="1">
      <c r="A28" s="5" t="inlineStr">
        <is>
          <t>office2</t>
        </is>
      </c>
      <c r="B28" s="5" t="inlineStr">
        <is>
          <t>OVI_MAP</t>
        </is>
      </c>
      <c r="C28" s="7" t="n">
        <v>0.4837386724777433</v>
      </c>
      <c r="D28" s="7" t="n">
        <v>0.7074648988515204</v>
      </c>
      <c r="E28" s="7" t="n">
        <v>0.3599542234985441</v>
      </c>
      <c r="F28" s="6" t="n">
        <v>0.02925363389583002</v>
      </c>
      <c r="G28" s="7" t="n">
        <v>0.1676560909201648</v>
      </c>
      <c r="H28" s="6" t="n">
        <v>0.2352941176470588</v>
      </c>
      <c r="I28" s="6" t="n">
        <v>0.1470588235294118</v>
      </c>
      <c r="J28" s="7" t="n">
        <v>0.2422804162358396</v>
      </c>
      <c r="K28" s="6" t="n">
        <v>0.6545890502197949</v>
      </c>
    </row>
    <row r="29" ht="28" customHeight="1">
      <c r="A29" s="3" t="inlineStr">
        <is>
          <t>office2</t>
        </is>
      </c>
      <c r="B29" s="3" t="inlineStr">
        <is>
          <t>ali_my</t>
        </is>
      </c>
      <c r="C29" s="4" t="n">
        <v>0.3112246365288973</v>
      </c>
      <c r="D29" s="4" t="n">
        <v>0.4581866432603831</v>
      </c>
      <c r="E29" s="4" t="n">
        <v>0.1176396581359817</v>
      </c>
      <c r="F29" s="4" t="n">
        <v>0.006587009803921568</v>
      </c>
      <c r="G29" s="4" t="n">
        <v>0.1181135487639056</v>
      </c>
      <c r="H29" s="4" t="n">
        <v>0.1588235294117647</v>
      </c>
      <c r="I29" s="4" t="n">
        <v>0.1294117647058824</v>
      </c>
      <c r="J29" s="4" t="n">
        <v>0.1397158315227187</v>
      </c>
      <c r="K29" s="4" t="n">
        <v>0.5870880871546916</v>
      </c>
    </row>
    <row r="30" ht="28" customHeight="1">
      <c r="A30" s="5" t="inlineStr">
        <is>
          <t>office3</t>
        </is>
      </c>
      <c r="B30" s="5" t="inlineStr">
        <is>
          <t>Baseline_gateoff</t>
        </is>
      </c>
      <c r="C30" s="7" t="n">
        <v>0.4423465313396859</v>
      </c>
      <c r="D30" s="6" t="n">
        <v>0.6496420415089457</v>
      </c>
      <c r="E30" s="7" t="n">
        <v>0.3241833818221775</v>
      </c>
      <c r="F30" s="7" t="n">
        <v>0.04975504820841847</v>
      </c>
      <c r="G30" s="7" t="n">
        <v>0.1131723864014363</v>
      </c>
      <c r="H30" s="7" t="n">
        <v>0.2369565217391305</v>
      </c>
      <c r="I30" s="7" t="n">
        <v>0.1391304347826087</v>
      </c>
      <c r="J30" s="7" t="n">
        <v>0.2283815015939253</v>
      </c>
      <c r="K30" s="7" t="n">
        <v>0.6537401635440386</v>
      </c>
    </row>
    <row r="31" ht="28" customHeight="1">
      <c r="A31" s="3" t="inlineStr">
        <is>
          <t>office3</t>
        </is>
      </c>
      <c r="B31" s="3" t="inlineStr">
        <is>
          <t>v7_CLIP</t>
        </is>
      </c>
      <c r="C31" s="4" t="n">
        <v>0.4355317405570338</v>
      </c>
      <c r="D31" s="7" t="n">
        <v>0.6756892796272691</v>
      </c>
      <c r="E31" s="4" t="n">
        <v>0.3182124286809896</v>
      </c>
      <c r="F31" s="4" t="n">
        <v>0.04336020478110761</v>
      </c>
      <c r="G31" s="4" t="n">
        <v>0.1039901623717064</v>
      </c>
      <c r="H31" s="4" t="n">
        <v>0.2315217391304348</v>
      </c>
      <c r="I31" s="7" t="n">
        <v>0.1391304347826087</v>
      </c>
      <c r="J31" s="4" t="n">
        <v>0.2159243021544132</v>
      </c>
      <c r="K31" s="4" t="n">
        <v>0.6354166913491317</v>
      </c>
    </row>
    <row r="32" ht="28" customHeight="1">
      <c r="A32" s="5" t="inlineStr">
        <is>
          <t>office3</t>
        </is>
      </c>
      <c r="B32" s="5" t="inlineStr">
        <is>
          <t>OVI_MAP</t>
        </is>
      </c>
      <c r="C32" s="6" t="n">
        <v>0.3847540211952144</v>
      </c>
      <c r="D32" s="6" t="n">
        <v>0.5384832190978905</v>
      </c>
      <c r="E32" s="6" t="n">
        <v>0.2419482951375733</v>
      </c>
      <c r="F32" s="6" t="n">
        <v>0.02279699970992406</v>
      </c>
      <c r="G32" s="6" t="n">
        <v>0.1014915414414958</v>
      </c>
      <c r="H32" s="6" t="n">
        <v>0.1185472739820566</v>
      </c>
      <c r="I32" s="6" t="n">
        <v>0.1004313319530711</v>
      </c>
      <c r="J32" s="6" t="n">
        <v>0.1528512145754292</v>
      </c>
      <c r="K32" s="6" t="n">
        <v>0.6385018020174065</v>
      </c>
    </row>
    <row r="33" ht="28" customHeight="1">
      <c r="A33" s="3" t="inlineStr">
        <is>
          <t>office3</t>
        </is>
      </c>
      <c r="B33" s="3" t="inlineStr">
        <is>
          <t>ali_my</t>
        </is>
      </c>
      <c r="C33" s="4" t="n">
        <v>0.3031920464641051</v>
      </c>
      <c r="D33" s="4" t="n">
        <v>0.4426522191182974</v>
      </c>
      <c r="E33" s="4" t="n">
        <v>0.1592394404725498</v>
      </c>
      <c r="F33" s="4" t="n">
        <v>0.01795175628606751</v>
      </c>
      <c r="G33" s="4" t="n">
        <v>0.1052486661589725</v>
      </c>
      <c r="H33" s="4" t="n">
        <v>0.1373188405797101</v>
      </c>
      <c r="I33" s="4" t="n">
        <v>0.1304347826086956</v>
      </c>
      <c r="J33" s="4" t="n">
        <v>0.1521446895176796</v>
      </c>
      <c r="K33" s="4" t="n">
        <v>0.5990754146061745</v>
      </c>
    </row>
    <row r="34" ht="28" customHeight="1">
      <c r="A34" s="5" t="inlineStr">
        <is>
          <t>office4</t>
        </is>
      </c>
      <c r="B34" s="5" t="inlineStr">
        <is>
          <t>Baseline_gateoff</t>
        </is>
      </c>
      <c r="C34" s="7" t="n">
        <v>0.4928598800340697</v>
      </c>
      <c r="D34" s="7" t="n">
        <v>0.7688218660032112</v>
      </c>
      <c r="E34" s="6" t="n">
        <v>0.2612046701208119</v>
      </c>
      <c r="F34" s="6" t="n">
        <v>0.07998552355760163</v>
      </c>
      <c r="G34" s="6" t="n">
        <v>0.1435141115002427</v>
      </c>
      <c r="H34" s="6" t="n">
        <v>0.2076923076923077</v>
      </c>
      <c r="I34" s="7" t="n">
        <v>0.2</v>
      </c>
      <c r="J34" s="6" t="n">
        <v>0.1784745534140487</v>
      </c>
      <c r="K34" s="7" t="n">
        <v>0.7202836823233424</v>
      </c>
    </row>
    <row r="35" ht="28" customHeight="1">
      <c r="A35" s="3" t="inlineStr">
        <is>
          <t>office4</t>
        </is>
      </c>
      <c r="B35" s="3" t="inlineStr">
        <is>
          <t>v7_CLIP</t>
        </is>
      </c>
      <c r="C35" s="4" t="n">
        <v>0.4834691830926694</v>
      </c>
      <c r="D35" s="4" t="n">
        <v>0.7286458333824957</v>
      </c>
      <c r="E35" s="4" t="n">
        <v>0.2685687506446646</v>
      </c>
      <c r="F35" s="4" t="n">
        <v>0.08152152131737292</v>
      </c>
      <c r="G35" s="4" t="n">
        <v>0.1379192279911525</v>
      </c>
      <c r="H35" s="4" t="n">
        <v>0.1923076923076923</v>
      </c>
      <c r="I35" s="4" t="n">
        <v>0.1923076923076923</v>
      </c>
      <c r="J35" s="4" t="n">
        <v>0.1689276860333009</v>
      </c>
      <c r="K35" s="4" t="n">
        <v>0.7197091859981378</v>
      </c>
    </row>
    <row r="36" ht="28" customHeight="1">
      <c r="A36" s="5" t="inlineStr">
        <is>
          <t>office4</t>
        </is>
      </c>
      <c r="B36" s="5" t="inlineStr">
        <is>
          <t>OVI_MAP</t>
        </is>
      </c>
      <c r="C36" s="6" t="n">
        <v>0.4192642174894631</v>
      </c>
      <c r="D36" s="6" t="n">
        <v>0.6219905704005759</v>
      </c>
      <c r="E36" s="6" t="n">
        <v>0.2109044119065424</v>
      </c>
      <c r="F36" s="7" t="n">
        <v>0.1185010849553578</v>
      </c>
      <c r="G36" s="7" t="n">
        <v>0.2013547354753485</v>
      </c>
      <c r="H36" s="7" t="n">
        <v>0.2307692307692308</v>
      </c>
      <c r="I36" s="6" t="n">
        <v>0.1538461538461539</v>
      </c>
      <c r="J36" s="7" t="n">
        <v>0.2615729399983739</v>
      </c>
      <c r="K36" s="6" t="n">
        <v>0.7092969353592583</v>
      </c>
    </row>
    <row r="37" ht="28" customHeight="1">
      <c r="A37" s="3" t="inlineStr">
        <is>
          <t>office4</t>
        </is>
      </c>
      <c r="B37" s="3" t="inlineStr">
        <is>
          <t>ali_my</t>
        </is>
      </c>
      <c r="C37" s="4" t="n">
        <v>0.4182680127036357</v>
      </c>
      <c r="D37" s="4" t="n">
        <v>0.7080927902151345</v>
      </c>
      <c r="E37" s="7" t="n">
        <v>0.3138602612853974</v>
      </c>
      <c r="F37" s="4" t="n">
        <v>0.02184135716053967</v>
      </c>
      <c r="G37" s="4" t="n">
        <v>0.1368461364452016</v>
      </c>
      <c r="H37" s="4" t="n">
        <v>0.1230769230769231</v>
      </c>
      <c r="I37" s="4" t="n">
        <v>0.07692307692307693</v>
      </c>
      <c r="J37" s="4" t="n">
        <v>0.1662807186698505</v>
      </c>
      <c r="K37" s="4" t="n">
        <v>0.6045088056419501</v>
      </c>
    </row>
    <row r="38" ht="28" customHeight="1">
      <c r="A38" s="3" t="inlineStr">
        <is>
          <t>office2</t>
        </is>
      </c>
      <c r="B38" s="3" t="inlineStr">
        <is>
          <t>v7_merge_re</t>
        </is>
      </c>
      <c r="C38" s="6" t="n">
        <v>0.4381981384834157</v>
      </c>
      <c r="D38" s="6" t="n">
        <v>0.6720566204942495</v>
      </c>
      <c r="E38" s="6" t="n">
        <v>0.2862629877110334</v>
      </c>
      <c r="F38" s="6" t="n">
        <v>0.04355590808377186</v>
      </c>
      <c r="G38" s="6" t="n">
        <v>0.1313714572446489</v>
      </c>
      <c r="H38" s="7" t="n">
        <v>0.2470588235294118</v>
      </c>
      <c r="I38" s="7" t="n">
        <v>0.1882352941176471</v>
      </c>
      <c r="J38" s="6" t="n">
        <v>0.1801540841243777</v>
      </c>
      <c r="K38" s="6" t="n">
        <v>0.6404868969142314</v>
      </c>
    </row>
    <row r="39" ht="28" customHeight="1">
      <c r="A39" s="3" t="inlineStr">
        <is>
          <t>office2</t>
        </is>
      </c>
      <c r="B39" s="3" t="inlineStr">
        <is>
          <t>v7_merge</t>
        </is>
      </c>
      <c r="C39" s="4" t="n">
        <v>0.457450931130748</v>
      </c>
      <c r="D39" s="4" t="n">
        <v>0.676374749376237</v>
      </c>
      <c r="E39" s="4" t="n">
        <v>0.2728854910247132</v>
      </c>
      <c r="F39" s="4" t="n">
        <v>0.05660818168945104</v>
      </c>
      <c r="G39" s="4" t="n">
        <v>0.1226641744802187</v>
      </c>
      <c r="H39" s="4" t="n">
        <v>0.1882352941176471</v>
      </c>
      <c r="I39" s="4" t="n">
        <v>0.1882352941176471</v>
      </c>
      <c r="J39" s="4" t="n">
        <v>0.167214631863368</v>
      </c>
      <c r="K39" s="4" t="n">
        <v>0.646326491670837</v>
      </c>
    </row>
    <row r="40" ht="28" customHeight="1">
      <c r="A40" s="3" t="inlineStr">
        <is>
          <t>room0</t>
        </is>
      </c>
      <c r="B40" s="3" t="inlineStr">
        <is>
          <t>TwoRoad（融合旧读出）</t>
        </is>
      </c>
      <c r="C40" s="6" t="n">
        <v>0.4641733359877803</v>
      </c>
      <c r="D40" s="6" t="n">
        <v>0.5882035341289031</v>
      </c>
      <c r="E40" s="6" t="n">
        <v>0.3500447103479245</v>
      </c>
      <c r="F40" s="6" t="n">
        <v>0.066556381316938</v>
      </c>
      <c r="G40" s="6" t="n">
        <v>0.1755434233342291</v>
      </c>
      <c r="H40" s="6" t="n">
        <v>0.2666790674603174</v>
      </c>
      <c r="I40" s="6" t="n">
        <v>0.2385912698412699</v>
      </c>
      <c r="J40" s="6" t="n">
        <v>0.2776635147235777</v>
      </c>
      <c r="K40" s="6" t="n">
        <v>0.7917715398547892</v>
      </c>
    </row>
    <row r="41" ht="32" customHeight="1">
      <c r="A41" s="12" t="inlineStr">
        <is>
          <t>room0</t>
        </is>
      </c>
      <c r="B41" s="12" t="inlineStr">
        <is>
          <t>CLIP+bbox读出</t>
        </is>
      </c>
      <c r="C41" s="14" t="n">
        <v>0.4459973845205167</v>
      </c>
      <c r="D41" s="14" t="n">
        <v>0.5796719003160379</v>
      </c>
      <c r="E41" s="14" t="n">
        <v>0.3890281657883834</v>
      </c>
      <c r="F41" s="14" t="n">
        <v>0.05225624652684709</v>
      </c>
      <c r="G41" s="14" t="n">
        <v>0.1974612055610154</v>
      </c>
      <c r="H41" s="14" t="n">
        <v>0.2914806547619048</v>
      </c>
      <c r="I41" s="14" t="n">
        <v>0.2901785714285715</v>
      </c>
      <c r="J41" s="14" t="n">
        <v>0.3190472909885869</v>
      </c>
      <c r="K41" s="14" t="n">
        <v>0.7851162333645254</v>
      </c>
    </row>
    <row r="42" ht="32" customHeight="1">
      <c r="A42" s="12" t="inlineStr">
        <is>
          <t>room1</t>
        </is>
      </c>
      <c r="B42" s="12" t="inlineStr">
        <is>
          <t>CLIP+bbox读出</t>
        </is>
      </c>
      <c r="C42" s="14" t="n">
        <v>0.4912027306040631</v>
      </c>
      <c r="D42" s="14" t="n">
        <v>0.6312015912144155</v>
      </c>
      <c r="E42" s="14" t="n">
        <v>0.2567989750327216</v>
      </c>
      <c r="F42" s="14" t="n">
        <v>0.04332999655618973</v>
      </c>
      <c r="G42" s="14" t="n">
        <v>0.2366743853397498</v>
      </c>
      <c r="H42" s="14" t="n">
        <v>0.3833020050125313</v>
      </c>
      <c r="I42" s="14" t="n">
        <v>0.2670739348370927</v>
      </c>
      <c r="J42" s="14" t="n">
        <v>0.3995530452212845</v>
      </c>
      <c r="K42" s="14" t="n">
        <v>0.7612885442583471</v>
      </c>
    </row>
    <row r="43" ht="32" customHeight="1">
      <c r="A43" s="12" t="inlineStr">
        <is>
          <t>room2</t>
        </is>
      </c>
      <c r="B43" s="12" t="inlineStr">
        <is>
          <t>CLIP+bbox读出</t>
        </is>
      </c>
      <c r="C43" s="14" t="n">
        <v>0.399339036463037</v>
      </c>
      <c r="D43" s="14" t="n">
        <v>0.5420953523934778</v>
      </c>
      <c r="E43" s="14" t="n">
        <v>0.2312408736060368</v>
      </c>
      <c r="F43" s="14" t="n">
        <v>0.003102836879432624</v>
      </c>
      <c r="G43" s="14" t="n">
        <v>0.1750375217302293</v>
      </c>
      <c r="H43" s="14" t="n">
        <v>0.1952008928571428</v>
      </c>
      <c r="I43" s="14" t="n">
        <v>0.1556733630952381</v>
      </c>
      <c r="J43" s="14" t="n">
        <v>0.2901668873299487</v>
      </c>
      <c r="K43" s="14" t="n">
        <v>0.673829564950017</v>
      </c>
    </row>
    <row r="44" ht="32" customHeight="1">
      <c r="A44" s="12" t="inlineStr">
        <is>
          <t>office0</t>
        </is>
      </c>
      <c r="B44" s="12" t="inlineStr">
        <is>
          <t>CLIP+bbox读出</t>
        </is>
      </c>
      <c r="C44" s="14" t="n">
        <v>0.3646469747559358</v>
      </c>
      <c r="D44" s="14" t="n">
        <v>0.5963161674653411</v>
      </c>
      <c r="E44" s="14" t="n">
        <v>0.1898389285028961</v>
      </c>
      <c r="F44" s="14" t="n">
        <v>0.06570816689594972</v>
      </c>
      <c r="G44" s="14" t="n">
        <v>0.1845549303954507</v>
      </c>
      <c r="H44" s="14" t="n">
        <v>0.325</v>
      </c>
      <c r="I44" s="14" t="n">
        <v>0.225</v>
      </c>
      <c r="J44" s="14" t="n">
        <v>0.2591620750216325</v>
      </c>
      <c r="K44" s="14" t="n">
        <v>0.6369576990191949</v>
      </c>
    </row>
    <row r="45" ht="32" customHeight="1">
      <c r="A45" s="12" t="inlineStr">
        <is>
          <t>office1</t>
        </is>
      </c>
      <c r="B45" s="12" t="inlineStr">
        <is>
          <t>CLIP+bbox读出</t>
        </is>
      </c>
      <c r="C45" s="14" t="n">
        <v>0.4511795994883415</v>
      </c>
      <c r="D45" s="14" t="n">
        <v>0.6328415032679739</v>
      </c>
      <c r="E45" s="14" t="n">
        <v>0.4724691881905504</v>
      </c>
      <c r="F45" s="14" t="n">
        <v>0.1514444444444444</v>
      </c>
      <c r="G45" s="14" t="n">
        <v>0.1471146577267482</v>
      </c>
      <c r="H45" s="14" t="n">
        <v>0.2941176470588235</v>
      </c>
      <c r="I45" s="14" t="n">
        <v>0.2941176470588235</v>
      </c>
      <c r="J45" s="14" t="n">
        <v>0.2320110233042071</v>
      </c>
      <c r="K45" s="14" t="n">
        <v>0.7078874400691217</v>
      </c>
    </row>
    <row r="46" ht="32" customHeight="1">
      <c r="A46" s="12" t="inlineStr">
        <is>
          <t>office2</t>
        </is>
      </c>
      <c r="B46" s="12" t="inlineStr">
        <is>
          <t>CLIP+bbox读出</t>
        </is>
      </c>
      <c r="C46" s="14" t="n">
        <v>0.4491063861008109</v>
      </c>
      <c r="D46" s="14" t="n">
        <v>0.6567383578878236</v>
      </c>
      <c r="E46" s="14" t="n">
        <v>0.3263653732257894</v>
      </c>
      <c r="F46" s="14" t="n">
        <v>0.05978287373810829</v>
      </c>
      <c r="G46" s="14" t="n">
        <v>0.146293415658092</v>
      </c>
      <c r="H46" s="14" t="n">
        <v>0.1882352941176471</v>
      </c>
      <c r="I46" s="14" t="n">
        <v>0.1882352941176471</v>
      </c>
      <c r="J46" s="14" t="n">
        <v>0.1651755932702475</v>
      </c>
      <c r="K46" s="14" t="n">
        <v>0.6452968220651716</v>
      </c>
    </row>
    <row r="47" ht="32" customHeight="1">
      <c r="A47" s="12" t="inlineStr">
        <is>
          <t>office3</t>
        </is>
      </c>
      <c r="B47" s="12" t="inlineStr">
        <is>
          <t>CLIP+bbox读出</t>
        </is>
      </c>
      <c r="C47" s="14" t="n">
        <v>0.4355317405570338</v>
      </c>
      <c r="D47" s="14" t="n">
        <v>0.6756892796272691</v>
      </c>
      <c r="E47" s="14" t="n">
        <v>0.3182124286809896</v>
      </c>
      <c r="F47" s="14" t="n">
        <v>0.04336020478110761</v>
      </c>
      <c r="G47" s="14" t="n">
        <v>0.07808551307556755</v>
      </c>
      <c r="H47" s="14" t="n">
        <v>0.1934782608695652</v>
      </c>
      <c r="I47" s="14" t="n">
        <v>0.1347826086956522</v>
      </c>
      <c r="J47" s="14" t="n">
        <v>0.19282190929681</v>
      </c>
      <c r="K47" s="14" t="n">
        <v>0.6354166913491317</v>
      </c>
    </row>
    <row r="48" ht="32" customHeight="1">
      <c r="A48" s="12" t="inlineStr">
        <is>
          <t>office4</t>
        </is>
      </c>
      <c r="B48" s="12" t="inlineStr">
        <is>
          <t>CLIP+bbox读出</t>
        </is>
      </c>
      <c r="C48" s="14" t="n">
        <v>0.4834691830926694</v>
      </c>
      <c r="D48" s="14" t="n">
        <v>0.7286458333824957</v>
      </c>
      <c r="E48" s="14" t="n">
        <v>0.2685687506446646</v>
      </c>
      <c r="F48" s="14" t="n">
        <v>0.08152152131737292</v>
      </c>
      <c r="G48" s="14" t="n">
        <v>0.1267974138940052</v>
      </c>
      <c r="H48" s="14" t="n">
        <v>0.1538461538461539</v>
      </c>
      <c r="I48" s="14" t="n">
        <v>0.1538461538461539</v>
      </c>
      <c r="J48" s="14" t="n">
        <v>0.1570904426977555</v>
      </c>
      <c r="K48" s="14" t="n">
        <v>0.7197091859981378</v>
      </c>
    </row>
    <row r="49" ht="32" customHeight="1">
      <c r="A49" s="12" t="inlineStr">
        <is>
          <t>room0</t>
        </is>
      </c>
      <c r="B49" s="12" t="inlineStr">
        <is>
          <t>TwoRoad bbox读出</t>
        </is>
      </c>
      <c r="C49" s="14" t="n">
        <v>0.4641733359877803</v>
      </c>
      <c r="D49" s="14" t="n">
        <v>0.5882035341289031</v>
      </c>
      <c r="E49" s="14" t="n">
        <v>0.3500447103479245</v>
      </c>
      <c r="F49" s="14" t="n">
        <v>0.066556381316938</v>
      </c>
      <c r="G49" s="14" t="n">
        <v>0.2159402350275205</v>
      </c>
      <c r="H49" s="14" t="n">
        <v>0.2914806547619048</v>
      </c>
      <c r="I49" s="14" t="n">
        <v>0.2693452380952381</v>
      </c>
      <c r="J49" s="14" t="n">
        <v>0.3113481382138575</v>
      </c>
      <c r="K49" s="14" t="n">
        <v>0.7917715398547892</v>
      </c>
    </row>
    <row r="50" ht="28" customHeight="1">
      <c r="A50" s="21" t="inlineStr">
        <is>
          <t>room1</t>
        </is>
      </c>
      <c r="B50" s="21" t="inlineStr">
        <is>
          <t>v7_CLIP_v3</t>
        </is>
      </c>
      <c r="C50" s="22" t="n">
        <v>0.4699908273272869</v>
      </c>
      <c r="D50" s="22" t="n">
        <v>0.5889116570874752</v>
      </c>
      <c r="E50" s="22" t="n">
        <v>0.2162969664679144</v>
      </c>
      <c r="F50" s="22" t="n">
        <v>0.03532517748478702</v>
      </c>
      <c r="G50" s="22" t="n">
        <v>0.18681780781505</v>
      </c>
      <c r="H50" s="22" t="n">
        <v>0.356484962406015</v>
      </c>
      <c r="I50" s="22" t="n">
        <v>0.2515977443609023</v>
      </c>
      <c r="J50" s="22" t="n">
        <v>0.3614380815892212</v>
      </c>
      <c r="K50" s="22" t="n">
        <v>0.7621372251760832</v>
      </c>
    </row>
    <row r="51" ht="28" customHeight="1">
      <c r="A51" s="5" t="inlineStr">
        <is>
          <t>room2</t>
        </is>
      </c>
      <c r="B51" s="5" t="inlineStr">
        <is>
          <t>v7_CLIP_v3</t>
        </is>
      </c>
      <c r="C51" s="6" t="n">
        <v>0.4089689994867293</v>
      </c>
      <c r="D51" s="6" t="n">
        <v>0.5665696413019986</v>
      </c>
      <c r="E51" s="6" t="n">
        <v>0.2081216883218151</v>
      </c>
      <c r="F51" s="6" t="n">
        <v>0.003667874678512976</v>
      </c>
      <c r="G51" s="6" t="n">
        <v>0.1180390740310319</v>
      </c>
      <c r="H51" s="6" t="n">
        <v>0.221875</v>
      </c>
      <c r="I51" s="6" t="n">
        <v>0.1405133928571429</v>
      </c>
      <c r="J51" s="6" t="n">
        <v>0.2169820662060672</v>
      </c>
      <c r="K51" s="6" t="n">
        <v>0.6508314203153772</v>
      </c>
    </row>
    <row r="52" ht="28" customHeight="1">
      <c r="A52" s="21" t="inlineStr">
        <is>
          <t>office0</t>
        </is>
      </c>
      <c r="B52" s="21" t="inlineStr">
        <is>
          <t>v7_CLIP_v3</t>
        </is>
      </c>
      <c r="C52" s="22" t="n">
        <v>0.3672622710903128</v>
      </c>
      <c r="D52" s="22" t="n">
        <v>0.6394584557342575</v>
      </c>
      <c r="E52" s="22" t="n">
        <v>0.1849504721375417</v>
      </c>
      <c r="F52" s="22" t="n">
        <v>0.06796317717370348</v>
      </c>
      <c r="G52" s="22" t="n">
        <v>0.1380137482375874</v>
      </c>
      <c r="H52" s="22" t="n">
        <v>0.2625</v>
      </c>
      <c r="I52" s="22" t="n">
        <v>0.15</v>
      </c>
      <c r="J52" s="22" t="n">
        <v>0.2161995440963677</v>
      </c>
      <c r="K52" s="22" t="n">
        <v>0.6342940810718656</v>
      </c>
    </row>
    <row r="53" ht="28" customHeight="1">
      <c r="A53" s="5" t="inlineStr">
        <is>
          <t>office1</t>
        </is>
      </c>
      <c r="B53" s="5" t="inlineStr">
        <is>
          <t>v7_CLIP_v3</t>
        </is>
      </c>
      <c r="C53" s="6" t="n">
        <v>0.4706203682172728</v>
      </c>
      <c r="D53" s="6" t="n">
        <v>0.6639217037692272</v>
      </c>
      <c r="E53" s="6" t="n">
        <v>0.5138362933076555</v>
      </c>
      <c r="F53" s="6" t="n">
        <v>0.1638622782446312</v>
      </c>
      <c r="G53" s="6" t="n">
        <v>0.1392906166603993</v>
      </c>
      <c r="H53" s="6" t="n">
        <v>0.25</v>
      </c>
      <c r="I53" s="6" t="n">
        <v>0.25</v>
      </c>
      <c r="J53" s="6" t="n">
        <v>0.2337903185796067</v>
      </c>
      <c r="K53" s="6" t="n">
        <v>0.7078196737049566</v>
      </c>
    </row>
    <row r="54" ht="28" customHeight="1">
      <c r="A54" s="21" t="inlineStr">
        <is>
          <t>office2</t>
        </is>
      </c>
      <c r="B54" s="21" t="inlineStr">
        <is>
          <t>v7_CLIP_v3</t>
        </is>
      </c>
      <c r="C54" s="22" t="n">
        <v>0.4584174526565762</v>
      </c>
      <c r="D54" s="22" t="n">
        <v>0.675308126805523</v>
      </c>
      <c r="E54" s="22" t="n">
        <v>0.2722655265369418</v>
      </c>
      <c r="F54" s="22" t="n">
        <v>0.05576520858155495</v>
      </c>
      <c r="G54" s="22" t="n">
        <v>0.1011504910842528</v>
      </c>
      <c r="H54" s="22" t="n">
        <v>0.1490196078431373</v>
      </c>
      <c r="I54" s="22" t="n">
        <v>0.1294117647058824</v>
      </c>
      <c r="J54" s="22" t="n">
        <v>0.1322574034426712</v>
      </c>
      <c r="K54" s="22" t="n">
        <v>0.6446163760670222</v>
      </c>
    </row>
    <row r="55" ht="42" customHeight="1">
      <c r="A55" s="21" t="inlineStr">
        <is>
          <t>room0</t>
        </is>
      </c>
      <c r="B55" s="21" t="inlineStr">
        <is>
          <t>A ali-my bff233f</t>
        </is>
      </c>
      <c r="C55" s="22" t="n">
        <v>0.3637402590649125</v>
      </c>
      <c r="D55" s="22" t="n">
        <v>0.4257461073838992</v>
      </c>
      <c r="E55" s="22" t="n">
        <v>0.2716480862677419</v>
      </c>
      <c r="F55" s="22" t="n">
        <v>0.03146829251988424</v>
      </c>
      <c r="G55" s="22" t="n">
        <v>0.1565739705836436</v>
      </c>
      <c r="H55" s="22" t="n">
        <v>0.1922743055555556</v>
      </c>
      <c r="I55" s="22" t="n">
        <v>0.1909722222222222</v>
      </c>
      <c r="J55" s="22" t="n">
        <v>0.2575115639343521</v>
      </c>
      <c r="K55" s="22" t="n">
        <v>0.6803219560347773</v>
      </c>
    </row>
    <row r="56" ht="42" customHeight="1">
      <c r="A56" s="21" t="inlineStr">
        <is>
          <t>room0</t>
        </is>
      </c>
      <c r="B56" s="21" t="inlineStr">
        <is>
          <t>B 原图（无VLM）</t>
        </is>
      </c>
      <c r="C56" s="22" t="n">
        <v>0.4562684194859186</v>
      </c>
      <c r="D56" s="22" t="n">
        <v>0.6271038656254686</v>
      </c>
      <c r="E56" s="22" t="n">
        <v>0.3033525427061517</v>
      </c>
      <c r="F56" s="22" t="n">
        <v>0.04957048519209237</v>
      </c>
      <c r="G56" s="22" t="n">
        <v>0.1801140211919021</v>
      </c>
      <c r="H56" s="22" t="n">
        <v>0.2814980158730159</v>
      </c>
      <c r="I56" s="22" t="n">
        <v>0.2450396825396826</v>
      </c>
      <c r="J56" s="22" t="n">
        <v>0.3040697936139173</v>
      </c>
      <c r="K56" s="22" t="n">
        <v>0.7942527631805218</v>
      </c>
    </row>
    <row r="57" ht="42" customHeight="1">
      <c r="A57" s="21" t="inlineStr">
        <is>
          <t>room0</t>
        </is>
      </c>
      <c r="B57" s="21" t="inlineStr">
        <is>
          <t>C 原图+CLIP（无VLM）</t>
        </is>
      </c>
      <c r="C57" s="22" t="n">
        <v>0.4566818855574561</v>
      </c>
      <c r="D57" s="22" t="n">
        <v>0.6399740513829686</v>
      </c>
      <c r="E57" s="22" t="n">
        <v>0.3107075875659532</v>
      </c>
      <c r="F57" s="22" t="n">
        <v>0.05040682999194148</v>
      </c>
      <c r="G57" s="22" t="n">
        <v>0.1469110799950082</v>
      </c>
      <c r="H57" s="22" t="n">
        <v>0.2497519841269841</v>
      </c>
      <c r="I57" s="22" t="n">
        <v>0.2281746031746032</v>
      </c>
      <c r="J57" s="22" t="n">
        <v>0.235854646973188</v>
      </c>
      <c r="K57" s="22" t="n">
        <v>0.7942460632075451</v>
      </c>
    </row>
    <row r="58" ht="42" customHeight="1">
      <c r="A58" s="21" t="inlineStr">
        <is>
          <t>room1</t>
        </is>
      </c>
      <c r="B58" s="21" t="inlineStr">
        <is>
          <t>A ali-my bff233f</t>
        </is>
      </c>
      <c r="C58" s="22" t="n">
        <v>0.4057704824186006</v>
      </c>
      <c r="D58" s="22" t="n">
        <v>0.5385901460650347</v>
      </c>
      <c r="E58" s="22" t="n">
        <v>0.1607705170113091</v>
      </c>
      <c r="F58" s="22" t="n">
        <v>0.03205546802054154</v>
      </c>
      <c r="G58" s="22" t="n">
        <v>0.2000931751856478</v>
      </c>
      <c r="H58" s="22" t="n">
        <v>0.3067042606516291</v>
      </c>
      <c r="I58" s="22" t="n">
        <v>0.2431077694235589</v>
      </c>
      <c r="J58" s="22" t="n">
        <v>0.3474329149333769</v>
      </c>
      <c r="K58" s="22" t="n">
        <v>0.7622133888481877</v>
      </c>
    </row>
    <row r="59" ht="42" customHeight="1">
      <c r="A59" s="21" t="inlineStr">
        <is>
          <t>room1</t>
        </is>
      </c>
      <c r="B59" s="21" t="inlineStr">
        <is>
          <t>B 原图（无VLM）</t>
        </is>
      </c>
      <c r="C59" s="22" t="n">
        <v>0.4165648670418985</v>
      </c>
      <c r="D59" s="22" t="n">
        <v>0.557620411627763</v>
      </c>
      <c r="E59" s="22" t="n">
        <v>0.1665911359008001</v>
      </c>
      <c r="F59" s="22" t="n">
        <v>0.03661744505494505</v>
      </c>
      <c r="G59" s="22" t="n">
        <v>0.2256066989114967</v>
      </c>
      <c r="H59" s="22" t="n">
        <v>0.3757832080200501</v>
      </c>
      <c r="I59" s="22" t="n">
        <v>0.2069235588972431</v>
      </c>
      <c r="J59" s="22" t="n">
        <v>0.4011443390205662</v>
      </c>
      <c r="K59" s="22" t="n">
        <v>0.7637366622902779</v>
      </c>
    </row>
    <row r="60" ht="42" customHeight="1">
      <c r="A60" s="21" t="inlineStr">
        <is>
          <t>room1</t>
        </is>
      </c>
      <c r="B60" s="21" t="inlineStr">
        <is>
          <t>C 原图+CLIP（无VLM）</t>
        </is>
      </c>
      <c r="C60" s="22" t="n">
        <v>0.4181198305560399</v>
      </c>
      <c r="D60" s="22" t="n">
        <v>0.557620411627763</v>
      </c>
      <c r="E60" s="22" t="n">
        <v>0.1665911359008001</v>
      </c>
      <c r="F60" s="22" t="n">
        <v>0.03661744505494505</v>
      </c>
      <c r="G60" s="22" t="n">
        <v>0.1792344390280264</v>
      </c>
      <c r="H60" s="22" t="n">
        <v>0.3475877192982456</v>
      </c>
      <c r="I60" s="22" t="n">
        <v>0.1962719298245614</v>
      </c>
      <c r="J60" s="22" t="n">
        <v>0.3642018397284388</v>
      </c>
      <c r="K60" s="22" t="n">
        <v>0.7637257817656915</v>
      </c>
    </row>
    <row r="61" ht="42" customHeight="1">
      <c r="A61" s="21" t="inlineStr">
        <is>
          <t>room2</t>
        </is>
      </c>
      <c r="B61" s="21" t="inlineStr">
        <is>
          <t>A ali-my bff233f</t>
        </is>
      </c>
      <c r="C61" s="22" t="n">
        <v>0.3066587707428885</v>
      </c>
      <c r="D61" s="22" t="n">
        <v>0.4468625054751035</v>
      </c>
      <c r="E61" s="22" t="n">
        <v>0.1193336493914976</v>
      </c>
      <c r="F61" s="22" t="n">
        <v>0</v>
      </c>
      <c r="G61" s="22" t="n">
        <v>0.1511335181354062</v>
      </c>
      <c r="H61" s="22" t="n">
        <v>0.1878255208333333</v>
      </c>
      <c r="I61" s="22" t="n">
        <v>0.1354166666666667</v>
      </c>
      <c r="J61" s="22" t="n">
        <v>0.2825288246850953</v>
      </c>
      <c r="K61" s="22" t="n">
        <v>0.6458069092268612</v>
      </c>
    </row>
    <row r="62" ht="42" customHeight="1">
      <c r="A62" s="21" t="inlineStr">
        <is>
          <t>room2</t>
        </is>
      </c>
      <c r="B62" s="21" t="inlineStr">
        <is>
          <t>B 原图（无VLM）</t>
        </is>
      </c>
      <c r="C62" s="22" t="n">
        <v>0.3875546124738971</v>
      </c>
      <c r="D62" s="22" t="n">
        <v>0.5242989456121494</v>
      </c>
      <c r="E62" s="22" t="n">
        <v>0.1515584467217977</v>
      </c>
      <c r="F62" s="22" t="n">
        <v>0.003508105369807497</v>
      </c>
      <c r="G62" s="22" t="n">
        <v>0.1752866264880044</v>
      </c>
      <c r="H62" s="22" t="n">
        <v>0.19140625</v>
      </c>
      <c r="I62" s="22" t="n">
        <v>0.13671875</v>
      </c>
      <c r="J62" s="22" t="n">
        <v>0.290294976758335</v>
      </c>
      <c r="K62" s="22" t="n">
        <v>0.6816039301599947</v>
      </c>
    </row>
    <row r="63" ht="42" customHeight="1">
      <c r="A63" s="21" t="inlineStr">
        <is>
          <t>room2</t>
        </is>
      </c>
      <c r="B63" s="21" t="inlineStr">
        <is>
          <t>C 原图+CLIP（无VLM）</t>
        </is>
      </c>
      <c r="C63" s="22" t="n">
        <v>0.3840957294450087</v>
      </c>
      <c r="D63" s="22" t="n">
        <v>0.5074434214410927</v>
      </c>
      <c r="E63" s="22" t="n">
        <v>0.1531533877317172</v>
      </c>
      <c r="F63" s="22" t="n">
        <v>0.003508105369807497</v>
      </c>
      <c r="G63" s="22" t="n">
        <v>0.1297694209395298</v>
      </c>
      <c r="H63" s="22" t="n">
        <v>0.2177083333333333</v>
      </c>
      <c r="I63" s="22" t="n">
        <v>0.1291666666666667</v>
      </c>
      <c r="J63" s="22" t="n">
        <v>0.2575086486914407</v>
      </c>
      <c r="K63" s="22" t="n">
        <v>0.6816039301599947</v>
      </c>
    </row>
    <row r="64" ht="42" customHeight="1">
      <c r="A64" s="21" t="inlineStr">
        <is>
          <t>office0</t>
        </is>
      </c>
      <c r="B64" s="21" t="inlineStr">
        <is>
          <t>A ali-my bff233f</t>
        </is>
      </c>
      <c r="C64" s="22" t="n">
        <v>0.3133584077766908</v>
      </c>
      <c r="D64" s="22" t="n">
        <v>0.595544822179884</v>
      </c>
      <c r="E64" s="22" t="n">
        <v>0.1981485834427011</v>
      </c>
      <c r="F64" s="22" t="n">
        <v>0.05926573426573427</v>
      </c>
      <c r="G64" s="22" t="n">
        <v>0.1294941435581326</v>
      </c>
      <c r="H64" s="22" t="n">
        <v>0.25</v>
      </c>
      <c r="I64" s="22" t="n">
        <v>0.15</v>
      </c>
      <c r="J64" s="22" t="n">
        <v>0.2385333849047172</v>
      </c>
      <c r="K64" s="22" t="n">
        <v>0.5854343422187456</v>
      </c>
    </row>
    <row r="65" ht="42" customHeight="1">
      <c r="A65" s="21" t="inlineStr">
        <is>
          <t>office0</t>
        </is>
      </c>
      <c r="B65" s="21" t="inlineStr">
        <is>
          <t>B 原图（无VLM）</t>
        </is>
      </c>
      <c r="C65" s="22" t="n">
        <v>0.3408584989431081</v>
      </c>
      <c r="D65" s="22" t="n">
        <v>0.5918561375287225</v>
      </c>
      <c r="E65" s="22" t="n">
        <v>0.1882673021887069</v>
      </c>
      <c r="F65" s="22" t="n">
        <v>0.0657081668959497</v>
      </c>
      <c r="G65" s="22" t="n">
        <v>0.1955029295647595</v>
      </c>
      <c r="H65" s="22" t="n">
        <v>0.325</v>
      </c>
      <c r="I65" s="22" t="n">
        <v>0.225</v>
      </c>
      <c r="J65" s="22" t="n">
        <v>0.2734086720374219</v>
      </c>
      <c r="K65" s="22" t="n">
        <v>0.6439697534949956</v>
      </c>
    </row>
    <row r="66" ht="42" customHeight="1">
      <c r="A66" s="21" t="inlineStr">
        <is>
          <t>office0</t>
        </is>
      </c>
      <c r="B66" s="21" t="inlineStr">
        <is>
          <t>C 原图+CLIP（无VLM）</t>
        </is>
      </c>
      <c r="C66" s="22" t="n">
        <v>0.3363655241826327</v>
      </c>
      <c r="D66" s="22" t="n">
        <v>0.562706627495507</v>
      </c>
      <c r="E66" s="22" t="n">
        <v>0.1898389285028961</v>
      </c>
      <c r="F66" s="22" t="n">
        <v>0.06617165357267168</v>
      </c>
      <c r="G66" s="22" t="n">
        <v>0.147935571172336</v>
      </c>
      <c r="H66" s="22" t="n">
        <v>0.25</v>
      </c>
      <c r="I66" s="22" t="n">
        <v>0.15</v>
      </c>
      <c r="J66" s="22" t="n">
        <v>0.2275172695828565</v>
      </c>
      <c r="K66" s="22" t="n">
        <v>0.6439617305493712</v>
      </c>
    </row>
    <row r="67" ht="42" customHeight="1">
      <c r="A67" s="21" t="inlineStr">
        <is>
          <t>office1</t>
        </is>
      </c>
      <c r="B67" s="21" t="inlineStr">
        <is>
          <t>A ali-my bff233f</t>
        </is>
      </c>
      <c r="C67" s="22" t="n">
        <v>0.3785159267500634</v>
      </c>
      <c r="D67" s="22" t="n">
        <v>0.5199999999999999</v>
      </c>
      <c r="E67" s="22" t="n">
        <v>0.3278896658896658</v>
      </c>
      <c r="F67" s="22" t="n">
        <v>0.05866883116883116</v>
      </c>
      <c r="G67" s="22" t="n">
        <v>0.1438352037936087</v>
      </c>
      <c r="H67" s="22" t="n">
        <v>0.2941176470588235</v>
      </c>
      <c r="I67" s="22" t="n">
        <v>0.25</v>
      </c>
      <c r="J67" s="22" t="n">
        <v>0.2333964304343212</v>
      </c>
      <c r="K67" s="22" t="n">
        <v>0.5801986683909441</v>
      </c>
    </row>
    <row r="68" ht="42" customHeight="1">
      <c r="A68" s="21" t="inlineStr">
        <is>
          <t>office1</t>
        </is>
      </c>
      <c r="B68" s="21" t="inlineStr">
        <is>
          <t>B 原图（无VLM）</t>
        </is>
      </c>
      <c r="C68" s="22" t="n">
        <v>0.4575007792620276</v>
      </c>
      <c r="D68" s="22" t="n">
        <v>0.6328415032679739</v>
      </c>
      <c r="E68" s="22" t="n">
        <v>0.5260033332680392</v>
      </c>
      <c r="F68" s="22" t="n">
        <v>0.1826984126984127</v>
      </c>
      <c r="G68" s="22" t="n">
        <v>0.1423903323837177</v>
      </c>
      <c r="H68" s="22" t="n">
        <v>0.2818627450980392</v>
      </c>
      <c r="I68" s="22" t="n">
        <v>0.2818627450980392</v>
      </c>
      <c r="J68" s="22" t="n">
        <v>0.2327024541436576</v>
      </c>
      <c r="K68" s="22" t="n">
        <v>0.7085255733316769</v>
      </c>
    </row>
    <row r="69" ht="42" customHeight="1">
      <c r="A69" s="21" t="inlineStr">
        <is>
          <t>office1</t>
        </is>
      </c>
      <c r="B69" s="21" t="inlineStr">
        <is>
          <t>C 原图+CLIP（无VLM）</t>
        </is>
      </c>
      <c r="C69" s="22" t="n">
        <v>0.4574954556002807</v>
      </c>
      <c r="D69" s="22" t="n">
        <v>0.6328415032679739</v>
      </c>
      <c r="E69" s="22" t="n">
        <v>0.5260033332680392</v>
      </c>
      <c r="F69" s="22" t="n">
        <v>0.1826984126984127</v>
      </c>
      <c r="G69" s="22" t="n">
        <v>0.1458646020184084</v>
      </c>
      <c r="H69" s="22" t="n">
        <v>0.25</v>
      </c>
      <c r="I69" s="22" t="n">
        <v>0.25</v>
      </c>
      <c r="J69" s="22" t="n">
        <v>0.2326939244860381</v>
      </c>
      <c r="K69" s="22" t="n">
        <v>0.7085312205286906</v>
      </c>
    </row>
    <row r="70" ht="42" customHeight="1">
      <c r="A70" s="21" t="inlineStr">
        <is>
          <t>office2</t>
        </is>
      </c>
      <c r="B70" s="21" t="inlineStr">
        <is>
          <t>A ali-my bff233f</t>
        </is>
      </c>
      <c r="C70" s="22" t="n">
        <v>0.3112246365288973</v>
      </c>
      <c r="D70" s="22" t="n">
        <v>0.4581866432603831</v>
      </c>
      <c r="E70" s="22" t="n">
        <v>0.1176396581359817</v>
      </c>
      <c r="F70" s="22" t="n">
        <v>0.006587009803921568</v>
      </c>
      <c r="G70" s="22" t="n">
        <v>0.1181135487639056</v>
      </c>
      <c r="H70" s="22" t="n">
        <v>0.1588235294117647</v>
      </c>
      <c r="I70" s="22" t="n">
        <v>0.1294117647058824</v>
      </c>
      <c r="J70" s="22" t="n">
        <v>0.1397158315227187</v>
      </c>
      <c r="K70" s="22" t="n">
        <v>0.5870880871546916</v>
      </c>
    </row>
    <row r="71" ht="42" customHeight="1">
      <c r="A71" s="21" t="inlineStr">
        <is>
          <t>office2</t>
        </is>
      </c>
      <c r="B71" s="21" t="inlineStr">
        <is>
          <t>B 原图（无VLM）</t>
        </is>
      </c>
      <c r="C71" s="22" t="n">
        <v>0.4248931690802397</v>
      </c>
      <c r="D71" s="22" t="n">
        <v>0.6008520335825053</v>
      </c>
      <c r="E71" s="22" t="n">
        <v>0.2254454311592827</v>
      </c>
      <c r="F71" s="22" t="n">
        <v>0.05299195116700837</v>
      </c>
      <c r="G71" s="22" t="n">
        <v>0.124204504211322</v>
      </c>
      <c r="H71" s="22" t="n">
        <v>0.1882352941176471</v>
      </c>
      <c r="I71" s="22" t="n">
        <v>0.1882352941176471</v>
      </c>
      <c r="J71" s="22" t="n">
        <v>0.1635583511537326</v>
      </c>
      <c r="K71" s="22" t="n">
        <v>0.655442307900014</v>
      </c>
    </row>
    <row r="72" ht="42" customHeight="1">
      <c r="A72" s="21" t="inlineStr">
        <is>
          <t>office2</t>
        </is>
      </c>
      <c r="B72" s="21" t="inlineStr">
        <is>
          <t>C 原图+CLIP（无VLM）</t>
        </is>
      </c>
      <c r="C72" s="22" t="n">
        <v>0.4274213123126236</v>
      </c>
      <c r="D72" s="22" t="n">
        <v>0.6029752958868543</v>
      </c>
      <c r="E72" s="22" t="n">
        <v>0.2531119530107198</v>
      </c>
      <c r="F72" s="22" t="n">
        <v>0.05261318914350951</v>
      </c>
      <c r="G72" s="22" t="n">
        <v>0.08926405319354429</v>
      </c>
      <c r="H72" s="22" t="n">
        <v>0.1490196078431373</v>
      </c>
      <c r="I72" s="22" t="n">
        <v>0.09509803921568627</v>
      </c>
      <c r="J72" s="22" t="n">
        <v>0.1330212197387609</v>
      </c>
      <c r="K72" s="22" t="n">
        <v>0.655402705222873</v>
      </c>
    </row>
    <row r="73" ht="42" customHeight="1">
      <c r="A73" s="21" t="inlineStr">
        <is>
          <t>office3</t>
        </is>
      </c>
      <c r="B73" s="21" t="inlineStr">
        <is>
          <t>A ali-my bff233f</t>
        </is>
      </c>
      <c r="C73" s="22" t="n">
        <v>0.3031920464641051</v>
      </c>
      <c r="D73" s="22" t="n">
        <v>0.4426522191182974</v>
      </c>
      <c r="E73" s="22" t="n">
        <v>0.1592394404725498</v>
      </c>
      <c r="F73" s="22" t="n">
        <v>0.01795175628606751</v>
      </c>
      <c r="G73" s="22" t="n">
        <v>0.1052486661589725</v>
      </c>
      <c r="H73" s="22" t="n">
        <v>0.1373188405797101</v>
      </c>
      <c r="I73" s="22" t="n">
        <v>0.1304347826086956</v>
      </c>
      <c r="J73" s="22" t="n">
        <v>0.1521446895176796</v>
      </c>
      <c r="K73" s="22" t="n">
        <v>0.5990754146061745</v>
      </c>
    </row>
    <row r="74" ht="42" customHeight="1">
      <c r="A74" s="21" t="inlineStr">
        <is>
          <t>office3</t>
        </is>
      </c>
      <c r="B74" s="21" t="inlineStr">
        <is>
          <t>B 原图（无VLM）</t>
        </is>
      </c>
      <c r="C74" s="22" t="n">
        <v>0.4324845007222496</v>
      </c>
      <c r="D74" s="22" t="n">
        <v>0.6364324629210492</v>
      </c>
      <c r="E74" s="22" t="n">
        <v>0.2589548794964225</v>
      </c>
      <c r="F74" s="22" t="n">
        <v>0.03918635209779091</v>
      </c>
      <c r="G74" s="22" t="n">
        <v>0.083186455481815</v>
      </c>
      <c r="H74" s="22" t="n">
        <v>0.1934782608695652</v>
      </c>
      <c r="I74" s="22" t="n">
        <v>0.1304347826086956</v>
      </c>
      <c r="J74" s="22" t="n">
        <v>0.1998005560112297</v>
      </c>
      <c r="K74" s="22" t="n">
        <v>0.6538041404933808</v>
      </c>
    </row>
    <row r="75" ht="42" customHeight="1">
      <c r="A75" s="21" t="inlineStr">
        <is>
          <t>office3</t>
        </is>
      </c>
      <c r="B75" s="21" t="inlineStr">
        <is>
          <t>C 原图+CLIP（无VLM）</t>
        </is>
      </c>
      <c r="C75" s="22" t="n">
        <v>0.4423465313396859</v>
      </c>
      <c r="D75" s="22" t="n">
        <v>0.6496420415089457</v>
      </c>
      <c r="E75" s="22" t="n">
        <v>0.3241833818221775</v>
      </c>
      <c r="F75" s="22" t="n">
        <v>0.04975504820841847</v>
      </c>
      <c r="G75" s="22" t="n">
        <v>0.1131723864014363</v>
      </c>
      <c r="H75" s="22" t="n">
        <v>0.2369565217391305</v>
      </c>
      <c r="I75" s="22" t="n">
        <v>0.1391304347826087</v>
      </c>
      <c r="J75" s="22" t="n">
        <v>0.2283815015939253</v>
      </c>
      <c r="K75" s="22" t="n">
        <v>0.6537401635440386</v>
      </c>
    </row>
    <row r="76" ht="42" customHeight="1">
      <c r="A76" s="21" t="inlineStr">
        <is>
          <t>office4</t>
        </is>
      </c>
      <c r="B76" s="21" t="inlineStr">
        <is>
          <t>A ali-my bff233f</t>
        </is>
      </c>
      <c r="C76" s="22" t="n">
        <v>0.4182680127036357</v>
      </c>
      <c r="D76" s="22" t="n">
        <v>0.7080927902151345</v>
      </c>
      <c r="E76" s="22" t="n">
        <v>0.3138602612853974</v>
      </c>
      <c r="F76" s="22" t="n">
        <v>0.02184135716053967</v>
      </c>
      <c r="G76" s="22" t="n">
        <v>0.1368461364452016</v>
      </c>
      <c r="H76" s="22" t="n">
        <v>0.1230769230769231</v>
      </c>
      <c r="I76" s="22" t="n">
        <v>0.07692307692307693</v>
      </c>
      <c r="J76" s="22" t="n">
        <v>0.1662807186698505</v>
      </c>
      <c r="K76" s="22" t="n">
        <v>0.6045088056419501</v>
      </c>
    </row>
    <row r="77" ht="42" customHeight="1">
      <c r="A77" s="21" t="inlineStr">
        <is>
          <t>office4</t>
        </is>
      </c>
      <c r="B77" s="21" t="inlineStr">
        <is>
          <t>B 原图（无VLM）</t>
        </is>
      </c>
      <c r="C77" s="22" t="n">
        <v>0.485370029265821</v>
      </c>
      <c r="D77" s="22" t="n">
        <v>0.7321650149554306</v>
      </c>
      <c r="E77" s="22" t="n">
        <v>0.2648509968358268</v>
      </c>
      <c r="F77" s="22" t="n">
        <v>0.08080078334852064</v>
      </c>
      <c r="G77" s="22" t="n">
        <v>0.1378964356039799</v>
      </c>
      <c r="H77" s="22" t="n">
        <v>0.1692307692307692</v>
      </c>
      <c r="I77" s="22" t="n">
        <v>0.1615384615384615</v>
      </c>
      <c r="J77" s="22" t="n">
        <v>0.1722902285392912</v>
      </c>
      <c r="K77" s="22" t="n">
        <v>0.7203114166286971</v>
      </c>
    </row>
    <row r="78" ht="42" customHeight="1">
      <c r="A78" s="21" t="inlineStr">
        <is>
          <t>office4</t>
        </is>
      </c>
      <c r="B78" s="21" t="inlineStr">
        <is>
          <t>C 原图+CLIP（无VLM）</t>
        </is>
      </c>
      <c r="C78" s="22" t="n">
        <v>0.4928598800340697</v>
      </c>
      <c r="D78" s="22" t="n">
        <v>0.7688218660032112</v>
      </c>
      <c r="E78" s="22" t="n">
        <v>0.2612046701208119</v>
      </c>
      <c r="F78" s="22" t="n">
        <v>0.07998552355760163</v>
      </c>
      <c r="G78" s="22" t="n">
        <v>0.1435141115002427</v>
      </c>
      <c r="H78" s="22" t="n">
        <v>0.2076923076923077</v>
      </c>
      <c r="I78" s="22" t="n">
        <v>0.2</v>
      </c>
      <c r="J78" s="22" t="n">
        <v>0.1784745534140487</v>
      </c>
      <c r="K78" s="22" t="n">
        <v>0.7202836823233424</v>
      </c>
    </row>
    <row r="79" ht="28" customHeight="1">
      <c r="A79" s="3" t="inlineStr">
        <is>
          <t>room1</t>
        </is>
      </c>
      <c r="B79" s="3" t="inlineStr">
        <is>
          <t>v7_CLIP_no90</t>
        </is>
      </c>
      <c r="C79" s="4" t="n">
        <v>0.4835277712430571</v>
      </c>
      <c r="D79" s="4" t="n">
        <v>0.6486227793090682</v>
      </c>
      <c r="E79" s="4" t="n">
        <v>0.2523145044209976</v>
      </c>
      <c r="F79" s="4" t="n">
        <v>0.03904615638990638</v>
      </c>
      <c r="G79" s="4" t="n">
        <v>0.1942595929361401</v>
      </c>
      <c r="H79" s="4" t="n">
        <v>0.3437343358395991</v>
      </c>
      <c r="I79" s="4" t="n">
        <v>0.2350250626566416</v>
      </c>
      <c r="J79" s="4" t="n">
        <v>0.3605355242124516</v>
      </c>
      <c r="K79" s="4" t="n">
        <v>0.7497624418798645</v>
      </c>
    </row>
    <row r="80" ht="28" customHeight="1">
      <c r="A80" s="3" t="inlineStr">
        <is>
          <t>office1</t>
        </is>
      </c>
      <c r="B80" s="3" t="inlineStr">
        <is>
          <t>v7_CLIP_no90</t>
        </is>
      </c>
      <c r="C80" s="4" t="n">
        <v>0.4732839666096738</v>
      </c>
      <c r="D80" s="4" t="n">
        <v>0.6777124183006538</v>
      </c>
      <c r="E80" s="4" t="n">
        <v>0.5118804109547144</v>
      </c>
      <c r="F80" s="4" t="n">
        <v>0.1791624158435304</v>
      </c>
      <c r="G80" s="4" t="n">
        <v>0.1667219007917106</v>
      </c>
      <c r="H80" s="4" t="n">
        <v>0.3088235294117647</v>
      </c>
      <c r="I80" s="4" t="n">
        <v>0.25</v>
      </c>
      <c r="J80" s="4" t="n">
        <v>0.255230560802329</v>
      </c>
      <c r="K80" s="4" t="n">
        <v>0.7073961339289244</v>
      </c>
    </row>
    <row r="81" ht="28" customHeight="1">
      <c r="A81" s="3" t="inlineStr">
        <is>
          <t>room0</t>
        </is>
      </c>
      <c r="B81" s="3" t="inlineStr">
        <is>
          <t>v7_CLIP_no90</t>
        </is>
      </c>
      <c r="C81" s="4" t="n">
        <v>0.4661768032058916</v>
      </c>
      <c r="D81" s="4" t="n">
        <v>0.6465322842014201</v>
      </c>
      <c r="E81" s="4" t="n">
        <v>0.3430861999416701</v>
      </c>
      <c r="F81" s="4" t="n">
        <v>0.04422194293773483</v>
      </c>
      <c r="G81" s="4" t="n">
        <v>0.1710098451140627</v>
      </c>
      <c r="H81" s="4" t="n">
        <v>0.2810019841269841</v>
      </c>
      <c r="I81" s="4" t="n">
        <v>0.2394593253968254</v>
      </c>
      <c r="J81" s="4" t="n">
        <v>0.2756830490136449</v>
      </c>
      <c r="K81" s="4" t="n">
        <v>0.7709212239510634</v>
      </c>
    </row>
    <row r="82" ht="28" customHeight="1">
      <c r="A82" s="3" t="inlineStr">
        <is>
          <t>room2</t>
        </is>
      </c>
      <c r="B82" s="3" t="inlineStr">
        <is>
          <t>v7_CLIP_no90</t>
        </is>
      </c>
      <c r="C82" s="4" t="n">
        <v>0.4084134094936701</v>
      </c>
      <c r="D82" s="4" t="n">
        <v>0.5932274230451894</v>
      </c>
      <c r="E82" s="4" t="n">
        <v>0.193420965893535</v>
      </c>
      <c r="F82" s="4" t="n">
        <v>0.008773141751865155</v>
      </c>
      <c r="G82" s="4" t="n">
        <v>0.124802055520906</v>
      </c>
      <c r="H82" s="4" t="n">
        <v>0.2209821428571428</v>
      </c>
      <c r="I82" s="4" t="n">
        <v>0.1319754464285715</v>
      </c>
      <c r="J82" s="4" t="n">
        <v>0.2218539835143407</v>
      </c>
      <c r="K82" s="4" t="n">
        <v>0.6715758725633043</v>
      </c>
    </row>
    <row r="83" ht="28" customHeight="1">
      <c r="A83" s="3" t="inlineStr">
        <is>
          <t>office0</t>
        </is>
      </c>
      <c r="B83" s="3" t="inlineStr">
        <is>
          <t>v7_CLIP_no90</t>
        </is>
      </c>
      <c r="C83" s="4" t="n">
        <v>0.3465710689974439</v>
      </c>
      <c r="D83" s="4" t="n">
        <v>0.5974923658488973</v>
      </c>
      <c r="E83" s="4" t="n">
        <v>0.2548407339399242</v>
      </c>
      <c r="F83" s="4" t="n">
        <v>0.07610755100856911</v>
      </c>
      <c r="G83" s="4" t="n">
        <v>0.1435326586426535</v>
      </c>
      <c r="H83" s="4" t="n">
        <v>0.2625</v>
      </c>
      <c r="I83" s="4" t="n">
        <v>0.15</v>
      </c>
      <c r="J83" s="4" t="n">
        <v>0.2238767799920991</v>
      </c>
      <c r="K83" s="4" t="n">
        <v>0.5464027117556211</v>
      </c>
    </row>
    <row r="84" ht="28" customHeight="1">
      <c r="A84" s="3" t="inlineStr">
        <is>
          <t>office2</t>
        </is>
      </c>
      <c r="B84" s="3" t="inlineStr">
        <is>
          <t>v7_CLIP_no90</t>
        </is>
      </c>
      <c r="C84" s="4" t="n">
        <v>0.4585974996107619</v>
      </c>
      <c r="D84" s="4" t="n">
        <v>0.6734813975707055</v>
      </c>
      <c r="E84" s="4" t="n">
        <v>0.2527074787915329</v>
      </c>
      <c r="F84" s="4" t="n">
        <v>0.05161327980358092</v>
      </c>
      <c r="G84" s="4" t="n">
        <v>0.1021908813070087</v>
      </c>
      <c r="H84" s="4" t="n">
        <v>0.1490196078431373</v>
      </c>
      <c r="I84" s="4" t="n">
        <v>0.1294117647058824</v>
      </c>
      <c r="J84" s="4" t="n">
        <v>0.1334076713399092</v>
      </c>
      <c r="K84" s="4" t="n">
        <v>0.6476765829370066</v>
      </c>
    </row>
    <row r="85" ht="28" customHeight="1">
      <c r="A85" s="3" t="inlineStr">
        <is>
          <t>office3</t>
        </is>
      </c>
      <c r="B85" s="3" t="inlineStr">
        <is>
          <t>v7_CLIP_no90</t>
        </is>
      </c>
      <c r="C85" s="4" t="n">
        <v>0.4445099993953437</v>
      </c>
      <c r="D85" s="4" t="n">
        <v>0.6921923516047899</v>
      </c>
      <c r="E85" s="4" t="n">
        <v>0.2956189791665362</v>
      </c>
      <c r="F85" s="4" t="n">
        <v>0.04371217075402224</v>
      </c>
      <c r="G85" s="4" t="n">
        <v>0.09751069901555848</v>
      </c>
      <c r="H85" s="4" t="n">
        <v>0.1942028985507246</v>
      </c>
      <c r="I85" s="4" t="n">
        <v>0.1340579710144927</v>
      </c>
      <c r="J85" s="4" t="n">
        <v>0.2089389377849904</v>
      </c>
      <c r="K85" s="4" t="n">
        <v>0.6325495762119485</v>
      </c>
    </row>
    <row r="86" ht="28" customHeight="1">
      <c r="A86" s="3" t="inlineStr">
        <is>
          <t>office4</t>
        </is>
      </c>
      <c r="B86" s="3" t="inlineStr">
        <is>
          <t>v7_CLIP_no90</t>
        </is>
      </c>
      <c r="C86" s="4" t="n">
        <v>0.4819955556270623</v>
      </c>
      <c r="D86" s="4" t="n">
        <v>0.8028956500733725</v>
      </c>
      <c r="E86" s="4" t="n">
        <v>0.2549524753988563</v>
      </c>
      <c r="F86" s="4" t="n">
        <v>0.06666109635858534</v>
      </c>
      <c r="G86" s="4" t="n">
        <v>0.1521270377756063</v>
      </c>
      <c r="H86" s="4" t="n">
        <v>0.1923076923076923</v>
      </c>
      <c r="I86" s="4" t="n">
        <v>0.1923076923076923</v>
      </c>
      <c r="J86" s="4" t="n">
        <v>0.1888929996102307</v>
      </c>
      <c r="K86" s="4" t="n">
        <v>0.702292042235385</v>
      </c>
    </row>
    <row r="87"/>
    <row r="88"/>
    <row r="89" ht="32" customHeight="1">
      <c r="A89" s="1" t="inlineStr">
        <is>
          <t>v7_CLIP_no90_new：八景三方比较</t>
        </is>
      </c>
    </row>
    <row r="90" ht="42" customHeight="1">
      <c r="A90" s="30" t="inlineStr">
        <is>
          <t>场景</t>
        </is>
      </c>
      <c r="B90" s="30" t="inlineStr">
        <is>
          <t>方法</t>
        </is>
      </c>
      <c r="C90" s="30" t="inlineStr">
        <is>
          <t>Inst. mIoU</t>
        </is>
      </c>
      <c r="D90" s="30" t="inlineStr">
        <is>
          <t>Inst. AP25</t>
        </is>
      </c>
      <c r="E90" s="30" t="inlineStr">
        <is>
          <t>Inst. AP50</t>
        </is>
      </c>
      <c r="F90" s="30" t="inlineStr">
        <is>
          <t>Inst. AP75</t>
        </is>
      </c>
      <c r="G90" s="30" t="inlineStr">
        <is>
          <t>Sem. mIoU</t>
        </is>
      </c>
      <c r="H90" s="30" t="inlineStr">
        <is>
          <t>Sem. AP25</t>
        </is>
      </c>
      <c r="I90" s="30" t="inlineStr">
        <is>
          <t>Sem. AP50</t>
        </is>
      </c>
      <c r="J90" s="30" t="inlineStr">
        <is>
          <t>mAcc</t>
        </is>
      </c>
      <c r="K90" s="30" t="inlineStr">
        <is>
          <t>Object Surface Coverage@5cm</t>
        </is>
      </c>
    </row>
    <row r="91" ht="42" customHeight="1">
      <c r="A91" s="27" t="inlineStr">
        <is>
          <t>room0</t>
        </is>
      </c>
      <c r="B91" s="27" t="inlineStr">
        <is>
          <t>v7_CLIP_no90_new</t>
        </is>
      </c>
      <c r="C91" s="14" t="n">
        <v>0.4498358548032357</v>
      </c>
      <c r="D91" s="14" t="n">
        <v>0.6559701833380571</v>
      </c>
      <c r="E91" s="14" t="n">
        <v>0.3202555152130894</v>
      </c>
      <c r="F91" s="14" t="n">
        <v>0.04619614936344985</v>
      </c>
      <c r="G91" s="14" t="n">
        <v>0.1557758678196038</v>
      </c>
      <c r="H91" s="14" t="n">
        <v>0.2705853174603174</v>
      </c>
      <c r="I91" s="14" t="n">
        <v>0.2281746031746032</v>
      </c>
      <c r="J91" s="14" t="n">
        <v>0.2454067006517872</v>
      </c>
      <c r="K91" s="14" t="n">
        <v>0.7650408810017799</v>
      </c>
    </row>
    <row r="92" ht="42" customHeight="1">
      <c r="A92" s="31" t="inlineStr">
        <is>
          <t>room0</t>
        </is>
      </c>
      <c r="B92" s="31" t="inlineStr">
        <is>
          <t>v7_CLIP_no90</t>
        </is>
      </c>
      <c r="C92" s="33" t="n">
        <v>0.4661768032058916</v>
      </c>
      <c r="D92" s="33" t="n">
        <v>0.6465322842014201</v>
      </c>
      <c r="E92" s="33" t="n">
        <v>0.3430861999416701</v>
      </c>
      <c r="F92" s="33" t="n">
        <v>0.04422194293773483</v>
      </c>
      <c r="G92" s="33" t="n">
        <v>0.1710098451140627</v>
      </c>
      <c r="H92" s="33" t="n">
        <v>0.2810019841269841</v>
      </c>
      <c r="I92" s="33" t="n">
        <v>0.2394593253968254</v>
      </c>
      <c r="J92" s="33" t="n">
        <v>0.2756830490136449</v>
      </c>
      <c r="K92" s="33" t="n">
        <v>0.7709212239510634</v>
      </c>
    </row>
    <row r="93" ht="42" customHeight="1">
      <c r="A93" s="27" t="inlineStr">
        <is>
          <t>room0</t>
        </is>
      </c>
      <c r="B93" s="27" t="inlineStr">
        <is>
          <t>OVI_MAP</t>
        </is>
      </c>
      <c r="C93" s="14" t="n">
        <v>0.461697466047436</v>
      </c>
      <c r="D93" s="14" t="n">
        <v>0.5578941898535368</v>
      </c>
      <c r="E93" s="14" t="n">
        <v>0.3386461133042409</v>
      </c>
      <c r="F93" s="14" t="n">
        <v>0.06555361648153979</v>
      </c>
      <c r="G93" s="14" t="n">
        <v>0.1978566868964842</v>
      </c>
      <c r="H93" s="14" t="n">
        <v>0.2691592261904762</v>
      </c>
      <c r="I93" s="14" t="n">
        <v>0.2202380952380952</v>
      </c>
      <c r="J93" s="14" t="n">
        <v>0.2623306230248453</v>
      </c>
      <c r="K93" s="14" t="n">
        <v>0.8109848290278563</v>
      </c>
    </row>
    <row r="94" ht="42" customHeight="1">
      <c r="A94" s="31" t="inlineStr">
        <is>
          <t>room1</t>
        </is>
      </c>
      <c r="B94" s="31" t="inlineStr">
        <is>
          <t>v7_CLIP_no90_new</t>
        </is>
      </c>
      <c r="C94" s="33" t="n">
        <v>0.4446092827279287</v>
      </c>
      <c r="D94" s="33" t="n">
        <v>0.5943094692141179</v>
      </c>
      <c r="E94" s="33" t="n">
        <v>0.217545140311571</v>
      </c>
      <c r="F94" s="33" t="n">
        <v>0.03511214207905384</v>
      </c>
      <c r="G94" s="33" t="n">
        <v>0.1779050599638682</v>
      </c>
      <c r="H94" s="33" t="n">
        <v>0.3375939849624061</v>
      </c>
      <c r="I94" s="33" t="n">
        <v>0.2343984962406015</v>
      </c>
      <c r="J94" s="33" t="n">
        <v>0.3541357081132779</v>
      </c>
      <c r="K94" s="33" t="n">
        <v>0.7499365302732462</v>
      </c>
    </row>
    <row r="95" ht="42" customHeight="1">
      <c r="A95" s="27" t="inlineStr">
        <is>
          <t>room1</t>
        </is>
      </c>
      <c r="B95" s="27" t="inlineStr">
        <is>
          <t>v7_CLIP_no90</t>
        </is>
      </c>
      <c r="C95" s="14" t="n">
        <v>0.4835277712430571</v>
      </c>
      <c r="D95" s="14" t="n">
        <v>0.6486227793090682</v>
      </c>
      <c r="E95" s="14" t="n">
        <v>0.2523145044209976</v>
      </c>
      <c r="F95" s="14" t="n">
        <v>0.03904615638990638</v>
      </c>
      <c r="G95" s="14" t="n">
        <v>0.1942595929361401</v>
      </c>
      <c r="H95" s="14" t="n">
        <v>0.3437343358395991</v>
      </c>
      <c r="I95" s="14" t="n">
        <v>0.2350250626566416</v>
      </c>
      <c r="J95" s="14" t="n">
        <v>0.3605355242124516</v>
      </c>
      <c r="K95" s="14" t="n">
        <v>0.7497624418798645</v>
      </c>
    </row>
    <row r="96" ht="42" customHeight="1">
      <c r="A96" s="31" t="inlineStr">
        <is>
          <t>room1</t>
        </is>
      </c>
      <c r="B96" s="31" t="inlineStr">
        <is>
          <t>OVI_MAP</t>
        </is>
      </c>
      <c r="C96" s="33" t="n">
        <v>0.5308433414953346</v>
      </c>
      <c r="D96" s="33" t="n">
        <v>0.7184038440529159</v>
      </c>
      <c r="E96" s="33" t="n">
        <v>0.2796791877290669</v>
      </c>
      <c r="F96" s="33" t="n">
        <v>0.08314988926566022</v>
      </c>
      <c r="G96" s="33" t="n">
        <v>0.2048829527606001</v>
      </c>
      <c r="H96" s="33" t="n">
        <v>0.3007518796992481</v>
      </c>
      <c r="I96" s="33" t="n">
        <v>0.1818922305764411</v>
      </c>
      <c r="J96" s="33" t="n">
        <v>0.3018541851609077</v>
      </c>
      <c r="K96" s="33" t="n">
        <v>0.7738192817403037</v>
      </c>
    </row>
    <row r="97" ht="42" customHeight="1">
      <c r="A97" s="27" t="inlineStr">
        <is>
          <t>room2</t>
        </is>
      </c>
      <c r="B97" s="27" t="inlineStr">
        <is>
          <t>v7_CLIP_no90_new</t>
        </is>
      </c>
      <c r="C97" s="14" t="n">
        <v>0.4167550660229828</v>
      </c>
      <c r="D97" s="14" t="n">
        <v>0.6106701617411842</v>
      </c>
      <c r="E97" s="14" t="n">
        <v>0.1782955716587107</v>
      </c>
      <c r="F97" s="14" t="n">
        <v>0.003360351232691658</v>
      </c>
      <c r="G97" s="14" t="n">
        <v>0.1227158656881087</v>
      </c>
      <c r="H97" s="14" t="n">
        <v>0.2231770833333333</v>
      </c>
      <c r="I97" s="14" t="n">
        <v>0.07903645833333334</v>
      </c>
      <c r="J97" s="14" t="n">
        <v>0.2195507218499695</v>
      </c>
      <c r="K97" s="14" t="n">
        <v>0.6639238007386521</v>
      </c>
    </row>
    <row r="98" ht="42" customHeight="1">
      <c r="A98" s="31" t="inlineStr">
        <is>
          <t>room2</t>
        </is>
      </c>
      <c r="B98" s="31" t="inlineStr">
        <is>
          <t>v7_CLIP_no90</t>
        </is>
      </c>
      <c r="C98" s="33" t="n">
        <v>0.4084134094936701</v>
      </c>
      <c r="D98" s="33" t="n">
        <v>0.5932274230451894</v>
      </c>
      <c r="E98" s="33" t="n">
        <v>0.193420965893535</v>
      </c>
      <c r="F98" s="33" t="n">
        <v>0.008773141751865155</v>
      </c>
      <c r="G98" s="33" t="n">
        <v>0.124802055520906</v>
      </c>
      <c r="H98" s="33" t="n">
        <v>0.2209821428571428</v>
      </c>
      <c r="I98" s="33" t="n">
        <v>0.1319754464285715</v>
      </c>
      <c r="J98" s="33" t="n">
        <v>0.2218539835143407</v>
      </c>
      <c r="K98" s="33" t="n">
        <v>0.6715758725633043</v>
      </c>
    </row>
    <row r="99" ht="42" customHeight="1">
      <c r="A99" s="27" t="inlineStr">
        <is>
          <t>room2</t>
        </is>
      </c>
      <c r="B99" s="27" t="inlineStr">
        <is>
          <t>OVI_MAP</t>
        </is>
      </c>
      <c r="C99" s="14" t="n">
        <v>0.443249387360472</v>
      </c>
      <c r="D99" s="14" t="n">
        <v>0.6197058352643331</v>
      </c>
      <c r="E99" s="14" t="n">
        <v>0.3341814643965065</v>
      </c>
      <c r="F99" s="14" t="n">
        <v>0.03961998917726232</v>
      </c>
      <c r="G99" s="14" t="n">
        <v>0.1756290492721754</v>
      </c>
      <c r="H99" s="14" t="n">
        <v>0.1869791666666666</v>
      </c>
      <c r="I99" s="14" t="n">
        <v>0.16875</v>
      </c>
      <c r="J99" s="14" t="n">
        <v>0.2591181619919237</v>
      </c>
      <c r="K99" s="14" t="n">
        <v>0.7365625775252711</v>
      </c>
    </row>
    <row r="100" ht="42" customHeight="1">
      <c r="A100" s="31" t="inlineStr">
        <is>
          <t>office0</t>
        </is>
      </c>
      <c r="B100" s="31" t="inlineStr">
        <is>
          <t>v7_CLIP_no90_new</t>
        </is>
      </c>
      <c r="C100" s="33" t="n">
        <v>0.3264714997220326</v>
      </c>
      <c r="D100" s="33" t="n">
        <v>0.5534714182602978</v>
      </c>
      <c r="E100" s="33" t="n">
        <v>0.202959096683793</v>
      </c>
      <c r="F100" s="33" t="n">
        <v>0.06791958041958042</v>
      </c>
      <c r="G100" s="33" t="n">
        <v>0.1518273286266295</v>
      </c>
      <c r="H100" s="33" t="n">
        <v>0.3</v>
      </c>
      <c r="I100" s="33" t="n">
        <v>0.15</v>
      </c>
      <c r="J100" s="33" t="n">
        <v>0.2178159528901021</v>
      </c>
      <c r="K100" s="33" t="n">
        <v>0.5470164670958942</v>
      </c>
    </row>
    <row r="101" ht="42" customHeight="1">
      <c r="A101" s="27" t="inlineStr">
        <is>
          <t>office0</t>
        </is>
      </c>
      <c r="B101" s="27" t="inlineStr">
        <is>
          <t>v7_CLIP_no90</t>
        </is>
      </c>
      <c r="C101" s="14" t="n">
        <v>0.3465710689974439</v>
      </c>
      <c r="D101" s="14" t="n">
        <v>0.5974923658488973</v>
      </c>
      <c r="E101" s="14" t="n">
        <v>0.2548407339399242</v>
      </c>
      <c r="F101" s="14" t="n">
        <v>0.07610755100856911</v>
      </c>
      <c r="G101" s="14" t="n">
        <v>0.1435326586426535</v>
      </c>
      <c r="H101" s="14" t="n">
        <v>0.2625</v>
      </c>
      <c r="I101" s="14" t="n">
        <v>0.15</v>
      </c>
      <c r="J101" s="14" t="n">
        <v>0.2238767799920991</v>
      </c>
      <c r="K101" s="14" t="n">
        <v>0.5464027117556211</v>
      </c>
    </row>
    <row r="102" ht="42" customHeight="1">
      <c r="A102" s="31" t="inlineStr">
        <is>
          <t>office0</t>
        </is>
      </c>
      <c r="B102" s="31" t="inlineStr">
        <is>
          <t>OVI_MAP</t>
        </is>
      </c>
      <c r="C102" s="33" t="n">
        <v>0.4432503193942858</v>
      </c>
      <c r="D102" s="33" t="n">
        <v>0.5653563348416289</v>
      </c>
      <c r="E102" s="33" t="n">
        <v>0.2992126013887147</v>
      </c>
      <c r="F102" s="33" t="n">
        <v>0.1333471858775503</v>
      </c>
      <c r="G102" s="33" t="n">
        <v>0.1802461216696858</v>
      </c>
      <c r="H102" s="33" t="n">
        <v>0.3375</v>
      </c>
      <c r="I102" s="33" t="n">
        <v>0.225</v>
      </c>
      <c r="J102" s="33" t="n">
        <v>0.2916928397655629</v>
      </c>
      <c r="K102" s="33" t="n">
        <v>0.8451491265017952</v>
      </c>
    </row>
    <row r="103" ht="42" customHeight="1">
      <c r="A103" s="27" t="inlineStr">
        <is>
          <t>office1</t>
        </is>
      </c>
      <c r="B103" s="27" t="inlineStr">
        <is>
          <t>v7_CLIP_no90_new</t>
        </is>
      </c>
      <c r="C103" s="14" t="n">
        <v>0.4637784361761501</v>
      </c>
      <c r="D103" s="14" t="n">
        <v>0.6375735294117647</v>
      </c>
      <c r="E103" s="14" t="n">
        <v>0.5234465567112626</v>
      </c>
      <c r="F103" s="14" t="n">
        <v>0.1648769841269841</v>
      </c>
      <c r="G103" s="14" t="n">
        <v>0.1514261778700816</v>
      </c>
      <c r="H103" s="14" t="n">
        <v>0.25</v>
      </c>
      <c r="I103" s="14" t="n">
        <v>0.25</v>
      </c>
      <c r="J103" s="14" t="n">
        <v>0.2324727043425563</v>
      </c>
      <c r="K103" s="14" t="n">
        <v>0.7076446105975299</v>
      </c>
    </row>
    <row r="104" ht="42" customHeight="1">
      <c r="A104" s="31" t="inlineStr">
        <is>
          <t>office1</t>
        </is>
      </c>
      <c r="B104" s="31" t="inlineStr">
        <is>
          <t>v7_CLIP_no90</t>
        </is>
      </c>
      <c r="C104" s="33" t="n">
        <v>0.4732839666096738</v>
      </c>
      <c r="D104" s="33" t="n">
        <v>0.6777124183006538</v>
      </c>
      <c r="E104" s="33" t="n">
        <v>0.5118804109547144</v>
      </c>
      <c r="F104" s="33" t="n">
        <v>0.1791624158435304</v>
      </c>
      <c r="G104" s="33" t="n">
        <v>0.1667219007917106</v>
      </c>
      <c r="H104" s="33" t="n">
        <v>0.3088235294117647</v>
      </c>
      <c r="I104" s="33" t="n">
        <v>0.25</v>
      </c>
      <c r="J104" s="33" t="n">
        <v>0.255230560802329</v>
      </c>
      <c r="K104" s="33" t="n">
        <v>0.7073961339289244</v>
      </c>
    </row>
    <row r="105" ht="42" customHeight="1">
      <c r="A105" s="27" t="inlineStr">
        <is>
          <t>office1</t>
        </is>
      </c>
      <c r="B105" s="27" t="inlineStr">
        <is>
          <t>OVI_MAP</t>
        </is>
      </c>
      <c r="C105" s="14" t="n">
        <v>0.4473195491092988</v>
      </c>
      <c r="D105" s="14" t="n">
        <v>0.5870133591898297</v>
      </c>
      <c r="E105" s="14" t="n">
        <v>0.4226128316128316</v>
      </c>
      <c r="F105" s="14" t="n">
        <v>0.07089082554872028</v>
      </c>
      <c r="G105" s="14" t="n">
        <v>0.1234151821911196</v>
      </c>
      <c r="H105" s="14" t="n">
        <v>0.2352941176470588</v>
      </c>
      <c r="I105" s="14" t="n">
        <v>0.1764705882352941</v>
      </c>
      <c r="J105" s="14" t="n">
        <v>0.1462614799574493</v>
      </c>
      <c r="K105" s="14" t="n">
        <v>0.77523591165525</v>
      </c>
    </row>
    <row r="106" ht="42" customHeight="1">
      <c r="A106" s="31" t="inlineStr">
        <is>
          <t>office2</t>
        </is>
      </c>
      <c r="B106" s="31" t="inlineStr">
        <is>
          <t>v7_CLIP_no90_new</t>
        </is>
      </c>
      <c r="C106" s="33" t="n">
        <v>0.4248306302906869</v>
      </c>
      <c r="D106" s="33" t="n">
        <v>0.6334774566211512</v>
      </c>
      <c r="E106" s="33" t="n">
        <v>0.2423610783126093</v>
      </c>
      <c r="F106" s="33" t="n">
        <v>0.04250716914160008</v>
      </c>
      <c r="G106" s="33" t="n">
        <v>0.1166129730055105</v>
      </c>
      <c r="H106" s="33" t="n">
        <v>0.1490196078431373</v>
      </c>
      <c r="I106" s="33" t="n">
        <v>0.1294117647058824</v>
      </c>
      <c r="J106" s="33" t="n">
        <v>0.1250472636035072</v>
      </c>
      <c r="K106" s="33" t="n">
        <v>0.6315870952876415</v>
      </c>
    </row>
    <row r="107" ht="42" customHeight="1">
      <c r="A107" s="27" t="inlineStr">
        <is>
          <t>office2</t>
        </is>
      </c>
      <c r="B107" s="27" t="inlineStr">
        <is>
          <t>v7_CLIP_no90</t>
        </is>
      </c>
      <c r="C107" s="14" t="n">
        <v>0.4585974996107619</v>
      </c>
      <c r="D107" s="14" t="n">
        <v>0.6734813975707055</v>
      </c>
      <c r="E107" s="14" t="n">
        <v>0.2527074787915329</v>
      </c>
      <c r="F107" s="14" t="n">
        <v>0.05161327980358092</v>
      </c>
      <c r="G107" s="14" t="n">
        <v>0.1021908813070087</v>
      </c>
      <c r="H107" s="14" t="n">
        <v>0.1490196078431373</v>
      </c>
      <c r="I107" s="14" t="n">
        <v>0.1294117647058824</v>
      </c>
      <c r="J107" s="14" t="n">
        <v>0.1334076713399092</v>
      </c>
      <c r="K107" s="14" t="n">
        <v>0.6476765829370066</v>
      </c>
    </row>
    <row r="108" ht="42" customHeight="1">
      <c r="A108" s="31" t="inlineStr">
        <is>
          <t>office2</t>
        </is>
      </c>
      <c r="B108" s="31" t="inlineStr">
        <is>
          <t>OVI_MAP</t>
        </is>
      </c>
      <c r="C108" s="33" t="n">
        <v>0.4837386724777433</v>
      </c>
      <c r="D108" s="33" t="n">
        <v>0.7074648988515204</v>
      </c>
      <c r="E108" s="33" t="n">
        <v>0.3599542234985441</v>
      </c>
      <c r="F108" s="33" t="n">
        <v>0.02925363389583002</v>
      </c>
      <c r="G108" s="33" t="n">
        <v>0.1676560909201648</v>
      </c>
      <c r="H108" s="33" t="n">
        <v>0.2352941176470588</v>
      </c>
      <c r="I108" s="33" t="n">
        <v>0.1470588235294118</v>
      </c>
      <c r="J108" s="33" t="n">
        <v>0.2422804162358396</v>
      </c>
      <c r="K108" s="33" t="n">
        <v>0.6545890502197949</v>
      </c>
    </row>
    <row r="109" ht="42" customHeight="1">
      <c r="A109" s="27" t="inlineStr">
        <is>
          <t>office3</t>
        </is>
      </c>
      <c r="B109" s="27" t="inlineStr">
        <is>
          <t>v7_CLIP_no90_new</t>
        </is>
      </c>
      <c r="C109" s="14" t="n">
        <v>0.4696946832787082</v>
      </c>
      <c r="D109" s="14" t="n">
        <v>0.6839511468895256</v>
      </c>
      <c r="E109" s="14" t="n">
        <v>0.3090927963655623</v>
      </c>
      <c r="F109" s="14" t="n">
        <v>0.05745025750188593</v>
      </c>
      <c r="G109" s="14" t="n">
        <v>0.08655319028907998</v>
      </c>
      <c r="H109" s="14" t="n">
        <v>0.1869565217391304</v>
      </c>
      <c r="I109" s="14" t="n">
        <v>0.1422360248447205</v>
      </c>
      <c r="J109" s="14" t="n">
        <v>0.1971429462745485</v>
      </c>
      <c r="K109" s="14" t="n">
        <v>0.6302914268518365</v>
      </c>
    </row>
    <row r="110" ht="42" customHeight="1">
      <c r="A110" s="31" t="inlineStr">
        <is>
          <t>office3</t>
        </is>
      </c>
      <c r="B110" s="31" t="inlineStr">
        <is>
          <t>v7_CLIP_no90</t>
        </is>
      </c>
      <c r="C110" s="33" t="n">
        <v>0.4445099993953437</v>
      </c>
      <c r="D110" s="33" t="n">
        <v>0.6921923516047899</v>
      </c>
      <c r="E110" s="33" t="n">
        <v>0.2956189791665362</v>
      </c>
      <c r="F110" s="33" t="n">
        <v>0.04371217075402224</v>
      </c>
      <c r="G110" s="33" t="n">
        <v>0.09751069901555848</v>
      </c>
      <c r="H110" s="33" t="n">
        <v>0.1942028985507246</v>
      </c>
      <c r="I110" s="33" t="n">
        <v>0.1340579710144927</v>
      </c>
      <c r="J110" s="33" t="n">
        <v>0.2089389377849904</v>
      </c>
      <c r="K110" s="33" t="n">
        <v>0.6325495762119485</v>
      </c>
    </row>
    <row r="111" ht="42" customHeight="1">
      <c r="A111" s="27" t="inlineStr">
        <is>
          <t>office3</t>
        </is>
      </c>
      <c r="B111" s="27" t="inlineStr">
        <is>
          <t>OVI_MAP</t>
        </is>
      </c>
      <c r="C111" s="14" t="n">
        <v>0.3847540211952144</v>
      </c>
      <c r="D111" s="14" t="n">
        <v>0.5384832190978905</v>
      </c>
      <c r="E111" s="14" t="n">
        <v>0.2419482951375733</v>
      </c>
      <c r="F111" s="14" t="n">
        <v>0.02279699970992406</v>
      </c>
      <c r="G111" s="14" t="n">
        <v>0.1014915414414958</v>
      </c>
      <c r="H111" s="14" t="n">
        <v>0.1185472739820566</v>
      </c>
      <c r="I111" s="14" t="n">
        <v>0.1004313319530711</v>
      </c>
      <c r="J111" s="14" t="n">
        <v>0.1528512145754292</v>
      </c>
      <c r="K111" s="14" t="n">
        <v>0.6385018020174065</v>
      </c>
    </row>
    <row r="112" ht="42" customHeight="1">
      <c r="A112" s="31" t="inlineStr">
        <is>
          <t>office4</t>
        </is>
      </c>
      <c r="B112" s="31" t="inlineStr">
        <is>
          <t>v7_CLIP_no90_new</t>
        </is>
      </c>
      <c r="C112" s="33" t="n">
        <v>0.4813769177516024</v>
      </c>
      <c r="D112" s="33" t="n">
        <v>0.7434101039909994</v>
      </c>
      <c r="E112" s="33" t="n">
        <v>0.267136663112696</v>
      </c>
      <c r="F112" s="33" t="n">
        <v>0.0814669148583074</v>
      </c>
      <c r="G112" s="33" t="n">
        <v>0.1333198106933448</v>
      </c>
      <c r="H112" s="33" t="n">
        <v>0.1923076923076923</v>
      </c>
      <c r="I112" s="33" t="n">
        <v>0.1923076923076923</v>
      </c>
      <c r="J112" s="33" t="n">
        <v>0.1695095817732247</v>
      </c>
      <c r="K112" s="33" t="n">
        <v>0.7129261673171021</v>
      </c>
    </row>
    <row r="113" ht="42" customHeight="1">
      <c r="A113" s="27" t="inlineStr">
        <is>
          <t>office4</t>
        </is>
      </c>
      <c r="B113" s="27" t="inlineStr">
        <is>
          <t>v7_CLIP_no90</t>
        </is>
      </c>
      <c r="C113" s="14" t="n">
        <v>0.4819955556270623</v>
      </c>
      <c r="D113" s="14" t="n">
        <v>0.8028956500733725</v>
      </c>
      <c r="E113" s="14" t="n">
        <v>0.2549524753988563</v>
      </c>
      <c r="F113" s="14" t="n">
        <v>0.06666109635858534</v>
      </c>
      <c r="G113" s="14" t="n">
        <v>0.1521270377756063</v>
      </c>
      <c r="H113" s="14" t="n">
        <v>0.1923076923076923</v>
      </c>
      <c r="I113" s="14" t="n">
        <v>0.1923076923076923</v>
      </c>
      <c r="J113" s="14" t="n">
        <v>0.1888929996102307</v>
      </c>
      <c r="K113" s="14" t="n">
        <v>0.702292042235385</v>
      </c>
    </row>
    <row r="114" ht="42" customHeight="1">
      <c r="A114" s="31" t="inlineStr">
        <is>
          <t>office4</t>
        </is>
      </c>
      <c r="B114" s="31" t="inlineStr">
        <is>
          <t>OVI_MAP</t>
        </is>
      </c>
      <c r="C114" s="33" t="n">
        <v>0.4192642174894631</v>
      </c>
      <c r="D114" s="33" t="n">
        <v>0.6219905704005759</v>
      </c>
      <c r="E114" s="33" t="n">
        <v>0.2109044119065424</v>
      </c>
      <c r="F114" s="33" t="n">
        <v>0.1185010849553578</v>
      </c>
      <c r="G114" s="33" t="n">
        <v>0.2013547354753485</v>
      </c>
      <c r="H114" s="33" t="n">
        <v>0.2307692307692308</v>
      </c>
      <c r="I114" s="33" t="n">
        <v>0.1538461538461539</v>
      </c>
      <c r="J114" s="33" t="n">
        <v>0.2615729399983739</v>
      </c>
      <c r="K114" s="33" t="n">
        <v>0.7092969353592583</v>
      </c>
    </row>
    <row r="116" ht="30" customHeight="1">
      <c r="A116" s="1" t="inlineStr">
        <is>
          <t>v7_CLIP_must room2（2026-09-14）</t>
        </is>
      </c>
    </row>
    <row r="117" ht="38" customHeight="1">
      <c r="A117" s="2" t="inlineStr">
        <is>
          <t>场景</t>
        </is>
      </c>
      <c r="B117" s="2" t="inlineStr">
        <is>
          <t>方法</t>
        </is>
      </c>
      <c r="C117" s="2" t="inlineStr">
        <is>
          <t>Inst. mIoU</t>
        </is>
      </c>
      <c r="D117" s="2" t="inlineStr">
        <is>
          <t>Inst. AP25</t>
        </is>
      </c>
      <c r="E117" s="2" t="inlineStr">
        <is>
          <t>Inst. AP50</t>
        </is>
      </c>
      <c r="F117" s="2" t="inlineStr">
        <is>
          <t>Inst. AP75</t>
        </is>
      </c>
      <c r="G117" s="2" t="inlineStr">
        <is>
          <t>Sem. mIoU</t>
        </is>
      </c>
      <c r="H117" s="2" t="inlineStr">
        <is>
          <t>Sem. AP25</t>
        </is>
      </c>
      <c r="I117" s="2" t="inlineStr">
        <is>
          <t>Sem. AP50</t>
        </is>
      </c>
      <c r="J117" s="2" t="inlineStr">
        <is>
          <t>mAcc</t>
        </is>
      </c>
      <c r="K117" s="2" t="inlineStr">
        <is>
          <t>Object Surface Coverage@5cm</t>
        </is>
      </c>
    </row>
    <row r="118" ht="32" customHeight="1">
      <c r="A118" s="12" t="inlineStr">
        <is>
          <t>room2</t>
        </is>
      </c>
      <c r="B118" s="12" t="inlineStr">
        <is>
          <t>v7_CLIP_must</t>
        </is>
      </c>
      <c r="C118" s="16" t="n">
        <v>0.4097102167876197</v>
      </c>
      <c r="D118" s="13" t="n">
        <v>0.6139600756609889</v>
      </c>
      <c r="E118" s="16" t="n">
        <v>0.1778919969698995</v>
      </c>
      <c r="F118" s="16" t="n">
        <v>0.003221040189125295</v>
      </c>
      <c r="G118" s="16" t="n">
        <v>0.1237352192039817</v>
      </c>
      <c r="H118" s="16" t="n">
        <v>0.221875</v>
      </c>
      <c r="I118" s="16" t="n">
        <v>0.07801339285714286</v>
      </c>
      <c r="J118" s="16" t="n">
        <v>0.2190871725328969</v>
      </c>
      <c r="K118" s="16" t="n">
        <v>0.6730189345101452</v>
      </c>
    </row>
  </sheetData>
  <autoFilter ref="A4:K78"/>
  <mergeCells count="4">
    <mergeCell ref="A2:K2"/>
    <mergeCell ref="A116:K116"/>
    <mergeCell ref="A1:K1"/>
    <mergeCell ref="A89:K89"/>
  </mergeCells>
  <pageMargins left="0.75" right="0.75" top="1" bottom="1" header="0.5" footer="0.5"/>
  <pageSetup orientation="landscape" paperSize="8" fitToHeight="0" fitToWidth="1"/>
  <rowBreaks count="1" manualBreakCount="1">
    <brk id="21" min="0" max="16383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7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3" customWidth="1" min="2" max="2"/>
    <col width="19" customWidth="1" min="3" max="3"/>
    <col width="16" customWidth="1" min="4" max="4"/>
    <col width="16" customWidth="1" min="5" max="5"/>
    <col width="12" customWidth="1" min="6" max="6"/>
    <col width="12" customWidth="1" min="7" max="7"/>
    <col width="12" customWidth="1" min="8" max="8"/>
    <col width="16" customWidth="1" min="9" max="9"/>
    <col width="16" customWidth="1" min="10" max="10"/>
    <col width="16" customWidth="1" min="11" max="11"/>
  </cols>
  <sheetData>
    <row r="1" ht="30" customHeight="1">
      <c r="A1" s="1" t="inlineStr">
        <is>
          <t>诊断指标：解释错合并、错拆分与漏检，不替代主表</t>
        </is>
      </c>
    </row>
    <row r="2" ht="30" customHeight="1">
      <c r="A2" s="1" t="inlineStr">
        <is>
          <t>一对一 mIoU、TP/FP/FN 使用100点门槛；F1匹配 IoU&gt;=0.5。无匹配预测记FP，不沿用AP的void忽略。</t>
        </is>
      </c>
    </row>
    <row r="3"/>
    <row r="4" ht="38" customHeight="1">
      <c r="A4" s="2" t="inlineStr">
        <is>
          <t>场景</t>
        </is>
      </c>
      <c r="B4" s="2" t="inlineStr">
        <is>
          <t>方法</t>
        </is>
      </c>
      <c r="C4" s="2" t="inlineStr">
        <is>
          <t>一对一 mIoU</t>
        </is>
      </c>
      <c r="D4" s="2" t="inlineStr">
        <is>
          <t>GT数（10点）</t>
        </is>
      </c>
      <c r="E4" s="2" t="inlineStr">
        <is>
          <t>GT数（100点）</t>
        </is>
      </c>
      <c r="F4" s="2" t="inlineStr">
        <is>
          <t>TP50</t>
        </is>
      </c>
      <c r="G4" s="2" t="inlineStr">
        <is>
          <t>FP50</t>
        </is>
      </c>
      <c r="H4" s="2" t="inlineStr">
        <is>
          <t>FN50</t>
        </is>
      </c>
      <c r="I4" s="2" t="inlineStr">
        <is>
          <t>Precision50</t>
        </is>
      </c>
      <c r="J4" s="2" t="inlineStr">
        <is>
          <t>Recall50</t>
        </is>
      </c>
      <c r="K4" s="2" t="inlineStr">
        <is>
          <t>F1@50</t>
        </is>
      </c>
    </row>
    <row r="5" ht="28" customHeight="1">
      <c r="A5" s="3" t="inlineStr">
        <is>
          <t>room0</t>
        </is>
      </c>
      <c r="B5" s="3" t="inlineStr">
        <is>
          <t>Baseline_gateoff</t>
        </is>
      </c>
      <c r="C5" s="4" t="n">
        <v>0.4447485047002728</v>
      </c>
      <c r="D5" s="3" t="n">
        <v>73</v>
      </c>
      <c r="E5" s="3" t="n">
        <v>68</v>
      </c>
      <c r="F5" s="3" t="n">
        <v>34</v>
      </c>
      <c r="G5" s="3" t="n">
        <v>45</v>
      </c>
      <c r="H5" s="3" t="n">
        <v>34</v>
      </c>
      <c r="I5" s="4" t="n">
        <v>0.4303797468354431</v>
      </c>
      <c r="J5" s="4" t="n">
        <v>0.5</v>
      </c>
      <c r="K5" s="4" t="n">
        <v>0.4625850340136055</v>
      </c>
    </row>
    <row r="6" ht="28" customHeight="1">
      <c r="A6" s="5" t="inlineStr">
        <is>
          <t>room0</t>
        </is>
      </c>
      <c r="B6" s="5" t="inlineStr">
        <is>
          <t>v7_CLIP</t>
        </is>
      </c>
      <c r="C6" s="6" t="n">
        <v>0.4386003587094476</v>
      </c>
      <c r="D6" s="5" t="n">
        <v>73</v>
      </c>
      <c r="E6" s="5" t="n">
        <v>68</v>
      </c>
      <c r="F6" s="5" t="n">
        <v>36</v>
      </c>
      <c r="G6" s="5" t="n">
        <v>37</v>
      </c>
      <c r="H6" s="5" t="n">
        <v>32</v>
      </c>
      <c r="I6" s="6" t="n">
        <v>0.4931506849315068</v>
      </c>
      <c r="J6" s="6" t="n">
        <v>0.5294117647058824</v>
      </c>
      <c r="K6" s="6" t="n">
        <v>0.5106382978723404</v>
      </c>
    </row>
    <row r="7" ht="28" customHeight="1">
      <c r="A7" s="3" t="inlineStr">
        <is>
          <t>room0</t>
        </is>
      </c>
      <c r="B7" s="3" t="inlineStr">
        <is>
          <t>OVI_MAP</t>
        </is>
      </c>
      <c r="C7" s="4" t="n">
        <v>0.428580548265044</v>
      </c>
      <c r="D7" s="3" t="n">
        <v>73</v>
      </c>
      <c r="E7" s="3" t="n">
        <v>68</v>
      </c>
      <c r="F7" s="3" t="n">
        <v>34</v>
      </c>
      <c r="G7" s="3" t="n">
        <v>22</v>
      </c>
      <c r="H7" s="3" t="n">
        <v>34</v>
      </c>
      <c r="I7" s="4" t="n">
        <v>0.6071428571428571</v>
      </c>
      <c r="J7" s="4" t="n">
        <v>0.5</v>
      </c>
      <c r="K7" s="4" t="n">
        <v>0.5483870967741935</v>
      </c>
    </row>
    <row r="8" ht="28" customHeight="1">
      <c r="A8" s="5" t="inlineStr">
        <is>
          <t>room0</t>
        </is>
      </c>
      <c r="B8" s="5" t="inlineStr">
        <is>
          <t>ali_my</t>
        </is>
      </c>
      <c r="C8" s="6" t="n">
        <v>0.3396711791487467</v>
      </c>
      <c r="D8" s="5" t="n">
        <v>73</v>
      </c>
      <c r="E8" s="5" t="n">
        <v>68</v>
      </c>
      <c r="F8" s="5" t="n">
        <v>28</v>
      </c>
      <c r="G8" s="5" t="n">
        <v>36</v>
      </c>
      <c r="H8" s="5" t="n">
        <v>40</v>
      </c>
      <c r="I8" s="6" t="n">
        <v>0.4375</v>
      </c>
      <c r="J8" s="6" t="n">
        <v>0.4117647058823529</v>
      </c>
      <c r="K8" s="6" t="n">
        <v>0.4242424242424243</v>
      </c>
    </row>
    <row r="9" ht="28" customHeight="1">
      <c r="A9" s="3" t="inlineStr">
        <is>
          <t>room0</t>
        </is>
      </c>
      <c r="B9" s="3" t="inlineStr">
        <is>
          <t>merge_2</t>
        </is>
      </c>
      <c r="C9" s="4" t="n">
        <v>0.4570358587828885</v>
      </c>
      <c r="D9" s="3" t="n">
        <v>73</v>
      </c>
      <c r="E9" s="3" t="n">
        <v>68</v>
      </c>
      <c r="F9" s="3" t="n">
        <v>35</v>
      </c>
      <c r="G9" s="3" t="n">
        <v>38</v>
      </c>
      <c r="H9" s="3" t="n">
        <v>33</v>
      </c>
      <c r="I9" s="4" t="n">
        <v>0.4794520547945205</v>
      </c>
      <c r="J9" s="4" t="n">
        <v>0.5147058823529411</v>
      </c>
      <c r="K9" s="4" t="n">
        <v>0.4964539007092199</v>
      </c>
    </row>
    <row r="10" ht="28" customHeight="1">
      <c r="A10" s="5" t="inlineStr">
        <is>
          <t>room1</t>
        </is>
      </c>
      <c r="B10" s="5" t="inlineStr">
        <is>
          <t>Baseline_gateoff</t>
        </is>
      </c>
      <c r="C10" s="6" t="n">
        <v>0.3687619088693429</v>
      </c>
      <c r="D10" s="5" t="n">
        <v>45</v>
      </c>
      <c r="E10" s="5" t="n">
        <v>40</v>
      </c>
      <c r="F10" s="5" t="n">
        <v>14</v>
      </c>
      <c r="G10" s="5" t="n">
        <v>35</v>
      </c>
      <c r="H10" s="5" t="n">
        <v>26</v>
      </c>
      <c r="I10" s="6" t="n">
        <v>0.2857142857142857</v>
      </c>
      <c r="J10" s="6" t="n">
        <v>0.35</v>
      </c>
      <c r="K10" s="6" t="n">
        <v>0.3146067415730337</v>
      </c>
    </row>
    <row r="11" ht="28" customHeight="1">
      <c r="A11" s="3" t="inlineStr">
        <is>
          <t>room1</t>
        </is>
      </c>
      <c r="B11" s="3" t="inlineStr">
        <is>
          <t>v7_CLIP</t>
        </is>
      </c>
      <c r="C11" s="4" t="n">
        <v>0.4315999409124848</v>
      </c>
      <c r="D11" s="3" t="n">
        <v>45</v>
      </c>
      <c r="E11" s="3" t="n">
        <v>40</v>
      </c>
      <c r="F11" s="3" t="n">
        <v>18</v>
      </c>
      <c r="G11" s="3" t="n">
        <v>35</v>
      </c>
      <c r="H11" s="3" t="n">
        <v>22</v>
      </c>
      <c r="I11" s="4" t="n">
        <v>0.3396226415094339</v>
      </c>
      <c r="J11" s="4" t="n">
        <v>0.45</v>
      </c>
      <c r="K11" s="4" t="n">
        <v>0.3870967741935484</v>
      </c>
    </row>
    <row r="12" ht="28" customHeight="1">
      <c r="A12" s="5" t="inlineStr">
        <is>
          <t>room1</t>
        </is>
      </c>
      <c r="B12" s="5" t="inlineStr">
        <is>
          <t>OVI_MAP</t>
        </is>
      </c>
      <c r="C12" s="6" t="n">
        <v>0.4682698813001805</v>
      </c>
      <c r="D12" s="5" t="n">
        <v>45</v>
      </c>
      <c r="E12" s="5" t="n">
        <v>40</v>
      </c>
      <c r="F12" s="5" t="n">
        <v>19</v>
      </c>
      <c r="G12" s="5" t="n">
        <v>21</v>
      </c>
      <c r="H12" s="5" t="n">
        <v>21</v>
      </c>
      <c r="I12" s="6" t="n">
        <v>0.475</v>
      </c>
      <c r="J12" s="6" t="n">
        <v>0.475</v>
      </c>
      <c r="K12" s="6" t="n">
        <v>0.475</v>
      </c>
    </row>
    <row r="13" ht="28" customHeight="1">
      <c r="A13" s="3" t="inlineStr">
        <is>
          <t>room1</t>
        </is>
      </c>
      <c r="B13" s="3" t="inlineStr">
        <is>
          <t>ali_my</t>
        </is>
      </c>
      <c r="C13" s="4" t="n">
        <v>0.3378023900973664</v>
      </c>
      <c r="D13" s="3" t="n">
        <v>45</v>
      </c>
      <c r="E13" s="3" t="n">
        <v>40</v>
      </c>
      <c r="F13" s="3" t="n">
        <v>12</v>
      </c>
      <c r="G13" s="3" t="n">
        <v>38</v>
      </c>
      <c r="H13" s="3" t="n">
        <v>28</v>
      </c>
      <c r="I13" s="4" t="n">
        <v>0.24</v>
      </c>
      <c r="J13" s="4" t="n">
        <v>0.3</v>
      </c>
      <c r="K13" s="4" t="n">
        <v>0.2666666666666667</v>
      </c>
    </row>
    <row r="14" ht="28" customHeight="1">
      <c r="A14" s="5" t="inlineStr">
        <is>
          <t>room2</t>
        </is>
      </c>
      <c r="B14" s="5" t="inlineStr">
        <is>
          <t>Baseline_gateoff</t>
        </is>
      </c>
      <c r="C14" s="6" t="n">
        <v>0.2973787170672515</v>
      </c>
      <c r="D14" s="5" t="n">
        <v>52</v>
      </c>
      <c r="E14" s="5" t="n">
        <v>47</v>
      </c>
      <c r="F14" s="5" t="n">
        <v>14</v>
      </c>
      <c r="G14" s="5" t="n">
        <v>42</v>
      </c>
      <c r="H14" s="5" t="n">
        <v>33</v>
      </c>
      <c r="I14" s="6" t="n">
        <v>0.25</v>
      </c>
      <c r="J14" s="6" t="n">
        <v>0.2978723404255319</v>
      </c>
      <c r="K14" s="6" t="n">
        <v>0.2718446601941747</v>
      </c>
    </row>
    <row r="15" ht="28" customHeight="1">
      <c r="A15" s="3" t="inlineStr">
        <is>
          <t>room2</t>
        </is>
      </c>
      <c r="B15" s="3" t="inlineStr">
        <is>
          <t>v7_CLIP</t>
        </is>
      </c>
      <c r="C15" s="4" t="n">
        <v>0.3186971105274999</v>
      </c>
      <c r="D15" s="3" t="n">
        <v>52</v>
      </c>
      <c r="E15" s="3" t="n">
        <v>47</v>
      </c>
      <c r="F15" s="3" t="n">
        <v>18</v>
      </c>
      <c r="G15" s="3" t="n">
        <v>33</v>
      </c>
      <c r="H15" s="3" t="n">
        <v>29</v>
      </c>
      <c r="I15" s="4" t="n">
        <v>0.3529411764705883</v>
      </c>
      <c r="J15" s="4" t="n">
        <v>0.3829787234042553</v>
      </c>
      <c r="K15" s="4" t="n">
        <v>0.3673469387755102</v>
      </c>
    </row>
    <row r="16" ht="28" customHeight="1">
      <c r="A16" s="5" t="inlineStr">
        <is>
          <t>room2</t>
        </is>
      </c>
      <c r="B16" s="5" t="inlineStr">
        <is>
          <t>OVI_MAP</t>
        </is>
      </c>
      <c r="C16" s="6" t="n">
        <v>0.3991812364212894</v>
      </c>
      <c r="D16" s="5" t="n">
        <v>52</v>
      </c>
      <c r="E16" s="5" t="n">
        <v>47</v>
      </c>
      <c r="F16" s="5" t="n">
        <v>23</v>
      </c>
      <c r="G16" s="5" t="n">
        <v>23</v>
      </c>
      <c r="H16" s="5" t="n">
        <v>24</v>
      </c>
      <c r="I16" s="6" t="n">
        <v>0.5</v>
      </c>
      <c r="J16" s="6" t="n">
        <v>0.4893617021276596</v>
      </c>
      <c r="K16" s="6" t="n">
        <v>0.4946236559139785</v>
      </c>
    </row>
    <row r="17" ht="28" customHeight="1">
      <c r="A17" s="3" t="inlineStr">
        <is>
          <t>room2</t>
        </is>
      </c>
      <c r="B17" s="3" t="inlineStr">
        <is>
          <t>ali_my</t>
        </is>
      </c>
      <c r="C17" s="4" t="n">
        <v>0.2477284125174392</v>
      </c>
      <c r="D17" s="3" t="n">
        <v>52</v>
      </c>
      <c r="E17" s="3" t="n">
        <v>47</v>
      </c>
      <c r="F17" s="3" t="n">
        <v>12</v>
      </c>
      <c r="G17" s="3" t="n">
        <v>36</v>
      </c>
      <c r="H17" s="3" t="n">
        <v>35</v>
      </c>
      <c r="I17" s="4" t="n">
        <v>0.25</v>
      </c>
      <c r="J17" s="4" t="n">
        <v>0.2553191489361702</v>
      </c>
      <c r="K17" s="4" t="n">
        <v>0.2526315789473684</v>
      </c>
    </row>
    <row r="18" ht="28" customHeight="1">
      <c r="A18" s="5" t="inlineStr">
        <is>
          <t>office0</t>
        </is>
      </c>
      <c r="B18" s="5" t="inlineStr">
        <is>
          <t>Baseline_gateoff</t>
        </is>
      </c>
      <c r="C18" s="6" t="n">
        <v>0.387674911185089</v>
      </c>
      <c r="D18" s="5" t="n">
        <v>34</v>
      </c>
      <c r="E18" s="5" t="n">
        <v>26</v>
      </c>
      <c r="F18" s="5" t="n">
        <v>10</v>
      </c>
      <c r="G18" s="5" t="n">
        <v>34</v>
      </c>
      <c r="H18" s="5" t="n">
        <v>16</v>
      </c>
      <c r="I18" s="6" t="n">
        <v>0.2272727272727273</v>
      </c>
      <c r="J18" s="6" t="n">
        <v>0.3846153846153846</v>
      </c>
      <c r="K18" s="6" t="n">
        <v>0.2857142857142857</v>
      </c>
    </row>
    <row r="19" ht="28" customHeight="1">
      <c r="A19" s="3" t="inlineStr">
        <is>
          <t>office0</t>
        </is>
      </c>
      <c r="B19" s="3" t="inlineStr">
        <is>
          <t>v7_CLIP</t>
        </is>
      </c>
      <c r="C19" s="4" t="n">
        <v>0.3930128475211291</v>
      </c>
      <c r="D19" s="3" t="n">
        <v>34</v>
      </c>
      <c r="E19" s="3" t="n">
        <v>26</v>
      </c>
      <c r="F19" s="3" t="n">
        <v>10</v>
      </c>
      <c r="G19" s="3" t="n">
        <v>32</v>
      </c>
      <c r="H19" s="3" t="n">
        <v>16</v>
      </c>
      <c r="I19" s="4" t="n">
        <v>0.2380952380952381</v>
      </c>
      <c r="J19" s="4" t="n">
        <v>0.3846153846153846</v>
      </c>
      <c r="K19" s="4" t="n">
        <v>0.2941176470588235</v>
      </c>
    </row>
    <row r="20" ht="28" customHeight="1">
      <c r="A20" s="5" t="inlineStr">
        <is>
          <t>office0</t>
        </is>
      </c>
      <c r="B20" s="5" t="inlineStr">
        <is>
          <t>OVI_MAP</t>
        </is>
      </c>
      <c r="C20" s="6" t="n">
        <v>0.3839031753625454</v>
      </c>
      <c r="D20" s="5" t="n">
        <v>34</v>
      </c>
      <c r="E20" s="5" t="n">
        <v>26</v>
      </c>
      <c r="F20" s="5" t="n">
        <v>11</v>
      </c>
      <c r="G20" s="5" t="n">
        <v>19</v>
      </c>
      <c r="H20" s="5" t="n">
        <v>15</v>
      </c>
      <c r="I20" s="6" t="n">
        <v>0.3666666666666666</v>
      </c>
      <c r="J20" s="6" t="n">
        <v>0.4230769230769231</v>
      </c>
      <c r="K20" s="6" t="n">
        <v>0.3928571428571428</v>
      </c>
    </row>
    <row r="21" ht="28" customHeight="1">
      <c r="A21" s="3" t="inlineStr">
        <is>
          <t>office0</t>
        </is>
      </c>
      <c r="B21" s="3" t="inlineStr">
        <is>
          <t>ali_my</t>
        </is>
      </c>
      <c r="C21" s="4" t="n">
        <v>0.3539959558021713</v>
      </c>
      <c r="D21" s="3" t="n">
        <v>34</v>
      </c>
      <c r="E21" s="3" t="n">
        <v>26</v>
      </c>
      <c r="F21" s="3" t="n">
        <v>9</v>
      </c>
      <c r="G21" s="3" t="n">
        <v>24</v>
      </c>
      <c r="H21" s="3" t="n">
        <v>17</v>
      </c>
      <c r="I21" s="4" t="n">
        <v>0.2727272727272727</v>
      </c>
      <c r="J21" s="4" t="n">
        <v>0.3461538461538461</v>
      </c>
      <c r="K21" s="4" t="n">
        <v>0.3050847457627119</v>
      </c>
    </row>
    <row r="22" ht="28" customHeight="1">
      <c r="A22" s="5" t="inlineStr">
        <is>
          <t>office1</t>
        </is>
      </c>
      <c r="B22" s="5" t="inlineStr">
        <is>
          <t>Baseline_gateoff</t>
        </is>
      </c>
      <c r="C22" s="6" t="n">
        <v>0.473088828253871</v>
      </c>
      <c r="D22" s="5" t="n">
        <v>28</v>
      </c>
      <c r="E22" s="5" t="n">
        <v>25</v>
      </c>
      <c r="F22" s="5" t="n">
        <v>15</v>
      </c>
      <c r="G22" s="5" t="n">
        <v>16</v>
      </c>
      <c r="H22" s="5" t="n">
        <v>10</v>
      </c>
      <c r="I22" s="6" t="n">
        <v>0.4838709677419355</v>
      </c>
      <c r="J22" s="6" t="n">
        <v>0.6</v>
      </c>
      <c r="K22" s="6" t="n">
        <v>0.5357142857142857</v>
      </c>
    </row>
    <row r="23" ht="28" customHeight="1">
      <c r="A23" s="3" t="inlineStr">
        <is>
          <t>office1</t>
        </is>
      </c>
      <c r="B23" s="3" t="inlineStr">
        <is>
          <t>v7_CLIP</t>
        </is>
      </c>
      <c r="C23" s="4" t="n">
        <v>0.4571774281005055</v>
      </c>
      <c r="D23" s="3" t="n">
        <v>28</v>
      </c>
      <c r="E23" s="3" t="n">
        <v>25</v>
      </c>
      <c r="F23" s="3" t="n">
        <v>14</v>
      </c>
      <c r="G23" s="3" t="n">
        <v>16</v>
      </c>
      <c r="H23" s="3" t="n">
        <v>11</v>
      </c>
      <c r="I23" s="4" t="n">
        <v>0.4666666666666667</v>
      </c>
      <c r="J23" s="4" t="n">
        <v>0.5600000000000001</v>
      </c>
      <c r="K23" s="4" t="n">
        <v>0.509090909090909</v>
      </c>
    </row>
    <row r="24" ht="28" customHeight="1">
      <c r="A24" s="5" t="inlineStr">
        <is>
          <t>office1</t>
        </is>
      </c>
      <c r="B24" s="5" t="inlineStr">
        <is>
          <t>OVI_MAP</t>
        </is>
      </c>
      <c r="C24" s="6" t="n">
        <v>0.4247840346231446</v>
      </c>
      <c r="D24" s="5" t="n">
        <v>28</v>
      </c>
      <c r="E24" s="5" t="n">
        <v>25</v>
      </c>
      <c r="F24" s="5" t="n">
        <v>12</v>
      </c>
      <c r="G24" s="5" t="n">
        <v>19</v>
      </c>
      <c r="H24" s="5" t="n">
        <v>13</v>
      </c>
      <c r="I24" s="6" t="n">
        <v>0.3870967741935484</v>
      </c>
      <c r="J24" s="6" t="n">
        <v>0.48</v>
      </c>
      <c r="K24" s="6" t="n">
        <v>0.4285714285714285</v>
      </c>
    </row>
    <row r="25" ht="28" customHeight="1">
      <c r="A25" s="3" t="inlineStr">
        <is>
          <t>office1</t>
        </is>
      </c>
      <c r="B25" s="3" t="inlineStr">
        <is>
          <t>ali_my</t>
        </is>
      </c>
      <c r="C25" s="4" t="n">
        <v>0.369723833746493</v>
      </c>
      <c r="D25" s="3" t="n">
        <v>28</v>
      </c>
      <c r="E25" s="3" t="n">
        <v>25</v>
      </c>
      <c r="F25" s="3" t="n">
        <v>12</v>
      </c>
      <c r="G25" s="3" t="n">
        <v>13</v>
      </c>
      <c r="H25" s="3" t="n">
        <v>13</v>
      </c>
      <c r="I25" s="4" t="n">
        <v>0.48</v>
      </c>
      <c r="J25" s="4" t="n">
        <v>0.48</v>
      </c>
      <c r="K25" s="4" t="n">
        <v>0.48</v>
      </c>
    </row>
    <row r="26" ht="28" customHeight="1">
      <c r="A26" s="5" t="inlineStr">
        <is>
          <t>office2</t>
        </is>
      </c>
      <c r="B26" s="5" t="inlineStr">
        <is>
          <t>Baseline_gateoff</t>
        </is>
      </c>
      <c r="C26" s="6" t="n">
        <v>0.4143823440012097</v>
      </c>
      <c r="D26" s="5" t="n">
        <v>43</v>
      </c>
      <c r="E26" s="5" t="n">
        <v>40</v>
      </c>
      <c r="F26" s="5" t="n">
        <v>18</v>
      </c>
      <c r="G26" s="5" t="n">
        <v>33</v>
      </c>
      <c r="H26" s="5" t="n">
        <v>22</v>
      </c>
      <c r="I26" s="6" t="n">
        <v>0.3529411764705883</v>
      </c>
      <c r="J26" s="6" t="n">
        <v>0.45</v>
      </c>
      <c r="K26" s="6" t="n">
        <v>0.3956043956043956</v>
      </c>
    </row>
    <row r="27" ht="28" customHeight="1">
      <c r="A27" s="3" t="inlineStr">
        <is>
          <t>office2</t>
        </is>
      </c>
      <c r="B27" s="3" t="inlineStr">
        <is>
          <t>v7_CLIP</t>
        </is>
      </c>
      <c r="C27" s="4" t="n">
        <v>0.444450827741351</v>
      </c>
      <c r="D27" s="3" t="n">
        <v>43</v>
      </c>
      <c r="E27" s="3" t="n">
        <v>40</v>
      </c>
      <c r="F27" s="3" t="n">
        <v>19</v>
      </c>
      <c r="G27" s="3" t="n">
        <v>36</v>
      </c>
      <c r="H27" s="3" t="n">
        <v>21</v>
      </c>
      <c r="I27" s="4" t="n">
        <v>0.3454545454545455</v>
      </c>
      <c r="J27" s="4" t="n">
        <v>0.475</v>
      </c>
      <c r="K27" s="4" t="n">
        <v>0.4</v>
      </c>
    </row>
    <row r="28" ht="28" customHeight="1">
      <c r="A28" s="5" t="inlineStr">
        <is>
          <t>office2</t>
        </is>
      </c>
      <c r="B28" s="5" t="inlineStr">
        <is>
          <t>OVI_MAP</t>
        </is>
      </c>
      <c r="C28" s="6" t="n">
        <v>0.43542491958223</v>
      </c>
      <c r="D28" s="5" t="n">
        <v>43</v>
      </c>
      <c r="E28" s="5" t="n">
        <v>40</v>
      </c>
      <c r="F28" s="5" t="n">
        <v>19</v>
      </c>
      <c r="G28" s="5" t="n">
        <v>25</v>
      </c>
      <c r="H28" s="5" t="n">
        <v>21</v>
      </c>
      <c r="I28" s="6" t="n">
        <v>0.4318181818181818</v>
      </c>
      <c r="J28" s="6" t="n">
        <v>0.475</v>
      </c>
      <c r="K28" s="6" t="n">
        <v>0.4523809523809524</v>
      </c>
    </row>
    <row r="29" ht="28" customHeight="1">
      <c r="A29" s="3" t="inlineStr">
        <is>
          <t>office2</t>
        </is>
      </c>
      <c r="B29" s="3" t="inlineStr">
        <is>
          <t>ali_my</t>
        </is>
      </c>
      <c r="C29" s="4" t="n">
        <v>0.2613590032262919</v>
      </c>
      <c r="D29" s="3" t="n">
        <v>43</v>
      </c>
      <c r="E29" s="3" t="n">
        <v>40</v>
      </c>
      <c r="F29" s="3" t="n">
        <v>9</v>
      </c>
      <c r="G29" s="3" t="n">
        <v>36</v>
      </c>
      <c r="H29" s="3" t="n">
        <v>31</v>
      </c>
      <c r="I29" s="4" t="n">
        <v>0.2</v>
      </c>
      <c r="J29" s="4" t="n">
        <v>0.225</v>
      </c>
      <c r="K29" s="4" t="n">
        <v>0.2117647058823529</v>
      </c>
    </row>
    <row r="30" ht="28" customHeight="1">
      <c r="A30" s="5" t="inlineStr">
        <is>
          <t>office3</t>
        </is>
      </c>
      <c r="B30" s="5" t="inlineStr">
        <is>
          <t>Baseline_gateoff</t>
        </is>
      </c>
      <c r="C30" s="6" t="n">
        <v>0.4406367182932677</v>
      </c>
      <c r="D30" s="5" t="n">
        <v>61</v>
      </c>
      <c r="E30" s="5" t="n">
        <v>57</v>
      </c>
      <c r="F30" s="5" t="n">
        <v>28</v>
      </c>
      <c r="G30" s="5" t="n">
        <v>35</v>
      </c>
      <c r="H30" s="5" t="n">
        <v>29</v>
      </c>
      <c r="I30" s="6" t="n">
        <v>0.4444444444444444</v>
      </c>
      <c r="J30" s="6" t="n">
        <v>0.4912280701754386</v>
      </c>
      <c r="K30" s="6" t="n">
        <v>0.4666666666666667</v>
      </c>
    </row>
    <row r="31" ht="28" customHeight="1">
      <c r="A31" s="3" t="inlineStr">
        <is>
          <t>office3</t>
        </is>
      </c>
      <c r="B31" s="3" t="inlineStr">
        <is>
          <t>v7_CLIP</t>
        </is>
      </c>
      <c r="C31" s="4" t="n">
        <v>0.4397168599488855</v>
      </c>
      <c r="D31" s="3" t="n">
        <v>61</v>
      </c>
      <c r="E31" s="3" t="n">
        <v>57</v>
      </c>
      <c r="F31" s="3" t="n">
        <v>27</v>
      </c>
      <c r="G31" s="3" t="n">
        <v>36</v>
      </c>
      <c r="H31" s="3" t="n">
        <v>30</v>
      </c>
      <c r="I31" s="4" t="n">
        <v>0.4285714285714285</v>
      </c>
      <c r="J31" s="4" t="n">
        <v>0.4736842105263158</v>
      </c>
      <c r="K31" s="4" t="n">
        <v>0.45</v>
      </c>
    </row>
    <row r="32" ht="28" customHeight="1">
      <c r="A32" s="5" t="inlineStr">
        <is>
          <t>office3</t>
        </is>
      </c>
      <c r="B32" s="5" t="inlineStr">
        <is>
          <t>OVI_MAP</t>
        </is>
      </c>
      <c r="C32" s="6" t="n">
        <v>0.3630060980956765</v>
      </c>
      <c r="D32" s="5" t="n">
        <v>61</v>
      </c>
      <c r="E32" s="5" t="n">
        <v>57</v>
      </c>
      <c r="F32" s="5" t="n">
        <v>22</v>
      </c>
      <c r="G32" s="5" t="n">
        <v>26</v>
      </c>
      <c r="H32" s="5" t="n">
        <v>35</v>
      </c>
      <c r="I32" s="6" t="n">
        <v>0.4583333333333333</v>
      </c>
      <c r="J32" s="6" t="n">
        <v>0.3859649122807017</v>
      </c>
      <c r="K32" s="6" t="n">
        <v>0.4190476190476191</v>
      </c>
    </row>
    <row r="33" ht="28" customHeight="1">
      <c r="A33" s="3" t="inlineStr">
        <is>
          <t>office3</t>
        </is>
      </c>
      <c r="B33" s="3" t="inlineStr">
        <is>
          <t>ali_my</t>
        </is>
      </c>
      <c r="C33" s="4" t="n">
        <v>0.296658061133688</v>
      </c>
      <c r="D33" s="3" t="n">
        <v>61</v>
      </c>
      <c r="E33" s="3" t="n">
        <v>57</v>
      </c>
      <c r="F33" s="3" t="n">
        <v>17</v>
      </c>
      <c r="G33" s="3" t="n">
        <v>38</v>
      </c>
      <c r="H33" s="3" t="n">
        <v>40</v>
      </c>
      <c r="I33" s="4" t="n">
        <v>0.3090909090909091</v>
      </c>
      <c r="J33" s="4" t="n">
        <v>0.2982456140350877</v>
      </c>
      <c r="K33" s="4" t="n">
        <v>0.3035714285714285</v>
      </c>
    </row>
    <row r="34" ht="28" customHeight="1">
      <c r="A34" s="5" t="inlineStr">
        <is>
          <t>office4</t>
        </is>
      </c>
      <c r="B34" s="5" t="inlineStr">
        <is>
          <t>Baseline_gateoff</t>
        </is>
      </c>
      <c r="C34" s="6" t="n">
        <v>0.5042055922751295</v>
      </c>
      <c r="D34" s="5" t="n">
        <v>31</v>
      </c>
      <c r="E34" s="5" t="n">
        <v>29</v>
      </c>
      <c r="F34" s="5" t="n">
        <v>13</v>
      </c>
      <c r="G34" s="5" t="n">
        <v>39</v>
      </c>
      <c r="H34" s="5" t="n">
        <v>16</v>
      </c>
      <c r="I34" s="6" t="n">
        <v>0.25</v>
      </c>
      <c r="J34" s="6" t="n">
        <v>0.4482758620689655</v>
      </c>
      <c r="K34" s="6" t="n">
        <v>0.3209876543209876</v>
      </c>
    </row>
    <row r="35" ht="28" customHeight="1">
      <c r="A35" s="3" t="inlineStr">
        <is>
          <t>office4</t>
        </is>
      </c>
      <c r="B35" s="3" t="inlineStr">
        <is>
          <t>v7_CLIP</t>
        </is>
      </c>
      <c r="C35" s="4" t="n">
        <v>0.4988121925414004</v>
      </c>
      <c r="D35" s="3" t="n">
        <v>31</v>
      </c>
      <c r="E35" s="3" t="n">
        <v>29</v>
      </c>
      <c r="F35" s="3" t="n">
        <v>13</v>
      </c>
      <c r="G35" s="3" t="n">
        <v>39</v>
      </c>
      <c r="H35" s="3" t="n">
        <v>16</v>
      </c>
      <c r="I35" s="4" t="n">
        <v>0.25</v>
      </c>
      <c r="J35" s="4" t="n">
        <v>0.4482758620689655</v>
      </c>
      <c r="K35" s="4" t="n">
        <v>0.3209876543209876</v>
      </c>
    </row>
    <row r="36" ht="28" customHeight="1">
      <c r="A36" s="5" t="inlineStr">
        <is>
          <t>office4</t>
        </is>
      </c>
      <c r="B36" s="5" t="inlineStr">
        <is>
          <t>OVI_MAP</t>
        </is>
      </c>
      <c r="C36" s="6" t="n">
        <v>0.4462952460224766</v>
      </c>
      <c r="D36" s="5" t="n">
        <v>31</v>
      </c>
      <c r="E36" s="5" t="n">
        <v>29</v>
      </c>
      <c r="F36" s="5" t="n">
        <v>11</v>
      </c>
      <c r="G36" s="5" t="n">
        <v>30</v>
      </c>
      <c r="H36" s="5" t="n">
        <v>18</v>
      </c>
      <c r="I36" s="6" t="n">
        <v>0.2682926829268293</v>
      </c>
      <c r="J36" s="6" t="n">
        <v>0.3793103448275862</v>
      </c>
      <c r="K36" s="6" t="n">
        <v>0.3142857142857143</v>
      </c>
    </row>
    <row r="37" ht="28" customHeight="1">
      <c r="A37" s="3" t="inlineStr">
        <is>
          <t>office4</t>
        </is>
      </c>
      <c r="B37" s="3" t="inlineStr">
        <is>
          <t>ali_my</t>
        </is>
      </c>
      <c r="C37" s="4" t="n">
        <v>0.4214368378073216</v>
      </c>
      <c r="D37" s="3" t="n">
        <v>31</v>
      </c>
      <c r="E37" s="3" t="n">
        <v>29</v>
      </c>
      <c r="F37" s="3" t="n">
        <v>11</v>
      </c>
      <c r="G37" s="3" t="n">
        <v>31</v>
      </c>
      <c r="H37" s="3" t="n">
        <v>18</v>
      </c>
      <c r="I37" s="4" t="n">
        <v>0.2619047619047619</v>
      </c>
      <c r="J37" s="4" t="n">
        <v>0.3793103448275862</v>
      </c>
      <c r="K37" s="4" t="n">
        <v>0.3098591549295774</v>
      </c>
    </row>
    <row r="38" ht="28" customHeight="1">
      <c r="A38" s="3" t="inlineStr">
        <is>
          <t>office2</t>
        </is>
      </c>
      <c r="B38" s="3" t="inlineStr">
        <is>
          <t>v7_merge_re</t>
        </is>
      </c>
      <c r="C38" s="4" t="n">
        <v>0.4321209165059144</v>
      </c>
      <c r="D38" s="3" t="n">
        <v>43</v>
      </c>
      <c r="E38" s="3" t="n">
        <v>40</v>
      </c>
      <c r="F38" s="3" t="n">
        <v>18</v>
      </c>
      <c r="G38" s="3" t="n">
        <v>36</v>
      </c>
      <c r="H38" s="3" t="n">
        <v>22</v>
      </c>
      <c r="I38" s="4" t="n">
        <v>0.3333333333333333</v>
      </c>
      <c r="J38" s="4" t="n">
        <v>0.45</v>
      </c>
      <c r="K38" s="4" t="n">
        <v>0.3829787234042553</v>
      </c>
    </row>
    <row r="39" ht="28" customHeight="1">
      <c r="A39" s="3" t="inlineStr">
        <is>
          <t>office2</t>
        </is>
      </c>
      <c r="B39" s="3" t="inlineStr">
        <is>
          <t>v7_merge</t>
        </is>
      </c>
      <c r="C39" s="4" t="n">
        <v>0.4501461608204587</v>
      </c>
      <c r="D39" s="3" t="n">
        <v>43</v>
      </c>
      <c r="E39" s="3" t="n">
        <v>40</v>
      </c>
      <c r="F39" s="3" t="n">
        <v>18</v>
      </c>
      <c r="G39" s="3" t="n">
        <v>36</v>
      </c>
      <c r="H39" s="3" t="n">
        <v>22</v>
      </c>
      <c r="I39" s="4" t="n">
        <v>0.3333333333333333</v>
      </c>
      <c r="J39" s="4" t="n">
        <v>0.45</v>
      </c>
      <c r="K39" s="4" t="n">
        <v>0.3829787234042553</v>
      </c>
    </row>
    <row r="40" ht="28" customHeight="1">
      <c r="A40" s="3" t="inlineStr">
        <is>
          <t>room0</t>
        </is>
      </c>
      <c r="B40" s="3" t="inlineStr">
        <is>
          <t>TwoRoad（融合旧读出）</t>
        </is>
      </c>
      <c r="C40" s="4" t="n">
        <v>0.4559449583694215</v>
      </c>
      <c r="D40" s="3" t="n">
        <v>73</v>
      </c>
      <c r="E40" s="3" t="n">
        <v>68</v>
      </c>
      <c r="F40" s="3" t="n">
        <v>35</v>
      </c>
      <c r="G40" s="3" t="n">
        <v>40</v>
      </c>
      <c r="H40" s="3" t="n">
        <v>33</v>
      </c>
      <c r="I40" s="4" t="n">
        <v>0.4666666666666667</v>
      </c>
      <c r="J40" s="4" t="n">
        <v>0.5147058823529411</v>
      </c>
      <c r="K40" s="4" t="n">
        <v>0.4895104895104895</v>
      </c>
    </row>
    <row r="41" ht="32" customHeight="1">
      <c r="A41" s="12" t="inlineStr">
        <is>
          <t>room0</t>
        </is>
      </c>
      <c r="B41" s="12" t="inlineStr">
        <is>
          <t>CLIP+bbox读出</t>
        </is>
      </c>
      <c r="C41" s="16" t="n">
        <v>0.4386003587094476</v>
      </c>
      <c r="D41" s="17" t="n">
        <v>73</v>
      </c>
      <c r="E41" s="17" t="n">
        <v>68</v>
      </c>
      <c r="F41" s="17" t="n">
        <v>36</v>
      </c>
      <c r="G41" s="17" t="n">
        <v>37</v>
      </c>
      <c r="H41" s="17" t="n">
        <v>32</v>
      </c>
      <c r="I41" s="16" t="n">
        <v>0.4931506849315068</v>
      </c>
      <c r="J41" s="16" t="n">
        <v>0.5294117647058824</v>
      </c>
      <c r="K41" s="16" t="n">
        <v>0.5106382978723404</v>
      </c>
    </row>
    <row r="42" ht="32" customHeight="1">
      <c r="A42" s="12" t="inlineStr">
        <is>
          <t>room1</t>
        </is>
      </c>
      <c r="B42" s="12" t="inlineStr">
        <is>
          <t>CLIP+bbox读出</t>
        </is>
      </c>
      <c r="C42" s="16" t="n">
        <v>0.4315999409124848</v>
      </c>
      <c r="D42" s="17" t="n">
        <v>45</v>
      </c>
      <c r="E42" s="17" t="n">
        <v>40</v>
      </c>
      <c r="F42" s="17" t="n">
        <v>18</v>
      </c>
      <c r="G42" s="17" t="n">
        <v>35</v>
      </c>
      <c r="H42" s="17" t="n">
        <v>22</v>
      </c>
      <c r="I42" s="16" t="n">
        <v>0.3396226415094339</v>
      </c>
      <c r="J42" s="16" t="n">
        <v>0.45</v>
      </c>
      <c r="K42" s="16" t="n">
        <v>0.3870967741935484</v>
      </c>
    </row>
    <row r="43" ht="32" customHeight="1">
      <c r="A43" s="12" t="inlineStr">
        <is>
          <t>room2</t>
        </is>
      </c>
      <c r="B43" s="12" t="inlineStr">
        <is>
          <t>CLIP+bbox读出</t>
        </is>
      </c>
      <c r="C43" s="16" t="n">
        <v>0.3186971105274999</v>
      </c>
      <c r="D43" s="17" t="n">
        <v>52</v>
      </c>
      <c r="E43" s="17" t="n">
        <v>47</v>
      </c>
      <c r="F43" s="17" t="n">
        <v>18</v>
      </c>
      <c r="G43" s="17" t="n">
        <v>33</v>
      </c>
      <c r="H43" s="17" t="n">
        <v>29</v>
      </c>
      <c r="I43" s="16" t="n">
        <v>0.3529411764705883</v>
      </c>
      <c r="J43" s="16" t="n">
        <v>0.3829787234042553</v>
      </c>
      <c r="K43" s="16" t="n">
        <v>0.3673469387755102</v>
      </c>
    </row>
    <row r="44" ht="32" customHeight="1">
      <c r="A44" s="12" t="inlineStr">
        <is>
          <t>office0</t>
        </is>
      </c>
      <c r="B44" s="12" t="inlineStr">
        <is>
          <t>CLIP+bbox读出</t>
        </is>
      </c>
      <c r="C44" s="16" t="n">
        <v>0.3930128475211291</v>
      </c>
      <c r="D44" s="17" t="n">
        <v>34</v>
      </c>
      <c r="E44" s="17" t="n">
        <v>26</v>
      </c>
      <c r="F44" s="17" t="n">
        <v>10</v>
      </c>
      <c r="G44" s="17" t="n">
        <v>32</v>
      </c>
      <c r="H44" s="17" t="n">
        <v>16</v>
      </c>
      <c r="I44" s="16" t="n">
        <v>0.2380952380952381</v>
      </c>
      <c r="J44" s="16" t="n">
        <v>0.3846153846153846</v>
      </c>
      <c r="K44" s="16" t="n">
        <v>0.2941176470588235</v>
      </c>
    </row>
    <row r="45" ht="32" customHeight="1">
      <c r="A45" s="12" t="inlineStr">
        <is>
          <t>office1</t>
        </is>
      </c>
      <c r="B45" s="12" t="inlineStr">
        <is>
          <t>CLIP+bbox读出</t>
        </is>
      </c>
      <c r="C45" s="16" t="n">
        <v>0.4571774281005055</v>
      </c>
      <c r="D45" s="17" t="n">
        <v>28</v>
      </c>
      <c r="E45" s="17" t="n">
        <v>25</v>
      </c>
      <c r="F45" s="17" t="n">
        <v>14</v>
      </c>
      <c r="G45" s="17" t="n">
        <v>16</v>
      </c>
      <c r="H45" s="17" t="n">
        <v>11</v>
      </c>
      <c r="I45" s="16" t="n">
        <v>0.4666666666666667</v>
      </c>
      <c r="J45" s="16" t="n">
        <v>0.5600000000000001</v>
      </c>
      <c r="K45" s="16" t="n">
        <v>0.509090909090909</v>
      </c>
    </row>
    <row r="46" ht="32" customHeight="1">
      <c r="A46" s="12" t="inlineStr">
        <is>
          <t>office2</t>
        </is>
      </c>
      <c r="B46" s="12" t="inlineStr">
        <is>
          <t>CLIP+bbox读出</t>
        </is>
      </c>
      <c r="C46" s="16" t="n">
        <v>0.444450827741351</v>
      </c>
      <c r="D46" s="17" t="n">
        <v>43</v>
      </c>
      <c r="E46" s="17" t="n">
        <v>40</v>
      </c>
      <c r="F46" s="17" t="n">
        <v>19</v>
      </c>
      <c r="G46" s="17" t="n">
        <v>36</v>
      </c>
      <c r="H46" s="17" t="n">
        <v>21</v>
      </c>
      <c r="I46" s="16" t="n">
        <v>0.3454545454545455</v>
      </c>
      <c r="J46" s="16" t="n">
        <v>0.475</v>
      </c>
      <c r="K46" s="16" t="n">
        <v>0.4</v>
      </c>
    </row>
    <row r="47" ht="32" customHeight="1">
      <c r="A47" s="12" t="inlineStr">
        <is>
          <t>office3</t>
        </is>
      </c>
      <c r="B47" s="12" t="inlineStr">
        <is>
          <t>CLIP+bbox读出</t>
        </is>
      </c>
      <c r="C47" s="16" t="n">
        <v>0.4397168599488855</v>
      </c>
      <c r="D47" s="17" t="n">
        <v>61</v>
      </c>
      <c r="E47" s="17" t="n">
        <v>57</v>
      </c>
      <c r="F47" s="17" t="n">
        <v>27</v>
      </c>
      <c r="G47" s="17" t="n">
        <v>36</v>
      </c>
      <c r="H47" s="17" t="n">
        <v>30</v>
      </c>
      <c r="I47" s="16" t="n">
        <v>0.4285714285714285</v>
      </c>
      <c r="J47" s="16" t="n">
        <v>0.4736842105263158</v>
      </c>
      <c r="K47" s="16" t="n">
        <v>0.45</v>
      </c>
    </row>
    <row r="48" ht="32" customHeight="1">
      <c r="A48" s="12" t="inlineStr">
        <is>
          <t>office4</t>
        </is>
      </c>
      <c r="B48" s="12" t="inlineStr">
        <is>
          <t>CLIP+bbox读出</t>
        </is>
      </c>
      <c r="C48" s="16" t="n">
        <v>0.4988121925414004</v>
      </c>
      <c r="D48" s="17" t="n">
        <v>31</v>
      </c>
      <c r="E48" s="17" t="n">
        <v>29</v>
      </c>
      <c r="F48" s="17" t="n">
        <v>13</v>
      </c>
      <c r="G48" s="17" t="n">
        <v>39</v>
      </c>
      <c r="H48" s="17" t="n">
        <v>16</v>
      </c>
      <c r="I48" s="16" t="n">
        <v>0.25</v>
      </c>
      <c r="J48" s="16" t="n">
        <v>0.4482758620689655</v>
      </c>
      <c r="K48" s="16" t="n">
        <v>0.3209876543209876</v>
      </c>
    </row>
    <row r="49" ht="32" customHeight="1">
      <c r="A49" s="12" t="inlineStr">
        <is>
          <t>room0</t>
        </is>
      </c>
      <c r="B49" s="12" t="inlineStr">
        <is>
          <t>TwoRoad bbox读出</t>
        </is>
      </c>
      <c r="C49" s="16" t="n">
        <v>0.4559449583694215</v>
      </c>
      <c r="D49" s="17" t="n">
        <v>73</v>
      </c>
      <c r="E49" s="17" t="n">
        <v>68</v>
      </c>
      <c r="F49" s="17" t="n">
        <v>35</v>
      </c>
      <c r="G49" s="17" t="n">
        <v>40</v>
      </c>
      <c r="H49" s="17" t="n">
        <v>33</v>
      </c>
      <c r="I49" s="16" t="n">
        <v>0.4666666666666667</v>
      </c>
      <c r="J49" s="16" t="n">
        <v>0.5147058823529411</v>
      </c>
      <c r="K49" s="16" t="n">
        <v>0.4895104895104895</v>
      </c>
    </row>
    <row r="50" ht="28" customHeight="1">
      <c r="A50" s="21" t="inlineStr">
        <is>
          <t>room1</t>
        </is>
      </c>
      <c r="B50" s="21" t="inlineStr">
        <is>
          <t>v7_CLIP_v3</t>
        </is>
      </c>
      <c r="C50" s="22" t="n">
        <v>0.3976670263994156</v>
      </c>
      <c r="D50" s="21" t="n">
        <v>45</v>
      </c>
      <c r="E50" s="21" t="n">
        <v>40</v>
      </c>
      <c r="F50" s="21" t="n">
        <v>16</v>
      </c>
      <c r="G50" s="21" t="n">
        <v>35</v>
      </c>
      <c r="H50" s="21" t="n">
        <v>24</v>
      </c>
      <c r="I50" s="22" t="n">
        <v>0.3137254901960784</v>
      </c>
      <c r="J50" s="22" t="n">
        <v>0.4</v>
      </c>
      <c r="K50" s="22" t="n">
        <v>0.3516483516483517</v>
      </c>
    </row>
    <row r="51" ht="28" customHeight="1">
      <c r="A51" s="5" t="inlineStr">
        <is>
          <t>room2</t>
        </is>
      </c>
      <c r="B51" s="5" t="inlineStr">
        <is>
          <t>v7_CLIP_v3</t>
        </is>
      </c>
      <c r="C51" s="6" t="n">
        <v>0.3238137065362277</v>
      </c>
      <c r="D51" s="5" t="n">
        <v>52</v>
      </c>
      <c r="E51" s="5" t="n">
        <v>47</v>
      </c>
      <c r="F51" s="5" t="n">
        <v>17</v>
      </c>
      <c r="G51" s="5" t="n">
        <v>34</v>
      </c>
      <c r="H51" s="5" t="n">
        <v>30</v>
      </c>
      <c r="I51" s="6" t="n">
        <v>0.3333333333333333</v>
      </c>
      <c r="J51" s="6" t="n">
        <v>0.3617021276595745</v>
      </c>
      <c r="K51" s="6" t="n">
        <v>0.3469387755102041</v>
      </c>
    </row>
    <row r="52" ht="28" customHeight="1">
      <c r="A52" s="21" t="inlineStr">
        <is>
          <t>office0</t>
        </is>
      </c>
      <c r="B52" s="21" t="inlineStr">
        <is>
          <t>v7_CLIP_v3</t>
        </is>
      </c>
      <c r="C52" s="22" t="n">
        <v>0.4057677166647506</v>
      </c>
      <c r="D52" s="21" t="n">
        <v>34</v>
      </c>
      <c r="E52" s="21" t="n">
        <v>26</v>
      </c>
      <c r="F52" s="21" t="n">
        <v>10</v>
      </c>
      <c r="G52" s="21" t="n">
        <v>34</v>
      </c>
      <c r="H52" s="21" t="n">
        <v>16</v>
      </c>
      <c r="I52" s="22" t="n">
        <v>0.2272727272727273</v>
      </c>
      <c r="J52" s="22" t="n">
        <v>0.3846153846153846</v>
      </c>
      <c r="K52" s="22" t="n">
        <v>0.2857142857142857</v>
      </c>
    </row>
    <row r="53" ht="28" customHeight="1">
      <c r="A53" s="5" t="inlineStr">
        <is>
          <t>office1</t>
        </is>
      </c>
      <c r="B53" s="5" t="inlineStr">
        <is>
          <t>v7_CLIP_v3</t>
        </is>
      </c>
      <c r="C53" s="6" t="n">
        <v>0.490956561282533</v>
      </c>
      <c r="D53" s="5" t="n">
        <v>28</v>
      </c>
      <c r="E53" s="5" t="n">
        <v>25</v>
      </c>
      <c r="F53" s="5" t="n">
        <v>15</v>
      </c>
      <c r="G53" s="5" t="n">
        <v>19</v>
      </c>
      <c r="H53" s="5" t="n">
        <v>10</v>
      </c>
      <c r="I53" s="6" t="n">
        <v>0.4411764705882353</v>
      </c>
      <c r="J53" s="6" t="n">
        <v>0.6</v>
      </c>
      <c r="K53" s="6" t="n">
        <v>0.5084745762711864</v>
      </c>
    </row>
    <row r="54" ht="28" customHeight="1">
      <c r="A54" s="21" t="inlineStr">
        <is>
          <t>office2</t>
        </is>
      </c>
      <c r="B54" s="21" t="inlineStr">
        <is>
          <t>v7_CLIP_v3</t>
        </is>
      </c>
      <c r="C54" s="22" t="n">
        <v>0.4548285055957306</v>
      </c>
      <c r="D54" s="21" t="n">
        <v>43</v>
      </c>
      <c r="E54" s="21" t="n">
        <v>40</v>
      </c>
      <c r="F54" s="21" t="n">
        <v>18</v>
      </c>
      <c r="G54" s="21" t="n">
        <v>39</v>
      </c>
      <c r="H54" s="21" t="n">
        <v>22</v>
      </c>
      <c r="I54" s="22" t="n">
        <v>0.3157894736842105</v>
      </c>
      <c r="J54" s="22" t="n">
        <v>0.45</v>
      </c>
      <c r="K54" s="22" t="n">
        <v>0.3711340206185567</v>
      </c>
    </row>
    <row r="55" ht="42" customHeight="1">
      <c r="A55" s="21" t="inlineStr">
        <is>
          <t>room0</t>
        </is>
      </c>
      <c r="B55" s="21" t="inlineStr">
        <is>
          <t>A ali-my bff233f</t>
        </is>
      </c>
      <c r="C55" s="22" t="n">
        <v>0.3396711791487467</v>
      </c>
      <c r="D55" s="21" t="n">
        <v>73</v>
      </c>
      <c r="E55" s="21" t="n">
        <v>68</v>
      </c>
      <c r="F55" s="21" t="n">
        <v>28</v>
      </c>
      <c r="G55" s="21" t="n">
        <v>36</v>
      </c>
      <c r="H55" s="21" t="n">
        <v>40</v>
      </c>
      <c r="I55" s="22" t="n">
        <v>0.4375</v>
      </c>
      <c r="J55" s="22" t="n">
        <v>0.4117647058823529</v>
      </c>
      <c r="K55" s="22" t="n">
        <v>0.4242424242424243</v>
      </c>
    </row>
    <row r="56" ht="42" customHeight="1">
      <c r="A56" s="21" t="inlineStr">
        <is>
          <t>room0</t>
        </is>
      </c>
      <c r="B56" s="21" t="inlineStr">
        <is>
          <t>B 原图（无VLM）</t>
        </is>
      </c>
      <c r="C56" s="22" t="n">
        <v>0.4442065123372826</v>
      </c>
      <c r="D56" s="21" t="n">
        <v>73</v>
      </c>
      <c r="E56" s="21" t="n">
        <v>68</v>
      </c>
      <c r="F56" s="21" t="n">
        <v>34</v>
      </c>
      <c r="G56" s="21" t="n">
        <v>47</v>
      </c>
      <c r="H56" s="21" t="n">
        <v>34</v>
      </c>
      <c r="I56" s="22" t="n">
        <v>0.4197530864197531</v>
      </c>
      <c r="J56" s="22" t="n">
        <v>0.5</v>
      </c>
      <c r="K56" s="22" t="n">
        <v>0.4563758389261745</v>
      </c>
    </row>
    <row r="57" ht="42" customHeight="1">
      <c r="A57" s="21" t="inlineStr">
        <is>
          <t>room0</t>
        </is>
      </c>
      <c r="B57" s="21" t="inlineStr">
        <is>
          <t>C 原图+CLIP（无VLM）</t>
        </is>
      </c>
      <c r="C57" s="22" t="n">
        <v>0.4447485047002728</v>
      </c>
      <c r="D57" s="21" t="n">
        <v>73</v>
      </c>
      <c r="E57" s="21" t="n">
        <v>68</v>
      </c>
      <c r="F57" s="21" t="n">
        <v>34</v>
      </c>
      <c r="G57" s="21" t="n">
        <v>45</v>
      </c>
      <c r="H57" s="21" t="n">
        <v>34</v>
      </c>
      <c r="I57" s="22" t="n">
        <v>0.4303797468354431</v>
      </c>
      <c r="J57" s="22" t="n">
        <v>0.5</v>
      </c>
      <c r="K57" s="22" t="n">
        <v>0.4625850340136055</v>
      </c>
    </row>
    <row r="58" ht="42" customHeight="1">
      <c r="A58" s="21" t="inlineStr">
        <is>
          <t>room1</t>
        </is>
      </c>
      <c r="B58" s="21" t="inlineStr">
        <is>
          <t>A ali-my bff233f</t>
        </is>
      </c>
      <c r="C58" s="22" t="n">
        <v>0.3378023900973664</v>
      </c>
      <c r="D58" s="21" t="n">
        <v>45</v>
      </c>
      <c r="E58" s="21" t="n">
        <v>40</v>
      </c>
      <c r="F58" s="21" t="n">
        <v>12</v>
      </c>
      <c r="G58" s="21" t="n">
        <v>38</v>
      </c>
      <c r="H58" s="21" t="n">
        <v>28</v>
      </c>
      <c r="I58" s="22" t="n">
        <v>0.24</v>
      </c>
      <c r="J58" s="22" t="n">
        <v>0.3</v>
      </c>
      <c r="K58" s="22" t="n">
        <v>0.2666666666666667</v>
      </c>
    </row>
    <row r="59" ht="42" customHeight="1">
      <c r="A59" s="21" t="inlineStr">
        <is>
          <t>room1</t>
        </is>
      </c>
      <c r="B59" s="21" t="inlineStr">
        <is>
          <t>B 原图（无VLM）</t>
        </is>
      </c>
      <c r="C59" s="22" t="n">
        <v>0.3674777456305733</v>
      </c>
      <c r="D59" s="21" t="n">
        <v>45</v>
      </c>
      <c r="E59" s="21" t="n">
        <v>40</v>
      </c>
      <c r="F59" s="21" t="n">
        <v>14</v>
      </c>
      <c r="G59" s="21" t="n">
        <v>40</v>
      </c>
      <c r="H59" s="21" t="n">
        <v>26</v>
      </c>
      <c r="I59" s="22" t="n">
        <v>0.2592592592592592</v>
      </c>
      <c r="J59" s="22" t="n">
        <v>0.35</v>
      </c>
      <c r="K59" s="22" t="n">
        <v>0.2978723404255319</v>
      </c>
    </row>
    <row r="60" ht="42" customHeight="1">
      <c r="A60" s="21" t="inlineStr">
        <is>
          <t>room1</t>
        </is>
      </c>
      <c r="B60" s="21" t="inlineStr">
        <is>
          <t>C 原图+CLIP（无VLM）</t>
        </is>
      </c>
      <c r="C60" s="22" t="n">
        <v>0.3687619088693429</v>
      </c>
      <c r="D60" s="21" t="n">
        <v>45</v>
      </c>
      <c r="E60" s="21" t="n">
        <v>40</v>
      </c>
      <c r="F60" s="21" t="n">
        <v>14</v>
      </c>
      <c r="G60" s="21" t="n">
        <v>35</v>
      </c>
      <c r="H60" s="21" t="n">
        <v>26</v>
      </c>
      <c r="I60" s="22" t="n">
        <v>0.2857142857142857</v>
      </c>
      <c r="J60" s="22" t="n">
        <v>0.35</v>
      </c>
      <c r="K60" s="22" t="n">
        <v>0.3146067415730337</v>
      </c>
    </row>
    <row r="61" ht="42" customHeight="1">
      <c r="A61" s="21" t="inlineStr">
        <is>
          <t>room2</t>
        </is>
      </c>
      <c r="B61" s="21" t="inlineStr">
        <is>
          <t>A ali-my bff233f</t>
        </is>
      </c>
      <c r="C61" s="22" t="n">
        <v>0.2477284125174392</v>
      </c>
      <c r="D61" s="21" t="n">
        <v>52</v>
      </c>
      <c r="E61" s="21" t="n">
        <v>47</v>
      </c>
      <c r="F61" s="21" t="n">
        <v>12</v>
      </c>
      <c r="G61" s="21" t="n">
        <v>36</v>
      </c>
      <c r="H61" s="21" t="n">
        <v>35</v>
      </c>
      <c r="I61" s="22" t="n">
        <v>0.25</v>
      </c>
      <c r="J61" s="22" t="n">
        <v>0.2553191489361702</v>
      </c>
      <c r="K61" s="22" t="n">
        <v>0.2526315789473684</v>
      </c>
    </row>
    <row r="62" ht="42" customHeight="1">
      <c r="A62" s="21" t="inlineStr">
        <is>
          <t>room2</t>
        </is>
      </c>
      <c r="B62" s="21" t="inlineStr">
        <is>
          <t>B 原图（无VLM）</t>
        </is>
      </c>
      <c r="C62" s="22" t="n">
        <v>0.3033128570814459</v>
      </c>
      <c r="D62" s="21" t="n">
        <v>52</v>
      </c>
      <c r="E62" s="21" t="n">
        <v>47</v>
      </c>
      <c r="F62" s="21" t="n">
        <v>14</v>
      </c>
      <c r="G62" s="21" t="n">
        <v>44</v>
      </c>
      <c r="H62" s="21" t="n">
        <v>33</v>
      </c>
      <c r="I62" s="22" t="n">
        <v>0.2413793103448276</v>
      </c>
      <c r="J62" s="22" t="n">
        <v>0.2978723404255319</v>
      </c>
      <c r="K62" s="22" t="n">
        <v>0.2666666666666667</v>
      </c>
    </row>
    <row r="63" ht="42" customHeight="1">
      <c r="A63" s="21" t="inlineStr">
        <is>
          <t>room2</t>
        </is>
      </c>
      <c r="B63" s="21" t="inlineStr">
        <is>
          <t>C 原图+CLIP（无VLM）</t>
        </is>
      </c>
      <c r="C63" s="22" t="n">
        <v>0.2973787170672515</v>
      </c>
      <c r="D63" s="21" t="n">
        <v>52</v>
      </c>
      <c r="E63" s="21" t="n">
        <v>47</v>
      </c>
      <c r="F63" s="21" t="n">
        <v>14</v>
      </c>
      <c r="G63" s="21" t="n">
        <v>42</v>
      </c>
      <c r="H63" s="21" t="n">
        <v>33</v>
      </c>
      <c r="I63" s="22" t="n">
        <v>0.25</v>
      </c>
      <c r="J63" s="22" t="n">
        <v>0.2978723404255319</v>
      </c>
      <c r="K63" s="22" t="n">
        <v>0.2718446601941747</v>
      </c>
    </row>
    <row r="64" ht="42" customHeight="1">
      <c r="A64" s="21" t="inlineStr">
        <is>
          <t>office0</t>
        </is>
      </c>
      <c r="B64" s="21" t="inlineStr">
        <is>
          <t>A ali-my bff233f</t>
        </is>
      </c>
      <c r="C64" s="22" t="n">
        <v>0.3539959558021713</v>
      </c>
      <c r="D64" s="21" t="n">
        <v>34</v>
      </c>
      <c r="E64" s="21" t="n">
        <v>26</v>
      </c>
      <c r="F64" s="21" t="n">
        <v>9</v>
      </c>
      <c r="G64" s="21" t="n">
        <v>24</v>
      </c>
      <c r="H64" s="21" t="n">
        <v>17</v>
      </c>
      <c r="I64" s="22" t="n">
        <v>0.2727272727272727</v>
      </c>
      <c r="J64" s="22" t="n">
        <v>0.3461538461538461</v>
      </c>
      <c r="K64" s="22" t="n">
        <v>0.3050847457627119</v>
      </c>
    </row>
    <row r="65" ht="42" customHeight="1">
      <c r="A65" s="21" t="inlineStr">
        <is>
          <t>office0</t>
        </is>
      </c>
      <c r="B65" s="21" t="inlineStr">
        <is>
          <t>B 原图（无VLM）</t>
        </is>
      </c>
      <c r="C65" s="22" t="n">
        <v>0.3935513577215573</v>
      </c>
      <c r="D65" s="21" t="n">
        <v>34</v>
      </c>
      <c r="E65" s="21" t="n">
        <v>26</v>
      </c>
      <c r="F65" s="21" t="n">
        <v>10</v>
      </c>
      <c r="G65" s="21" t="n">
        <v>39</v>
      </c>
      <c r="H65" s="21" t="n">
        <v>16</v>
      </c>
      <c r="I65" s="22" t="n">
        <v>0.2040816326530612</v>
      </c>
      <c r="J65" s="22" t="n">
        <v>0.3846153846153846</v>
      </c>
      <c r="K65" s="22" t="n">
        <v>0.2666666666666667</v>
      </c>
    </row>
    <row r="66" ht="42" customHeight="1">
      <c r="A66" s="21" t="inlineStr">
        <is>
          <t>office0</t>
        </is>
      </c>
      <c r="B66" s="21" t="inlineStr">
        <is>
          <t>C 原图+CLIP（无VLM）</t>
        </is>
      </c>
      <c r="C66" s="22" t="n">
        <v>0.387674911185089</v>
      </c>
      <c r="D66" s="21" t="n">
        <v>34</v>
      </c>
      <c r="E66" s="21" t="n">
        <v>26</v>
      </c>
      <c r="F66" s="21" t="n">
        <v>10</v>
      </c>
      <c r="G66" s="21" t="n">
        <v>34</v>
      </c>
      <c r="H66" s="21" t="n">
        <v>16</v>
      </c>
      <c r="I66" s="22" t="n">
        <v>0.2272727272727273</v>
      </c>
      <c r="J66" s="22" t="n">
        <v>0.3846153846153846</v>
      </c>
      <c r="K66" s="22" t="n">
        <v>0.2857142857142857</v>
      </c>
    </row>
    <row r="67" ht="42" customHeight="1">
      <c r="A67" s="21" t="inlineStr">
        <is>
          <t>office1</t>
        </is>
      </c>
      <c r="B67" s="21" t="inlineStr">
        <is>
          <t>A ali-my bff233f</t>
        </is>
      </c>
      <c r="C67" s="22" t="n">
        <v>0.369723833746493</v>
      </c>
      <c r="D67" s="21" t="n">
        <v>28</v>
      </c>
      <c r="E67" s="21" t="n">
        <v>25</v>
      </c>
      <c r="F67" s="21" t="n">
        <v>12</v>
      </c>
      <c r="G67" s="21" t="n">
        <v>13</v>
      </c>
      <c r="H67" s="21" t="n">
        <v>13</v>
      </c>
      <c r="I67" s="22" t="n">
        <v>0.48</v>
      </c>
      <c r="J67" s="22" t="n">
        <v>0.48</v>
      </c>
      <c r="K67" s="22" t="n">
        <v>0.48</v>
      </c>
    </row>
    <row r="68" ht="42" customHeight="1">
      <c r="A68" s="21" t="inlineStr">
        <is>
          <t>office1</t>
        </is>
      </c>
      <c r="B68" s="21" t="inlineStr">
        <is>
          <t>B 原图（无VLM）</t>
        </is>
      </c>
      <c r="C68" s="22" t="n">
        <v>0.4730950872858384</v>
      </c>
      <c r="D68" s="21" t="n">
        <v>28</v>
      </c>
      <c r="E68" s="21" t="n">
        <v>25</v>
      </c>
      <c r="F68" s="21" t="n">
        <v>15</v>
      </c>
      <c r="G68" s="21" t="n">
        <v>16</v>
      </c>
      <c r="H68" s="21" t="n">
        <v>10</v>
      </c>
      <c r="I68" s="22" t="n">
        <v>0.4838709677419355</v>
      </c>
      <c r="J68" s="22" t="n">
        <v>0.6</v>
      </c>
      <c r="K68" s="22" t="n">
        <v>0.5357142857142857</v>
      </c>
    </row>
    <row r="69" ht="42" customHeight="1">
      <c r="A69" s="21" t="inlineStr">
        <is>
          <t>office1</t>
        </is>
      </c>
      <c r="B69" s="21" t="inlineStr">
        <is>
          <t>C 原图+CLIP（无VLM）</t>
        </is>
      </c>
      <c r="C69" s="22" t="n">
        <v>0.473088828253871</v>
      </c>
      <c r="D69" s="21" t="n">
        <v>28</v>
      </c>
      <c r="E69" s="21" t="n">
        <v>25</v>
      </c>
      <c r="F69" s="21" t="n">
        <v>15</v>
      </c>
      <c r="G69" s="21" t="n">
        <v>16</v>
      </c>
      <c r="H69" s="21" t="n">
        <v>10</v>
      </c>
      <c r="I69" s="22" t="n">
        <v>0.4838709677419355</v>
      </c>
      <c r="J69" s="22" t="n">
        <v>0.6</v>
      </c>
      <c r="K69" s="22" t="n">
        <v>0.5357142857142857</v>
      </c>
    </row>
    <row r="70" ht="42" customHeight="1">
      <c r="A70" s="21" t="inlineStr">
        <is>
          <t>office2</t>
        </is>
      </c>
      <c r="B70" s="21" t="inlineStr">
        <is>
          <t>A ali-my bff233f</t>
        </is>
      </c>
      <c r="C70" s="22" t="n">
        <v>0.2613590032262919</v>
      </c>
      <c r="D70" s="21" t="n">
        <v>43</v>
      </c>
      <c r="E70" s="21" t="n">
        <v>40</v>
      </c>
      <c r="F70" s="21" t="n">
        <v>9</v>
      </c>
      <c r="G70" s="21" t="n">
        <v>36</v>
      </c>
      <c r="H70" s="21" t="n">
        <v>31</v>
      </c>
      <c r="I70" s="22" t="n">
        <v>0.2</v>
      </c>
      <c r="J70" s="22" t="n">
        <v>0.225</v>
      </c>
      <c r="K70" s="22" t="n">
        <v>0.2117647058823529</v>
      </c>
    </row>
    <row r="71" ht="42" customHeight="1">
      <c r="A71" s="21" t="inlineStr">
        <is>
          <t>office2</t>
        </is>
      </c>
      <c r="B71" s="21" t="inlineStr">
        <is>
          <t>B 原图（无VLM）</t>
        </is>
      </c>
      <c r="C71" s="22" t="n">
        <v>0.4116639300084007</v>
      </c>
      <c r="D71" s="21" t="n">
        <v>43</v>
      </c>
      <c r="E71" s="21" t="n">
        <v>40</v>
      </c>
      <c r="F71" s="21" t="n">
        <v>17</v>
      </c>
      <c r="G71" s="21" t="n">
        <v>36</v>
      </c>
      <c r="H71" s="21" t="n">
        <v>23</v>
      </c>
      <c r="I71" s="22" t="n">
        <v>0.3207547169811321</v>
      </c>
      <c r="J71" s="22" t="n">
        <v>0.425</v>
      </c>
      <c r="K71" s="22" t="n">
        <v>0.3655913978494624</v>
      </c>
    </row>
    <row r="72" ht="42" customHeight="1">
      <c r="A72" s="21" t="inlineStr">
        <is>
          <t>office2</t>
        </is>
      </c>
      <c r="B72" s="21" t="inlineStr">
        <is>
          <t>C 原图+CLIP（无VLM）</t>
        </is>
      </c>
      <c r="C72" s="22" t="n">
        <v>0.4143823440012097</v>
      </c>
      <c r="D72" s="21" t="n">
        <v>43</v>
      </c>
      <c r="E72" s="21" t="n">
        <v>40</v>
      </c>
      <c r="F72" s="21" t="n">
        <v>18</v>
      </c>
      <c r="G72" s="21" t="n">
        <v>33</v>
      </c>
      <c r="H72" s="21" t="n">
        <v>22</v>
      </c>
      <c r="I72" s="22" t="n">
        <v>0.3529411764705883</v>
      </c>
      <c r="J72" s="22" t="n">
        <v>0.45</v>
      </c>
      <c r="K72" s="22" t="n">
        <v>0.3956043956043956</v>
      </c>
    </row>
    <row r="73" ht="42" customHeight="1">
      <c r="A73" s="21" t="inlineStr">
        <is>
          <t>office3</t>
        </is>
      </c>
      <c r="B73" s="21" t="inlineStr">
        <is>
          <t>A ali-my bff233f</t>
        </is>
      </c>
      <c r="C73" s="22" t="n">
        <v>0.296658061133688</v>
      </c>
      <c r="D73" s="21" t="n">
        <v>61</v>
      </c>
      <c r="E73" s="21" t="n">
        <v>57</v>
      </c>
      <c r="F73" s="21" t="n">
        <v>17</v>
      </c>
      <c r="G73" s="21" t="n">
        <v>38</v>
      </c>
      <c r="H73" s="21" t="n">
        <v>40</v>
      </c>
      <c r="I73" s="22" t="n">
        <v>0.3090909090909091</v>
      </c>
      <c r="J73" s="22" t="n">
        <v>0.2982456140350877</v>
      </c>
      <c r="K73" s="22" t="n">
        <v>0.3035714285714285</v>
      </c>
    </row>
    <row r="74" ht="42" customHeight="1">
      <c r="A74" s="21" t="inlineStr">
        <is>
          <t>office3</t>
        </is>
      </c>
      <c r="B74" s="21" t="inlineStr">
        <is>
          <t>B 原图（无VLM）</t>
        </is>
      </c>
      <c r="C74" s="22" t="n">
        <v>0.4296484986587227</v>
      </c>
      <c r="D74" s="21" t="n">
        <v>61</v>
      </c>
      <c r="E74" s="21" t="n">
        <v>57</v>
      </c>
      <c r="F74" s="21" t="n">
        <v>26</v>
      </c>
      <c r="G74" s="21" t="n">
        <v>46</v>
      </c>
      <c r="H74" s="21" t="n">
        <v>31</v>
      </c>
      <c r="I74" s="22" t="n">
        <v>0.3611111111111111</v>
      </c>
      <c r="J74" s="22" t="n">
        <v>0.456140350877193</v>
      </c>
      <c r="K74" s="22" t="n">
        <v>0.4031007751937984</v>
      </c>
    </row>
    <row r="75" ht="42" customHeight="1">
      <c r="A75" s="21" t="inlineStr">
        <is>
          <t>office3</t>
        </is>
      </c>
      <c r="B75" s="21" t="inlineStr">
        <is>
          <t>C 原图+CLIP（无VLM）</t>
        </is>
      </c>
      <c r="C75" s="22" t="n">
        <v>0.4406367182932677</v>
      </c>
      <c r="D75" s="21" t="n">
        <v>61</v>
      </c>
      <c r="E75" s="21" t="n">
        <v>57</v>
      </c>
      <c r="F75" s="21" t="n">
        <v>28</v>
      </c>
      <c r="G75" s="21" t="n">
        <v>35</v>
      </c>
      <c r="H75" s="21" t="n">
        <v>29</v>
      </c>
      <c r="I75" s="22" t="n">
        <v>0.4444444444444444</v>
      </c>
      <c r="J75" s="22" t="n">
        <v>0.4912280701754386</v>
      </c>
      <c r="K75" s="22" t="n">
        <v>0.4666666666666667</v>
      </c>
    </row>
    <row r="76" ht="42" customHeight="1">
      <c r="A76" s="21" t="inlineStr">
        <is>
          <t>office4</t>
        </is>
      </c>
      <c r="B76" s="21" t="inlineStr">
        <is>
          <t>A ali-my bff233f</t>
        </is>
      </c>
      <c r="C76" s="22" t="n">
        <v>0.4214368378073216</v>
      </c>
      <c r="D76" s="21" t="n">
        <v>31</v>
      </c>
      <c r="E76" s="21" t="n">
        <v>29</v>
      </c>
      <c r="F76" s="21" t="n">
        <v>11</v>
      </c>
      <c r="G76" s="21" t="n">
        <v>31</v>
      </c>
      <c r="H76" s="21" t="n">
        <v>18</v>
      </c>
      <c r="I76" s="22" t="n">
        <v>0.2619047619047619</v>
      </c>
      <c r="J76" s="22" t="n">
        <v>0.3793103448275862</v>
      </c>
      <c r="K76" s="22" t="n">
        <v>0.3098591549295774</v>
      </c>
    </row>
    <row r="77" ht="42" customHeight="1">
      <c r="A77" s="21" t="inlineStr">
        <is>
          <t>office4</t>
        </is>
      </c>
      <c r="B77" s="21" t="inlineStr">
        <is>
          <t>B 原图（无VLM）</t>
        </is>
      </c>
      <c r="C77" s="22" t="n">
        <v>0.4857355398227721</v>
      </c>
      <c r="D77" s="21" t="n">
        <v>31</v>
      </c>
      <c r="E77" s="21" t="n">
        <v>29</v>
      </c>
      <c r="F77" s="21" t="n">
        <v>13</v>
      </c>
      <c r="G77" s="21" t="n">
        <v>45</v>
      </c>
      <c r="H77" s="21" t="n">
        <v>16</v>
      </c>
      <c r="I77" s="22" t="n">
        <v>0.2241379310344828</v>
      </c>
      <c r="J77" s="22" t="n">
        <v>0.4482758620689655</v>
      </c>
      <c r="K77" s="22" t="n">
        <v>0.2988505747126437</v>
      </c>
    </row>
    <row r="78" ht="42" customHeight="1">
      <c r="A78" s="21" t="inlineStr">
        <is>
          <t>office4</t>
        </is>
      </c>
      <c r="B78" s="21" t="inlineStr">
        <is>
          <t>C 原图+CLIP（无VLM）</t>
        </is>
      </c>
      <c r="C78" s="22" t="n">
        <v>0.5042055922751295</v>
      </c>
      <c r="D78" s="21" t="n">
        <v>31</v>
      </c>
      <c r="E78" s="21" t="n">
        <v>29</v>
      </c>
      <c r="F78" s="21" t="n">
        <v>13</v>
      </c>
      <c r="G78" s="21" t="n">
        <v>39</v>
      </c>
      <c r="H78" s="21" t="n">
        <v>16</v>
      </c>
      <c r="I78" s="22" t="n">
        <v>0.25</v>
      </c>
      <c r="J78" s="22" t="n">
        <v>0.4482758620689655</v>
      </c>
      <c r="K78" s="22" t="n">
        <v>0.3209876543209876</v>
      </c>
    </row>
    <row r="79" ht="28" customHeight="1">
      <c r="A79" s="3" t="inlineStr">
        <is>
          <t>room1</t>
        </is>
      </c>
      <c r="B79" s="3" t="inlineStr">
        <is>
          <t>v7_CLIP_no90</t>
        </is>
      </c>
      <c r="C79" s="4" t="n">
        <v>0.4269192491679349</v>
      </c>
      <c r="D79" s="3" t="n">
        <v>45</v>
      </c>
      <c r="E79" s="3" t="n">
        <v>40</v>
      </c>
      <c r="F79" s="3" t="n">
        <v>17</v>
      </c>
      <c r="G79" s="3" t="n">
        <v>31</v>
      </c>
      <c r="H79" s="3" t="n">
        <v>23</v>
      </c>
      <c r="I79" s="4" t="n">
        <v>0.3541666666666667</v>
      </c>
      <c r="J79" s="4" t="n">
        <v>0.425</v>
      </c>
      <c r="K79" s="4" t="n">
        <v>0.3863636363636364</v>
      </c>
    </row>
    <row r="80" ht="28" customHeight="1">
      <c r="A80" s="3" t="inlineStr">
        <is>
          <t>office1</t>
        </is>
      </c>
      <c r="B80" s="3" t="inlineStr">
        <is>
          <t>v7_CLIP_no90</t>
        </is>
      </c>
      <c r="C80" s="4" t="n">
        <v>0.4947349632056371</v>
      </c>
      <c r="D80" s="3" t="n">
        <v>28</v>
      </c>
      <c r="E80" s="3" t="n">
        <v>25</v>
      </c>
      <c r="F80" s="3" t="n">
        <v>15</v>
      </c>
      <c r="G80" s="3" t="n">
        <v>17</v>
      </c>
      <c r="H80" s="3" t="n">
        <v>10</v>
      </c>
      <c r="I80" s="4" t="n">
        <v>0.46875</v>
      </c>
      <c r="J80" s="4" t="n">
        <v>0.6</v>
      </c>
      <c r="K80" s="4" t="n">
        <v>0.5263157894736842</v>
      </c>
    </row>
    <row r="81" ht="28" customHeight="1">
      <c r="A81" s="3" t="inlineStr">
        <is>
          <t>room0</t>
        </is>
      </c>
      <c r="B81" s="3" t="inlineStr">
        <is>
          <t>v7_CLIP_no90</t>
        </is>
      </c>
      <c r="C81" s="4" t="n">
        <v>0.4497560051336993</v>
      </c>
      <c r="D81" s="3" t="n">
        <v>73</v>
      </c>
      <c r="E81" s="3" t="n">
        <v>68</v>
      </c>
      <c r="F81" s="3" t="n">
        <v>35</v>
      </c>
      <c r="G81" s="3" t="n">
        <v>44</v>
      </c>
      <c r="H81" s="3" t="n">
        <v>33</v>
      </c>
      <c r="I81" s="4" t="n">
        <v>0.4430379746835443</v>
      </c>
      <c r="J81" s="4" t="n">
        <v>0.5147058823529411</v>
      </c>
      <c r="K81" s="4" t="n">
        <v>0.4761904761904762</v>
      </c>
    </row>
    <row r="82" ht="28" customHeight="1">
      <c r="A82" s="3" t="inlineStr">
        <is>
          <t>room2</t>
        </is>
      </c>
      <c r="B82" s="3" t="inlineStr">
        <is>
          <t>v7_CLIP_no90</t>
        </is>
      </c>
      <c r="C82" s="4" t="n">
        <v>0.3577943442933756</v>
      </c>
      <c r="D82" s="3" t="n">
        <v>52</v>
      </c>
      <c r="E82" s="3" t="n">
        <v>47</v>
      </c>
      <c r="F82" s="3" t="n">
        <v>17</v>
      </c>
      <c r="G82" s="3" t="n">
        <v>34</v>
      </c>
      <c r="H82" s="3" t="n">
        <v>30</v>
      </c>
      <c r="I82" s="4" t="n">
        <v>0.3333333333333333</v>
      </c>
      <c r="J82" s="4" t="n">
        <v>0.3617021276595745</v>
      </c>
      <c r="K82" s="4" t="n">
        <v>0.3469387755102041</v>
      </c>
    </row>
    <row r="83" ht="28" customHeight="1">
      <c r="A83" s="3" t="inlineStr">
        <is>
          <t>office0</t>
        </is>
      </c>
      <c r="B83" s="3" t="inlineStr">
        <is>
          <t>v7_CLIP_no90</t>
        </is>
      </c>
      <c r="C83" s="4" t="n">
        <v>0.4124081355565761</v>
      </c>
      <c r="D83" s="3" t="n">
        <v>34</v>
      </c>
      <c r="E83" s="3" t="n">
        <v>26</v>
      </c>
      <c r="F83" s="3" t="n">
        <v>11</v>
      </c>
      <c r="G83" s="3" t="n">
        <v>29</v>
      </c>
      <c r="H83" s="3" t="n">
        <v>15</v>
      </c>
      <c r="I83" s="4" t="n">
        <v>0.275</v>
      </c>
      <c r="J83" s="4" t="n">
        <v>0.4230769230769231</v>
      </c>
      <c r="K83" s="4" t="n">
        <v>0.3333333333333333</v>
      </c>
    </row>
    <row r="84" ht="28" customHeight="1">
      <c r="A84" s="3" t="inlineStr">
        <is>
          <t>office2</t>
        </is>
      </c>
      <c r="B84" s="3" t="inlineStr">
        <is>
          <t>v7_CLIP_no90</t>
        </is>
      </c>
      <c r="C84" s="4" t="n">
        <v>0.4495690006662475</v>
      </c>
      <c r="D84" s="3" t="n">
        <v>43</v>
      </c>
      <c r="E84" s="3" t="n">
        <v>40</v>
      </c>
      <c r="F84" s="3" t="n">
        <v>18</v>
      </c>
      <c r="G84" s="3" t="n">
        <v>39</v>
      </c>
      <c r="H84" s="3" t="n">
        <v>22</v>
      </c>
      <c r="I84" s="4" t="n">
        <v>0.3157894736842105</v>
      </c>
      <c r="J84" s="4" t="n">
        <v>0.45</v>
      </c>
      <c r="K84" s="4" t="n">
        <v>0.3711340206185567</v>
      </c>
    </row>
    <row r="85" ht="28" customHeight="1">
      <c r="A85" s="3" t="inlineStr">
        <is>
          <t>office3</t>
        </is>
      </c>
      <c r="B85" s="3" t="inlineStr">
        <is>
          <t>v7_CLIP_no90</t>
        </is>
      </c>
      <c r="C85" s="4" t="n">
        <v>0.4526350329985867</v>
      </c>
      <c r="D85" s="3" t="n">
        <v>61</v>
      </c>
      <c r="E85" s="3" t="n">
        <v>57</v>
      </c>
      <c r="F85" s="3" t="n">
        <v>26</v>
      </c>
      <c r="G85" s="3" t="n">
        <v>41</v>
      </c>
      <c r="H85" s="3" t="n">
        <v>31</v>
      </c>
      <c r="I85" s="4" t="n">
        <v>0.3880597014925373</v>
      </c>
      <c r="J85" s="4" t="n">
        <v>0.456140350877193</v>
      </c>
      <c r="K85" s="4" t="n">
        <v>0.4193548387096774</v>
      </c>
    </row>
    <row r="86" ht="28" customHeight="1">
      <c r="A86" s="3" t="inlineStr">
        <is>
          <t>office4</t>
        </is>
      </c>
      <c r="B86" s="3" t="inlineStr">
        <is>
          <t>v7_CLIP_no90</t>
        </is>
      </c>
      <c r="C86" s="4" t="n">
        <v>0.4982491226144818</v>
      </c>
      <c r="D86" s="3" t="n">
        <v>31</v>
      </c>
      <c r="E86" s="3" t="n">
        <v>29</v>
      </c>
      <c r="F86" s="3" t="n">
        <v>12</v>
      </c>
      <c r="G86" s="3" t="n">
        <v>41</v>
      </c>
      <c r="H86" s="3" t="n">
        <v>17</v>
      </c>
      <c r="I86" s="4" t="n">
        <v>0.2264150943396226</v>
      </c>
      <c r="J86" s="4" t="n">
        <v>0.4137931034482759</v>
      </c>
      <c r="K86" s="4" t="n">
        <v>0.2926829268292683</v>
      </c>
    </row>
    <row r="87"/>
    <row r="88"/>
    <row r="89" ht="30" customHeight="1">
      <c r="A89" s="1" t="inlineStr">
        <is>
          <t>当前观测质量：50例平衡诊断测试（2026-09-13）</t>
        </is>
      </c>
    </row>
    <row r="90" ht="32" customHeight="1">
      <c r="A90" s="2" t="inlineStr">
        <is>
          <t>指标</t>
        </is>
      </c>
      <c r="C90" s="2" t="inlineStr">
        <is>
          <t>原版 no90</t>
        </is>
      </c>
      <c r="D90" s="2" t="inlineStr">
        <is>
          <t>新版 A/B</t>
        </is>
      </c>
      <c r="E90" s="2" t="inlineStr">
        <is>
          <t>新版−原版</t>
        </is>
      </c>
      <c r="F90" s="2" t="inlineStr">
        <is>
          <t>说明</t>
        </is>
      </c>
    </row>
    <row r="91" ht="32" customHeight="1">
      <c r="A91" s="27" t="inlineStr">
        <is>
          <t>完成案例</t>
        </is>
      </c>
      <c r="C91" s="28" t="n">
        <v>50</v>
      </c>
      <c r="D91" s="28" t="n">
        <v>50</v>
      </c>
      <c r="E91" s="28" t="n">
        <v>0</v>
      </c>
      <c r="F91" s="27" t="inlineStr">
        <is>
          <t>同一固定清单；可用25例、有问题25例，覆盖8景</t>
        </is>
      </c>
    </row>
    <row r="92" ht="32" customHeight="1">
      <c r="A92" s="12" t="inlineStr">
        <is>
          <t>严格正确数</t>
        </is>
      </c>
      <c r="C92" s="29" t="n">
        <v>19</v>
      </c>
      <c r="D92" s="29" t="n">
        <v>27</v>
      </c>
      <c r="E92" s="29" t="n">
        <v>8</v>
      </c>
      <c r="F92" s="12" t="inlineStr">
        <is>
          <t>弃答和格式失败保留在50例分母内</t>
        </is>
      </c>
    </row>
    <row r="93" ht="32" customHeight="1">
      <c r="A93" s="27" t="inlineStr">
        <is>
          <t>严格准确率</t>
        </is>
      </c>
      <c r="C93" s="14" t="n">
        <v>0.38</v>
      </c>
      <c r="D93" s="14" t="n">
        <v>0.54</v>
      </c>
      <c r="E93" s="14" t="n">
        <v>0.16</v>
      </c>
      <c r="F93" s="27" t="inlineStr">
        <is>
          <t>标签语义不同；不能单凭此项认定模型更好</t>
        </is>
      </c>
    </row>
    <row r="94" ht="32" customHeight="1">
      <c r="A94" s="12" t="inlineStr">
        <is>
          <t>严格 Macro-F1</t>
        </is>
      </c>
      <c r="C94" s="16" t="n">
        <v>0.3559113300492611</v>
      </c>
      <c r="D94" s="16" t="n">
        <v>0.5325602140945584</v>
      </c>
      <c r="E94" s="16" t="n">
        <v>0.1766488840452973</v>
      </c>
      <c r="F94" s="12" t="inlineStr">
        <is>
          <t>对USABLE与CORRUPTED两类分别计算后平均</t>
        </is>
      </c>
    </row>
    <row r="95" ht="32" customHeight="1">
      <c r="A95" s="27" t="inlineStr">
        <is>
          <t>可用观测 Precision</t>
        </is>
      </c>
      <c r="C95" s="14" t="n">
        <v>0.5806451612903226</v>
      </c>
      <c r="D95" s="14" t="n">
        <v>0.5588235294117647</v>
      </c>
      <c r="E95" s="14" t="n">
        <v>-0.0218216318785579</v>
      </c>
      <c r="F95" s="27" t="inlineStr">
        <is>
          <t>预测放行的观测中，真值可用的比例</t>
        </is>
      </c>
    </row>
    <row r="96" ht="32" customHeight="1">
      <c r="A96" s="12" t="inlineStr">
        <is>
          <t>可用观测 Recall</t>
        </is>
      </c>
      <c r="C96" s="16" t="n">
        <v>0.72</v>
      </c>
      <c r="D96" s="16" t="n">
        <v>0.76</v>
      </c>
      <c r="E96" s="16" t="n">
        <v>0.04000000000000004</v>
      </c>
      <c r="F96" s="12" t="inlineStr">
        <is>
          <t>25例可用观测中成功放行的比例</t>
        </is>
      </c>
    </row>
    <row r="97" ht="32" customHeight="1">
      <c r="A97" s="27" t="inlineStr">
        <is>
          <t>可用观测 F1</t>
        </is>
      </c>
      <c r="C97" s="14" t="n">
        <v>0.6428571428571429</v>
      </c>
      <c r="D97" s="14" t="n">
        <v>0.6440677966101694</v>
      </c>
      <c r="E97" s="14" t="n">
        <v>0.001210653753026536</v>
      </c>
      <c r="F97" s="27" t="inlineStr">
        <is>
          <t>以USABLE为正类；弃答和格式失败不得删除</t>
        </is>
      </c>
    </row>
    <row r="98" ht="32" customHeight="1">
      <c r="A98" s="12" t="inlineStr">
        <is>
          <t>可用观测成功放行</t>
        </is>
      </c>
      <c r="C98" s="29" t="n">
        <v>18</v>
      </c>
      <c r="D98" s="29" t="n">
        <v>19</v>
      </c>
      <c r="E98" s="29" t="n">
        <v>1</v>
      </c>
      <c r="F98" s="12" t="inlineStr">
        <is>
          <t>真值可用且有效输出USABLE</t>
        </is>
      </c>
    </row>
    <row r="99" ht="32" customHeight="1">
      <c r="A99" s="27" t="inlineStr">
        <is>
          <t>问题观测错误放行</t>
        </is>
      </c>
      <c r="C99" s="28" t="n">
        <v>13</v>
      </c>
      <c r="D99" s="28" t="n">
        <v>15</v>
      </c>
      <c r="E99" s="28" t="n">
        <v>2</v>
      </c>
      <c r="F99" s="27" t="inlineStr">
        <is>
          <t>真值CORRUPTED却有效输出USABLE</t>
        </is>
      </c>
    </row>
    <row r="100" ht="32" customHeight="1">
      <c r="A100" s="12" t="inlineStr">
        <is>
          <t>问题观测错误放行率</t>
        </is>
      </c>
      <c r="C100" s="16" t="n">
        <v>0.52</v>
      </c>
      <c r="D100" s="16" t="n">
        <v>0.6</v>
      </c>
      <c r="E100" s="16" t="n">
        <v>0.07999999999999996</v>
      </c>
      <c r="F100" s="12" t="inlineStr">
        <is>
          <t>分母为25例有问题观测，越低越好</t>
        </is>
      </c>
    </row>
    <row r="101" ht="32" customHeight="1">
      <c r="A101" s="27" t="inlineStr">
        <is>
          <t>放行口径正确数</t>
        </is>
      </c>
      <c r="C101" s="28" t="n">
        <v>30</v>
      </c>
      <c r="D101" s="28" t="n">
        <v>28</v>
      </c>
      <c r="E101" s="28" t="n">
        <v>-2</v>
      </c>
      <c r="F101" s="27" t="inlineStr">
        <is>
          <t>有效拒绝与弃答均不放行；格式失败不计正确</t>
        </is>
      </c>
    </row>
    <row r="102" ht="32" customHeight="1">
      <c r="A102" s="12" t="inlineStr">
        <is>
          <t>放行口径正确率</t>
        </is>
      </c>
      <c r="C102" s="16" t="n">
        <v>0.6</v>
      </c>
      <c r="D102" s="16" t="n">
        <v>0.5600000000000001</v>
      </c>
      <c r="E102" s="16" t="n">
        <v>-0.03999999999999992</v>
      </c>
      <c r="F102" s="12" t="inlineStr">
        <is>
          <t>原版30/50，新版28/50；只是离线放行分析</t>
        </is>
      </c>
    </row>
    <row r="103" ht="32" customHeight="1">
      <c r="A103" s="27" t="inlineStr">
        <is>
          <t>弃答数</t>
        </is>
      </c>
      <c r="C103" s="28" t="n">
        <v>15</v>
      </c>
      <c r="D103" s="28" t="n">
        <v>1</v>
      </c>
      <c r="E103" s="28" t="n">
        <v>-14</v>
      </c>
      <c r="F103" s="27" t="inlineStr">
        <is>
          <t>原版INSUFFICIENT也包含明确多实例混合</t>
        </is>
      </c>
    </row>
    <row r="104" ht="32" customHeight="1">
      <c r="A104" s="12" t="inlineStr">
        <is>
          <t>弃答率</t>
        </is>
      </c>
      <c r="C104" s="16" t="n">
        <v>0.3</v>
      </c>
      <c r="D104" s="16" t="n">
        <v>0.02</v>
      </c>
      <c r="E104" s="16" t="n">
        <v>-0.28</v>
      </c>
      <c r="F104" s="12" t="inlineStr">
        <is>
          <t>新版UNCERTAIN；不能与旧版直接作语义等价解释</t>
        </is>
      </c>
    </row>
    <row r="105" ht="32" customHeight="1">
      <c r="A105" s="27" t="inlineStr">
        <is>
          <t>格式失败数</t>
        </is>
      </c>
      <c r="C105" s="28" t="n">
        <v>0</v>
      </c>
      <c r="D105" s="28" t="n">
        <v>2</v>
      </c>
      <c r="E105" s="28" t="n">
        <v>2</v>
      </c>
      <c r="F105" s="27" t="inlineStr">
        <is>
          <t>新版2条reason超过20个汉字；未修剪或重跑</t>
        </is>
      </c>
    </row>
    <row r="106" ht="32" customHeight="1">
      <c r="A106" s="12" t="inlineStr">
        <is>
          <t>平均请求耗时（秒）</t>
        </is>
      </c>
      <c r="C106" s="18" t="n">
        <v>0.9017289304733276</v>
      </c>
      <c r="D106" s="18" t="n">
        <v>0.9084174871444702</v>
      </c>
      <c r="E106" s="18" t="n">
        <v>0.006688556671142654</v>
      </c>
      <c r="F106" s="12" t="inlineStr">
        <is>
          <t>两组交替、并发4；包括初始模型预热影响</t>
        </is>
      </c>
    </row>
    <row r="107" ht="32" customHeight="1">
      <c r="A107" s="27" t="inlineStr">
        <is>
          <t>仅标签正确数（诊断）</t>
        </is>
      </c>
      <c r="C107" s="28" t="n">
        <v>19</v>
      </c>
      <c r="D107" s="28" t="n">
        <v>28</v>
      </c>
      <c r="E107" s="28" t="n">
        <v>9</v>
      </c>
      <c r="F107" s="27" t="inlineStr">
        <is>
          <t>忽略理由长度时的标签诊断；不是正式严格得分</t>
        </is>
      </c>
    </row>
    <row r="108" ht="30" customHeight="1">
      <c r="A108" s="5" t="inlineStr">
        <is>
          <t>严格标签配对：改善10例、退化2例、两组正确17例、两组均未严格正确21例。</t>
        </is>
      </c>
    </row>
    <row r="109" ht="30" customHeight="1">
      <c r="A109" s="5" t="inlineStr">
        <is>
          <t>改善10例中7例是旧版INSUFFICIENT改为新版INVALID，放行行为没有改变。</t>
        </is>
      </c>
    </row>
    <row r="110" ht="30" customHeight="1">
      <c r="A110" s="5" t="inlineStr">
        <is>
          <t>真值来自trusted_gt_v1的eligible_test子集，基于Replica原生实例几何口径；不是人工视觉质量的总体准确率。</t>
        </is>
      </c>
    </row>
    <row r="111" ht="30" customHeight="1">
      <c r="A111" s="5" t="inlineStr">
        <is>
          <t>输入图与提示词同时改变，不能区分二者的独立贡献。本轮50例为平衡诊断抽样，不外推2181例总体。</t>
        </is>
      </c>
    </row>
    <row r="112" ht="30" customHeight="1">
      <c r="A112" s="5" t="inlineStr">
        <is>
          <t>结论：严格标签得分提高，但错误放行增加、USABLE F1基本持平；暂不启动全量。</t>
        </is>
      </c>
    </row>
    <row r="113" ht="30" customHeight="1">
      <c r="A113" s="5" t="inlineStr">
        <is>
          <t>来源：5090 beauty/vlm_quality/test_20260913_v1/summary.json；结果页 localhost:18591/web/results.html。</t>
        </is>
      </c>
    </row>
    <row r="114"/>
    <row r="115" ht="30" customHeight="1">
      <c r="A115" s="1" t="inlineStr">
        <is>
          <t>人工复核：28例明确结论（30个新分歧中排除2例不确定）</t>
        </is>
      </c>
    </row>
    <row r="116" ht="32" customHeight="1">
      <c r="A116" s="27" t="inlineStr">
        <is>
          <t>人工明确可计分数</t>
        </is>
      </c>
      <c r="C116" s="28" t="n">
        <v>28</v>
      </c>
      <c r="D116" s="28" t="n">
        <v>28</v>
      </c>
      <c r="E116" s="28" t="n">
        <v>0</v>
      </c>
      <c r="F116" s="27" t="inlineStr">
        <is>
          <t>16例可用、12例不可用；仅本次复核新分歧子集</t>
        </is>
      </c>
    </row>
    <row r="117" ht="32" customHeight="1">
      <c r="A117" s="27" t="inlineStr">
        <is>
          <t>严格一致数</t>
        </is>
      </c>
      <c r="C117" s="28" t="n">
        <v>7</v>
      </c>
      <c r="D117" s="28" t="n">
        <v>12</v>
      </c>
      <c r="E117" s="28" t="n">
        <v>5</v>
      </c>
      <c r="F117" s="27" t="inlineStr">
        <is>
          <t>原版7/28，新版12/28</t>
        </is>
      </c>
    </row>
    <row r="118" ht="32" customHeight="1">
      <c r="A118" s="27" t="inlineStr">
        <is>
          <t>严格一致率</t>
        </is>
      </c>
      <c r="C118" s="14" t="n">
        <v>0.25</v>
      </c>
      <c r="D118" s="14" t="n">
        <v>0.4285714285714285</v>
      </c>
      <c r="E118" s="14" t="n">
        <v>0.1785714285714285</v>
      </c>
      <c r="F118" s="27" t="inlineStr">
        <is>
          <t>不作为全50例人工准确率，不外推总体</t>
        </is>
      </c>
    </row>
    <row r="119" ht="32" customHeight="1">
      <c r="A119" s="27" t="inlineStr">
        <is>
          <t>人工口径 Precision</t>
        </is>
      </c>
      <c r="C119" s="14" t="n">
        <v>0.5454545454545454</v>
      </c>
      <c r="D119" s="14" t="n">
        <v>0.5</v>
      </c>
      <c r="E119" s="14" t="n">
        <v>-0.04545454545454541</v>
      </c>
      <c r="F119" s="27" t="inlineStr">
        <is>
          <t>以人工USABLE为正类</t>
        </is>
      </c>
    </row>
    <row r="120" ht="32" customHeight="1">
      <c r="A120" s="27" t="inlineStr">
        <is>
          <t>人工口径 Recall</t>
        </is>
      </c>
      <c r="C120" s="14" t="n">
        <v>0.375</v>
      </c>
      <c r="D120" s="14" t="n">
        <v>0.5</v>
      </c>
      <c r="E120" s="14" t="n">
        <v>0.125</v>
      </c>
      <c r="F120" s="27" t="inlineStr">
        <is>
          <t>分母为人工可用16例</t>
        </is>
      </c>
    </row>
    <row r="121" ht="32" customHeight="1">
      <c r="A121" s="27" t="inlineStr">
        <is>
          <t>人工口径 F1</t>
        </is>
      </c>
      <c r="C121" s="14" t="n">
        <v>0.4444444444444444</v>
      </c>
      <c r="D121" s="14" t="n">
        <v>0.5</v>
      </c>
      <c r="E121" s="14" t="n">
        <v>0.05555555555555558</v>
      </c>
      <c r="F121" s="27" t="inlineStr">
        <is>
          <t>以人工USABLE为正类</t>
        </is>
      </c>
    </row>
    <row r="122" ht="32" customHeight="1">
      <c r="A122" s="27" t="inlineStr">
        <is>
          <t>人工可用成功放行</t>
        </is>
      </c>
      <c r="C122" s="28" t="n">
        <v>6</v>
      </c>
      <c r="D122" s="28" t="n">
        <v>8</v>
      </c>
      <c r="E122" s="28" t="n">
        <v>2</v>
      </c>
      <c r="F122" s="27" t="inlineStr">
        <is>
          <t>原版6例，新版8例</t>
        </is>
      </c>
    </row>
    <row r="123" ht="32" customHeight="1">
      <c r="A123" s="27" t="inlineStr">
        <is>
          <t>人工不可用错误放行</t>
        </is>
      </c>
      <c r="C123" s="28" t="n">
        <v>5</v>
      </c>
      <c r="D123" s="28" t="n">
        <v>8</v>
      </c>
      <c r="E123" s="28" t="n">
        <v>3</v>
      </c>
      <c r="F123" s="27" t="inlineStr">
        <is>
          <t>原版5例，新版8例，均以12例不可用为分母</t>
        </is>
      </c>
    </row>
    <row r="124" ht="32" customHeight="1">
      <c r="A124" s="27" t="inlineStr">
        <is>
          <t>人工错误放行率</t>
        </is>
      </c>
      <c r="C124" s="14" t="n">
        <v>0.4166666666666667</v>
      </c>
      <c r="D124" s="14" t="n">
        <v>0.6666666666666666</v>
      </c>
      <c r="E124" s="14" t="n">
        <v>0.2499999999999999</v>
      </c>
      <c r="F124" s="27" t="inlineStr">
        <is>
          <t>越低越好</t>
        </is>
      </c>
    </row>
    <row r="125" ht="32" customHeight="1">
      <c r="A125" s="27" t="inlineStr">
        <is>
          <t>人工放行口径正确率</t>
        </is>
      </c>
      <c r="C125" s="14" t="n">
        <v>0.4642857142857143</v>
      </c>
      <c r="D125" s="14" t="n">
        <v>0.4285714285714285</v>
      </c>
      <c r="E125" s="14" t="n">
        <v>-0.03571428571428575</v>
      </c>
      <c r="F125" s="27" t="inlineStr">
        <is>
          <t>原版13/28，新版12/28</t>
        </is>
      </c>
    </row>
    <row r="126" ht="32" customHeight="1">
      <c r="A126" s="27" t="inlineStr">
        <is>
          <t>人工子集弃答数</t>
        </is>
      </c>
      <c r="C126" s="28" t="n">
        <v>14</v>
      </c>
      <c r="D126" s="28" t="n">
        <v>1</v>
      </c>
      <c r="E126" s="28" t="n">
        <v>-13</v>
      </c>
      <c r="F126" s="27" t="inlineStr">
        <is>
          <t>原版14例，新版1例</t>
        </is>
      </c>
    </row>
    <row r="127" ht="30" customHeight="1">
      <c r="A127" s="5" t="inlineStr">
        <is>
          <t>全部30个新分歧已复核，无未保存的新分歧；2个UNCERTAIN明确排除，保留原始证据。</t>
        </is>
      </c>
    </row>
    <row r="128" ht="30" customHeight="1">
      <c r="A128" s="5" t="inlineStr">
        <is>
          <t>10例几何CORRUPTED被人工判为USABLE：参考修正与模型能力变化分开，冻结50例结果不覆盖。</t>
        </is>
      </c>
    </row>
    <row r="129" ht="30" customHeight="1">
      <c r="A129" s="5" t="inlineStr">
        <is>
          <t>人工快照27e38cc9754e；结果仍显示新版错误放行增加，暂不扩大测试。</t>
        </is>
      </c>
    </row>
    <row r="130"/>
    <row r="131"/>
    <row r="132" ht="32" customHeight="1">
      <c r="A132" s="1" t="inlineStr">
        <is>
          <t>v7_CLIP_no90_new：八景F1与一对一诊断</t>
        </is>
      </c>
    </row>
    <row r="133" ht="42" customHeight="1">
      <c r="A133" s="30" t="inlineStr">
        <is>
          <t>场景</t>
        </is>
      </c>
      <c r="B133" s="30" t="inlineStr">
        <is>
          <t>方法</t>
        </is>
      </c>
      <c r="C133" s="30" t="inlineStr">
        <is>
          <t>一对一 mIoU</t>
        </is>
      </c>
      <c r="D133" s="30" t="inlineStr">
        <is>
          <t>GT数（10点）</t>
        </is>
      </c>
      <c r="E133" s="30" t="inlineStr">
        <is>
          <t>GT数（100点）</t>
        </is>
      </c>
      <c r="F133" s="30" t="inlineStr">
        <is>
          <t>TP50</t>
        </is>
      </c>
      <c r="G133" s="30" t="inlineStr">
        <is>
          <t>FP50</t>
        </is>
      </c>
      <c r="H133" s="30" t="inlineStr">
        <is>
          <t>FN50</t>
        </is>
      </c>
      <c r="I133" s="30" t="inlineStr">
        <is>
          <t>Precision50</t>
        </is>
      </c>
      <c r="J133" s="30" t="inlineStr">
        <is>
          <t>Recall50</t>
        </is>
      </c>
      <c r="K133" s="30" t="inlineStr">
        <is>
          <t>F1@50</t>
        </is>
      </c>
    </row>
    <row r="134" ht="42" customHeight="1">
      <c r="A134" s="31" t="inlineStr">
        <is>
          <t>八景联合</t>
        </is>
      </c>
      <c r="B134" s="31" t="inlineStr">
        <is>
          <t>v7_CLIP_no90_new</t>
        </is>
      </c>
      <c r="C134" s="33" t="n">
        <v>0.4210166594220895</v>
      </c>
      <c r="D134" s="32" t="n">
        <v>367</v>
      </c>
      <c r="E134" s="32" t="n">
        <v>332</v>
      </c>
      <c r="F134" s="32" t="n">
        <v>148</v>
      </c>
      <c r="G134" s="32" t="n">
        <v>248</v>
      </c>
      <c r="H134" s="32" t="n">
        <v>184</v>
      </c>
      <c r="I134" s="33" t="n">
        <v>0.3737373737373738</v>
      </c>
      <c r="J134" s="33" t="n">
        <v>0.4457831325301205</v>
      </c>
      <c r="K134" s="33" t="n">
        <v>0.4065934065934066</v>
      </c>
    </row>
    <row r="135" ht="42" customHeight="1">
      <c r="A135" s="27" t="inlineStr">
        <is>
          <t>八景联合</t>
        </is>
      </c>
      <c r="B135" s="27" t="inlineStr">
        <is>
          <t>v7_CLIP_no90</t>
        </is>
      </c>
      <c r="C135" s="14" t="n">
        <v>0.4391556613421652</v>
      </c>
      <c r="D135" s="28" t="n">
        <v>367</v>
      </c>
      <c r="E135" s="28" t="n">
        <v>332</v>
      </c>
      <c r="F135" s="28" t="n">
        <v>151</v>
      </c>
      <c r="G135" s="28" t="n">
        <v>276</v>
      </c>
      <c r="H135" s="28" t="n">
        <v>181</v>
      </c>
      <c r="I135" s="14" t="n">
        <v>0.3536299765807963</v>
      </c>
      <c r="J135" s="14" t="n">
        <v>0.4548192771084337</v>
      </c>
      <c r="K135" s="14" t="n">
        <v>0.3978919631093544</v>
      </c>
    </row>
    <row r="136" ht="42" customHeight="1">
      <c r="A136" s="31" t="inlineStr">
        <is>
          <t>八景联合</t>
        </is>
      </c>
      <c r="B136" s="31" t="inlineStr">
        <is>
          <t>OVI_MAP</t>
        </is>
      </c>
      <c r="C136" s="33" t="n">
        <v>0.4165294595790066</v>
      </c>
      <c r="D136" s="32" t="n">
        <v>367</v>
      </c>
      <c r="E136" s="32" t="n">
        <v>332</v>
      </c>
      <c r="F136" s="32" t="n">
        <v>151</v>
      </c>
      <c r="G136" s="32" t="n">
        <v>185</v>
      </c>
      <c r="H136" s="32" t="n">
        <v>181</v>
      </c>
      <c r="I136" s="33" t="n">
        <v>0.4494047619047619</v>
      </c>
      <c r="J136" s="33" t="n">
        <v>0.4548192771084337</v>
      </c>
      <c r="K136" s="33" t="n">
        <v>0.4520958083832335</v>
      </c>
    </row>
    <row r="137" ht="42" customHeight="1">
      <c r="A137" s="27" t="inlineStr">
        <is>
          <t>room0</t>
        </is>
      </c>
      <c r="B137" s="27" t="inlineStr">
        <is>
          <t>v7_CLIP_no90_new</t>
        </is>
      </c>
      <c r="C137" s="14" t="n">
        <v>0.439336456336038</v>
      </c>
      <c r="D137" s="28" t="n">
        <v>73</v>
      </c>
      <c r="E137" s="28" t="n">
        <v>68</v>
      </c>
      <c r="F137" s="28" t="n">
        <v>33</v>
      </c>
      <c r="G137" s="28" t="n">
        <v>36</v>
      </c>
      <c r="H137" s="28" t="n">
        <v>35</v>
      </c>
      <c r="I137" s="14" t="n">
        <v>0.4782608695652174</v>
      </c>
      <c r="J137" s="14" t="n">
        <v>0.4852941176470588</v>
      </c>
      <c r="K137" s="14" t="n">
        <v>0.4817518248175183</v>
      </c>
    </row>
    <row r="138" ht="42" customHeight="1">
      <c r="A138" s="31" t="inlineStr">
        <is>
          <t>room0</t>
        </is>
      </c>
      <c r="B138" s="31" t="inlineStr">
        <is>
          <t>v7_CLIP_no90</t>
        </is>
      </c>
      <c r="C138" s="33" t="n">
        <v>0.4497560051336993</v>
      </c>
      <c r="D138" s="32" t="n">
        <v>73</v>
      </c>
      <c r="E138" s="32" t="n">
        <v>68</v>
      </c>
      <c r="F138" s="32" t="n">
        <v>35</v>
      </c>
      <c r="G138" s="32" t="n">
        <v>44</v>
      </c>
      <c r="H138" s="32" t="n">
        <v>33</v>
      </c>
      <c r="I138" s="33" t="n">
        <v>0.4430379746835443</v>
      </c>
      <c r="J138" s="33" t="n">
        <v>0.5147058823529411</v>
      </c>
      <c r="K138" s="33" t="n">
        <v>0.4761904761904762</v>
      </c>
    </row>
    <row r="139" ht="42" customHeight="1">
      <c r="A139" s="27" t="inlineStr">
        <is>
          <t>room0</t>
        </is>
      </c>
      <c r="B139" s="27" t="inlineStr">
        <is>
          <t>OVI_MAP</t>
        </is>
      </c>
      <c r="C139" s="14" t="n">
        <v>0.428580548265044</v>
      </c>
      <c r="D139" s="28" t="n">
        <v>73</v>
      </c>
      <c r="E139" s="28" t="n">
        <v>68</v>
      </c>
      <c r="F139" s="28" t="n">
        <v>34</v>
      </c>
      <c r="G139" s="28" t="n">
        <v>22</v>
      </c>
      <c r="H139" s="28" t="n">
        <v>34</v>
      </c>
      <c r="I139" s="14" t="n">
        <v>0.6071428571428571</v>
      </c>
      <c r="J139" s="14" t="n">
        <v>0.5</v>
      </c>
      <c r="K139" s="14" t="n">
        <v>0.5483870967741935</v>
      </c>
    </row>
    <row r="140" ht="42" customHeight="1">
      <c r="A140" s="31" t="inlineStr">
        <is>
          <t>room1</t>
        </is>
      </c>
      <c r="B140" s="31" t="inlineStr">
        <is>
          <t>v7_CLIP_no90_new</t>
        </is>
      </c>
      <c r="C140" s="33" t="n">
        <v>0.3928940330376971</v>
      </c>
      <c r="D140" s="32" t="n">
        <v>45</v>
      </c>
      <c r="E140" s="32" t="n">
        <v>40</v>
      </c>
      <c r="F140" s="32" t="n">
        <v>16</v>
      </c>
      <c r="G140" s="32" t="n">
        <v>32</v>
      </c>
      <c r="H140" s="32" t="n">
        <v>24</v>
      </c>
      <c r="I140" s="33" t="n">
        <v>0.3333333333333333</v>
      </c>
      <c r="J140" s="33" t="n">
        <v>0.4</v>
      </c>
      <c r="K140" s="33" t="n">
        <v>0.3636363636363636</v>
      </c>
    </row>
    <row r="141" ht="42" customHeight="1">
      <c r="A141" s="27" t="inlineStr">
        <is>
          <t>room1</t>
        </is>
      </c>
      <c r="B141" s="27" t="inlineStr">
        <is>
          <t>v7_CLIP_no90</t>
        </is>
      </c>
      <c r="C141" s="14" t="n">
        <v>0.4269192491679349</v>
      </c>
      <c r="D141" s="28" t="n">
        <v>45</v>
      </c>
      <c r="E141" s="28" t="n">
        <v>40</v>
      </c>
      <c r="F141" s="28" t="n">
        <v>17</v>
      </c>
      <c r="G141" s="28" t="n">
        <v>31</v>
      </c>
      <c r="H141" s="28" t="n">
        <v>23</v>
      </c>
      <c r="I141" s="14" t="n">
        <v>0.3541666666666667</v>
      </c>
      <c r="J141" s="14" t="n">
        <v>0.425</v>
      </c>
      <c r="K141" s="14" t="n">
        <v>0.3863636363636364</v>
      </c>
    </row>
    <row r="142" ht="42" customHeight="1">
      <c r="A142" s="31" t="inlineStr">
        <is>
          <t>room1</t>
        </is>
      </c>
      <c r="B142" s="31" t="inlineStr">
        <is>
          <t>OVI_MAP</t>
        </is>
      </c>
      <c r="C142" s="33" t="n">
        <v>0.4682698813001805</v>
      </c>
      <c r="D142" s="32" t="n">
        <v>45</v>
      </c>
      <c r="E142" s="32" t="n">
        <v>40</v>
      </c>
      <c r="F142" s="32" t="n">
        <v>19</v>
      </c>
      <c r="G142" s="32" t="n">
        <v>21</v>
      </c>
      <c r="H142" s="32" t="n">
        <v>21</v>
      </c>
      <c r="I142" s="33" t="n">
        <v>0.475</v>
      </c>
      <c r="J142" s="33" t="n">
        <v>0.475</v>
      </c>
      <c r="K142" s="33" t="n">
        <v>0.475</v>
      </c>
    </row>
    <row r="143" ht="42" customHeight="1">
      <c r="A143" s="27" t="inlineStr">
        <is>
          <t>room2</t>
        </is>
      </c>
      <c r="B143" s="27" t="inlineStr">
        <is>
          <t>v7_CLIP_no90_new</t>
        </is>
      </c>
      <c r="C143" s="14" t="n">
        <v>0.346058913699637</v>
      </c>
      <c r="D143" s="28" t="n">
        <v>52</v>
      </c>
      <c r="E143" s="28" t="n">
        <v>47</v>
      </c>
      <c r="F143" s="28" t="n">
        <v>17</v>
      </c>
      <c r="G143" s="28" t="n">
        <v>32</v>
      </c>
      <c r="H143" s="28" t="n">
        <v>30</v>
      </c>
      <c r="I143" s="14" t="n">
        <v>0.3469387755102041</v>
      </c>
      <c r="J143" s="14" t="n">
        <v>0.3617021276595745</v>
      </c>
      <c r="K143" s="14" t="n">
        <v>0.3541666666666667</v>
      </c>
    </row>
    <row r="144" ht="42" customHeight="1">
      <c r="A144" s="31" t="inlineStr">
        <is>
          <t>room2</t>
        </is>
      </c>
      <c r="B144" s="31" t="inlineStr">
        <is>
          <t>v7_CLIP_no90</t>
        </is>
      </c>
      <c r="C144" s="33" t="n">
        <v>0.3577943442933756</v>
      </c>
      <c r="D144" s="32" t="n">
        <v>52</v>
      </c>
      <c r="E144" s="32" t="n">
        <v>47</v>
      </c>
      <c r="F144" s="32" t="n">
        <v>17</v>
      </c>
      <c r="G144" s="32" t="n">
        <v>34</v>
      </c>
      <c r="H144" s="32" t="n">
        <v>30</v>
      </c>
      <c r="I144" s="33" t="n">
        <v>0.3333333333333333</v>
      </c>
      <c r="J144" s="33" t="n">
        <v>0.3617021276595745</v>
      </c>
      <c r="K144" s="33" t="n">
        <v>0.3469387755102041</v>
      </c>
    </row>
    <row r="145" ht="42" customHeight="1">
      <c r="A145" s="27" t="inlineStr">
        <is>
          <t>room2</t>
        </is>
      </c>
      <c r="B145" s="27" t="inlineStr">
        <is>
          <t>OVI_MAP</t>
        </is>
      </c>
      <c r="C145" s="14" t="n">
        <v>0.3991812364212894</v>
      </c>
      <c r="D145" s="28" t="n">
        <v>52</v>
      </c>
      <c r="E145" s="28" t="n">
        <v>47</v>
      </c>
      <c r="F145" s="28" t="n">
        <v>23</v>
      </c>
      <c r="G145" s="28" t="n">
        <v>23</v>
      </c>
      <c r="H145" s="28" t="n">
        <v>24</v>
      </c>
      <c r="I145" s="14" t="n">
        <v>0.5</v>
      </c>
      <c r="J145" s="14" t="n">
        <v>0.4893617021276596</v>
      </c>
      <c r="K145" s="14" t="n">
        <v>0.4946236559139785</v>
      </c>
    </row>
    <row r="146" ht="42" customHeight="1">
      <c r="A146" s="31" t="inlineStr">
        <is>
          <t>office0</t>
        </is>
      </c>
      <c r="B146" s="31" t="inlineStr">
        <is>
          <t>v7_CLIP_no90_new</t>
        </is>
      </c>
      <c r="C146" s="33" t="n">
        <v>0.3778244532526926</v>
      </c>
      <c r="D146" s="32" t="n">
        <v>34</v>
      </c>
      <c r="E146" s="32" t="n">
        <v>26</v>
      </c>
      <c r="F146" s="32" t="n">
        <v>10</v>
      </c>
      <c r="G146" s="32" t="n">
        <v>29</v>
      </c>
      <c r="H146" s="32" t="n">
        <v>16</v>
      </c>
      <c r="I146" s="33" t="n">
        <v>0.2564102564102564</v>
      </c>
      <c r="J146" s="33" t="n">
        <v>0.3846153846153846</v>
      </c>
      <c r="K146" s="33" t="n">
        <v>0.3076923076923077</v>
      </c>
    </row>
    <row r="147" ht="42" customHeight="1">
      <c r="A147" s="27" t="inlineStr">
        <is>
          <t>office0</t>
        </is>
      </c>
      <c r="B147" s="27" t="inlineStr">
        <is>
          <t>v7_CLIP_no90</t>
        </is>
      </c>
      <c r="C147" s="14" t="n">
        <v>0.4124081355565761</v>
      </c>
      <c r="D147" s="28" t="n">
        <v>34</v>
      </c>
      <c r="E147" s="28" t="n">
        <v>26</v>
      </c>
      <c r="F147" s="28" t="n">
        <v>11</v>
      </c>
      <c r="G147" s="28" t="n">
        <v>29</v>
      </c>
      <c r="H147" s="28" t="n">
        <v>15</v>
      </c>
      <c r="I147" s="14" t="n">
        <v>0.275</v>
      </c>
      <c r="J147" s="14" t="n">
        <v>0.4230769230769231</v>
      </c>
      <c r="K147" s="14" t="n">
        <v>0.3333333333333333</v>
      </c>
    </row>
    <row r="148" ht="42" customHeight="1">
      <c r="A148" s="31" t="inlineStr">
        <is>
          <t>office0</t>
        </is>
      </c>
      <c r="B148" s="31" t="inlineStr">
        <is>
          <t>OVI_MAP</t>
        </is>
      </c>
      <c r="C148" s="33" t="n">
        <v>0.3839031753625454</v>
      </c>
      <c r="D148" s="32" t="n">
        <v>34</v>
      </c>
      <c r="E148" s="32" t="n">
        <v>26</v>
      </c>
      <c r="F148" s="32" t="n">
        <v>11</v>
      </c>
      <c r="G148" s="32" t="n">
        <v>19</v>
      </c>
      <c r="H148" s="32" t="n">
        <v>15</v>
      </c>
      <c r="I148" s="33" t="n">
        <v>0.3666666666666666</v>
      </c>
      <c r="J148" s="33" t="n">
        <v>0.4230769230769231</v>
      </c>
      <c r="K148" s="33" t="n">
        <v>0.3928571428571428</v>
      </c>
    </row>
    <row r="149" ht="42" customHeight="1">
      <c r="A149" s="27" t="inlineStr">
        <is>
          <t>office1</t>
        </is>
      </c>
      <c r="B149" s="27" t="inlineStr">
        <is>
          <t>v7_CLIP_no90_new</t>
        </is>
      </c>
      <c r="C149" s="14" t="n">
        <v>0.4809224110564027</v>
      </c>
      <c r="D149" s="28" t="n">
        <v>28</v>
      </c>
      <c r="E149" s="28" t="n">
        <v>25</v>
      </c>
      <c r="F149" s="28" t="n">
        <v>15</v>
      </c>
      <c r="G149" s="28" t="n">
        <v>14</v>
      </c>
      <c r="H149" s="28" t="n">
        <v>10</v>
      </c>
      <c r="I149" s="14" t="n">
        <v>0.5172413793103449</v>
      </c>
      <c r="J149" s="14" t="n">
        <v>0.6</v>
      </c>
      <c r="K149" s="14" t="n">
        <v>0.5555555555555556</v>
      </c>
    </row>
    <row r="150" ht="42" customHeight="1">
      <c r="A150" s="31" t="inlineStr">
        <is>
          <t>office1</t>
        </is>
      </c>
      <c r="B150" s="31" t="inlineStr">
        <is>
          <t>v7_CLIP_no90</t>
        </is>
      </c>
      <c r="C150" s="33" t="n">
        <v>0.4947349632056371</v>
      </c>
      <c r="D150" s="32" t="n">
        <v>28</v>
      </c>
      <c r="E150" s="32" t="n">
        <v>25</v>
      </c>
      <c r="F150" s="32" t="n">
        <v>15</v>
      </c>
      <c r="G150" s="32" t="n">
        <v>17</v>
      </c>
      <c r="H150" s="32" t="n">
        <v>10</v>
      </c>
      <c r="I150" s="33" t="n">
        <v>0.46875</v>
      </c>
      <c r="J150" s="33" t="n">
        <v>0.6</v>
      </c>
      <c r="K150" s="33" t="n">
        <v>0.5263157894736842</v>
      </c>
    </row>
    <row r="151" ht="42" customHeight="1">
      <c r="A151" s="27" t="inlineStr">
        <is>
          <t>office1</t>
        </is>
      </c>
      <c r="B151" s="27" t="inlineStr">
        <is>
          <t>OVI_MAP</t>
        </is>
      </c>
      <c r="C151" s="14" t="n">
        <v>0.4247840346231446</v>
      </c>
      <c r="D151" s="28" t="n">
        <v>28</v>
      </c>
      <c r="E151" s="28" t="n">
        <v>25</v>
      </c>
      <c r="F151" s="28" t="n">
        <v>12</v>
      </c>
      <c r="G151" s="28" t="n">
        <v>19</v>
      </c>
      <c r="H151" s="28" t="n">
        <v>13</v>
      </c>
      <c r="I151" s="14" t="n">
        <v>0.3870967741935484</v>
      </c>
      <c r="J151" s="14" t="n">
        <v>0.48</v>
      </c>
      <c r="K151" s="14" t="n">
        <v>0.4285714285714285</v>
      </c>
    </row>
    <row r="152" ht="42" customHeight="1">
      <c r="A152" s="31" t="inlineStr">
        <is>
          <t>office2</t>
        </is>
      </c>
      <c r="B152" s="31" t="inlineStr">
        <is>
          <t>v7_CLIP_no90_new</t>
        </is>
      </c>
      <c r="C152" s="33" t="n">
        <v>0.4095144358291584</v>
      </c>
      <c r="D152" s="32" t="n">
        <v>43</v>
      </c>
      <c r="E152" s="32" t="n">
        <v>40</v>
      </c>
      <c r="F152" s="32" t="n">
        <v>17</v>
      </c>
      <c r="G152" s="32" t="n">
        <v>35</v>
      </c>
      <c r="H152" s="32" t="n">
        <v>23</v>
      </c>
      <c r="I152" s="33" t="n">
        <v>0.3269230769230769</v>
      </c>
      <c r="J152" s="33" t="n">
        <v>0.425</v>
      </c>
      <c r="K152" s="33" t="n">
        <v>0.3695652173913043</v>
      </c>
    </row>
    <row r="153" ht="42" customHeight="1">
      <c r="A153" s="27" t="inlineStr">
        <is>
          <t>office2</t>
        </is>
      </c>
      <c r="B153" s="27" t="inlineStr">
        <is>
          <t>v7_CLIP_no90</t>
        </is>
      </c>
      <c r="C153" s="14" t="n">
        <v>0.4495690006662475</v>
      </c>
      <c r="D153" s="28" t="n">
        <v>43</v>
      </c>
      <c r="E153" s="28" t="n">
        <v>40</v>
      </c>
      <c r="F153" s="28" t="n">
        <v>18</v>
      </c>
      <c r="G153" s="28" t="n">
        <v>39</v>
      </c>
      <c r="H153" s="28" t="n">
        <v>22</v>
      </c>
      <c r="I153" s="14" t="n">
        <v>0.3157894736842105</v>
      </c>
      <c r="J153" s="14" t="n">
        <v>0.45</v>
      </c>
      <c r="K153" s="14" t="n">
        <v>0.3711340206185567</v>
      </c>
    </row>
    <row r="154" ht="42" customHeight="1">
      <c r="A154" s="31" t="inlineStr">
        <is>
          <t>office2</t>
        </is>
      </c>
      <c r="B154" s="31" t="inlineStr">
        <is>
          <t>OVI_MAP</t>
        </is>
      </c>
      <c r="C154" s="33" t="n">
        <v>0.43542491958223</v>
      </c>
      <c r="D154" s="32" t="n">
        <v>43</v>
      </c>
      <c r="E154" s="32" t="n">
        <v>40</v>
      </c>
      <c r="F154" s="32" t="n">
        <v>19</v>
      </c>
      <c r="G154" s="32" t="n">
        <v>25</v>
      </c>
      <c r="H154" s="32" t="n">
        <v>21</v>
      </c>
      <c r="I154" s="33" t="n">
        <v>0.4318181818181818</v>
      </c>
      <c r="J154" s="33" t="n">
        <v>0.475</v>
      </c>
      <c r="K154" s="33" t="n">
        <v>0.4523809523809524</v>
      </c>
    </row>
    <row r="155" ht="42" customHeight="1">
      <c r="A155" s="27" t="inlineStr">
        <is>
          <t>office3</t>
        </is>
      </c>
      <c r="B155" s="27" t="inlineStr">
        <is>
          <t>v7_CLIP_no90_new</t>
        </is>
      </c>
      <c r="C155" s="14" t="n">
        <v>0.4482676156119825</v>
      </c>
      <c r="D155" s="28" t="n">
        <v>61</v>
      </c>
      <c r="E155" s="28" t="n">
        <v>57</v>
      </c>
      <c r="F155" s="28" t="n">
        <v>27</v>
      </c>
      <c r="G155" s="28" t="n">
        <v>33</v>
      </c>
      <c r="H155" s="28" t="n">
        <v>30</v>
      </c>
      <c r="I155" s="14" t="n">
        <v>0.45</v>
      </c>
      <c r="J155" s="14" t="n">
        <v>0.4736842105263158</v>
      </c>
      <c r="K155" s="14" t="n">
        <v>0.4615384615384616</v>
      </c>
    </row>
    <row r="156" ht="42" customHeight="1">
      <c r="A156" s="31" t="inlineStr">
        <is>
          <t>office3</t>
        </is>
      </c>
      <c r="B156" s="31" t="inlineStr">
        <is>
          <t>v7_CLIP_no90</t>
        </is>
      </c>
      <c r="C156" s="33" t="n">
        <v>0.4526350329985867</v>
      </c>
      <c r="D156" s="32" t="n">
        <v>61</v>
      </c>
      <c r="E156" s="32" t="n">
        <v>57</v>
      </c>
      <c r="F156" s="32" t="n">
        <v>26</v>
      </c>
      <c r="G156" s="32" t="n">
        <v>41</v>
      </c>
      <c r="H156" s="32" t="n">
        <v>31</v>
      </c>
      <c r="I156" s="33" t="n">
        <v>0.3880597014925373</v>
      </c>
      <c r="J156" s="33" t="n">
        <v>0.456140350877193</v>
      </c>
      <c r="K156" s="33" t="n">
        <v>0.4193548387096774</v>
      </c>
    </row>
    <row r="157" ht="42" customHeight="1">
      <c r="A157" s="27" t="inlineStr">
        <is>
          <t>office3</t>
        </is>
      </c>
      <c r="B157" s="27" t="inlineStr">
        <is>
          <t>OVI_MAP</t>
        </is>
      </c>
      <c r="C157" s="14" t="n">
        <v>0.3630060980956765</v>
      </c>
      <c r="D157" s="28" t="n">
        <v>61</v>
      </c>
      <c r="E157" s="28" t="n">
        <v>57</v>
      </c>
      <c r="F157" s="28" t="n">
        <v>22</v>
      </c>
      <c r="G157" s="28" t="n">
        <v>26</v>
      </c>
      <c r="H157" s="28" t="n">
        <v>35</v>
      </c>
      <c r="I157" s="14" t="n">
        <v>0.4583333333333333</v>
      </c>
      <c r="J157" s="14" t="n">
        <v>0.3859649122807017</v>
      </c>
      <c r="K157" s="14" t="n">
        <v>0.4190476190476191</v>
      </c>
    </row>
    <row r="158" ht="42" customHeight="1">
      <c r="A158" s="31" t="inlineStr">
        <is>
          <t>office4</t>
        </is>
      </c>
      <c r="B158" s="31" t="inlineStr">
        <is>
          <t>v7_CLIP_no90_new</t>
        </is>
      </c>
      <c r="C158" s="33" t="n">
        <v>0.4877170361332041</v>
      </c>
      <c r="D158" s="32" t="n">
        <v>31</v>
      </c>
      <c r="E158" s="32" t="n">
        <v>29</v>
      </c>
      <c r="F158" s="32" t="n">
        <v>13</v>
      </c>
      <c r="G158" s="32" t="n">
        <v>37</v>
      </c>
      <c r="H158" s="32" t="n">
        <v>16</v>
      </c>
      <c r="I158" s="33" t="n">
        <v>0.26</v>
      </c>
      <c r="J158" s="33" t="n">
        <v>0.4482758620689655</v>
      </c>
      <c r="K158" s="33" t="n">
        <v>0.3291139240506329</v>
      </c>
    </row>
    <row r="159" ht="42" customHeight="1">
      <c r="A159" s="27" t="inlineStr">
        <is>
          <t>office4</t>
        </is>
      </c>
      <c r="B159" s="27" t="inlineStr">
        <is>
          <t>v7_CLIP_no90</t>
        </is>
      </c>
      <c r="C159" s="14" t="n">
        <v>0.4982491226144818</v>
      </c>
      <c r="D159" s="28" t="n">
        <v>31</v>
      </c>
      <c r="E159" s="28" t="n">
        <v>29</v>
      </c>
      <c r="F159" s="28" t="n">
        <v>12</v>
      </c>
      <c r="G159" s="28" t="n">
        <v>41</v>
      </c>
      <c r="H159" s="28" t="n">
        <v>17</v>
      </c>
      <c r="I159" s="14" t="n">
        <v>0.2264150943396226</v>
      </c>
      <c r="J159" s="14" t="n">
        <v>0.4137931034482759</v>
      </c>
      <c r="K159" s="14" t="n">
        <v>0.2926829268292683</v>
      </c>
    </row>
    <row r="160" ht="42" customHeight="1">
      <c r="A160" s="31" t="inlineStr">
        <is>
          <t>office4</t>
        </is>
      </c>
      <c r="B160" s="31" t="inlineStr">
        <is>
          <t>OVI_MAP</t>
        </is>
      </c>
      <c r="C160" s="33" t="n">
        <v>0.4462952460224766</v>
      </c>
      <c r="D160" s="32" t="n">
        <v>31</v>
      </c>
      <c r="E160" s="32" t="n">
        <v>29</v>
      </c>
      <c r="F160" s="32" t="n">
        <v>11</v>
      </c>
      <c r="G160" s="32" t="n">
        <v>30</v>
      </c>
      <c r="H160" s="32" t="n">
        <v>18</v>
      </c>
      <c r="I160" s="33" t="n">
        <v>0.2682926829268293</v>
      </c>
      <c r="J160" s="33" t="n">
        <v>0.3793103448275862</v>
      </c>
      <c r="K160" s="33" t="n">
        <v>0.3142857142857143</v>
      </c>
    </row>
    <row r="161"/>
    <row r="162"/>
    <row r="163" ht="28" customHeight="1">
      <c r="A163" s="40" t="inlineStr">
        <is>
          <t>v7_CLIP 最终决策审计（2026-09-14，自动标注待复核）</t>
        </is>
      </c>
    </row>
    <row r="164" ht="26" customHeight="1">
      <c r="A164" s="41" t="inlineStr">
        <is>
          <t>八场景 stride=5；GT纯度≥0.8、有效点≥100、有效覆盖≥80%、距离&lt;5 cm。候选范围不等于全图新建正确。</t>
        </is>
      </c>
    </row>
    <row r="165"/>
    <row r="166" ht="27" customHeight="1">
      <c r="A166" s="42" t="inlineStr">
        <is>
          <t>范围</t>
        </is>
      </c>
      <c r="B166" s="42" t="inlineStr">
        <is>
          <t>总决策</t>
        </is>
      </c>
      <c r="C166" s="42" t="inlineStr">
        <is>
          <t>可判</t>
        </is>
      </c>
      <c r="D166" s="42" t="inlineStr">
        <is>
          <t>改对</t>
        </is>
      </c>
      <c r="E166" s="42" t="inlineStr">
        <is>
          <t>当次改坏</t>
        </is>
      </c>
      <c r="F166" s="42" t="inlineStr">
        <is>
          <t>未改且原错</t>
        </is>
      </c>
      <c r="G166" s="42" t="inlineStr">
        <is>
          <t>改后仍错</t>
        </is>
      </c>
      <c r="H166" s="42" t="inlineStr">
        <is>
          <t>改前后均对</t>
        </is>
      </c>
      <c r="I166" s="42" t="inlineStr">
        <is>
          <t>正确保持</t>
        </is>
      </c>
      <c r="J166" s="42" t="inlineStr">
        <is>
          <t>净改正</t>
        </is>
      </c>
      <c r="K166" s="42" t="inlineStr">
        <is>
          <t>不可判</t>
        </is>
      </c>
    </row>
    <row r="167" ht="24" customHeight="1">
      <c r="A167" s="43" t="inlineStr">
        <is>
          <t>候选范围总计</t>
        </is>
      </c>
      <c r="B167" s="44" t="n">
        <v>4321</v>
      </c>
      <c r="C167" s="44" t="n">
        <v>1122</v>
      </c>
      <c r="D167" s="44" t="n">
        <v>177</v>
      </c>
      <c r="E167" s="44" t="n">
        <v>271</v>
      </c>
      <c r="F167" s="44" t="n">
        <v>96</v>
      </c>
      <c r="G167" s="44" t="n">
        <v>8</v>
      </c>
      <c r="H167" s="44" t="n">
        <v>11</v>
      </c>
      <c r="I167" s="44" t="n">
        <v>559</v>
      </c>
      <c r="J167" s="44">
        <f>D167-E167</f>
        <v/>
      </c>
      <c r="K167" s="44" t="n">
        <v>3199</v>
      </c>
    </row>
    <row r="168" ht="24" customHeight="1">
      <c r="A168" s="45" t="inlineStr">
        <is>
          <t>关联/新建</t>
        </is>
      </c>
      <c r="B168" s="46" t="n">
        <v>2013</v>
      </c>
      <c r="C168" s="46" t="n">
        <v>660</v>
      </c>
      <c r="D168" s="46" t="n">
        <v>103</v>
      </c>
      <c r="E168" s="46" t="n">
        <v>71</v>
      </c>
      <c r="F168" s="46" t="n">
        <v>47</v>
      </c>
      <c r="G168" s="46" t="n">
        <v>8</v>
      </c>
      <c r="H168" s="46" t="n">
        <v>11</v>
      </c>
      <c r="I168" s="46" t="n">
        <v>420</v>
      </c>
      <c r="J168" s="46">
        <f>D168-E168</f>
        <v/>
      </c>
      <c r="K168" s="46" t="n">
        <v>1353</v>
      </c>
    </row>
    <row r="169" ht="24" customHeight="1">
      <c r="A169" s="43" t="inlineStr">
        <is>
          <t>合并</t>
        </is>
      </c>
      <c r="B169" s="44" t="n">
        <v>2308</v>
      </c>
      <c r="C169" s="44" t="n">
        <v>462</v>
      </c>
      <c r="D169" s="44" t="n">
        <v>74</v>
      </c>
      <c r="E169" s="44" t="n">
        <v>200</v>
      </c>
      <c r="F169" s="44" t="n">
        <v>49</v>
      </c>
      <c r="G169" s="44" t="n">
        <v>0</v>
      </c>
      <c r="H169" s="44" t="n">
        <v>0</v>
      </c>
      <c r="I169" s="44" t="n">
        <v>139</v>
      </c>
      <c r="J169" s="44">
        <f>D169-E169</f>
        <v/>
      </c>
      <c r="K169" s="44" t="n">
        <v>1846</v>
      </c>
    </row>
    <row r="170" ht="24" customHeight="1">
      <c r="A170" s="45" t="inlineStr">
        <is>
          <t>room0</t>
        </is>
      </c>
      <c r="B170" s="46" t="n">
        <v>704</v>
      </c>
      <c r="C170" s="46" t="n">
        <v>231</v>
      </c>
      <c r="D170" s="46" t="n">
        <v>60</v>
      </c>
      <c r="E170" s="46" t="n">
        <v>55</v>
      </c>
      <c r="F170" s="46" t="n">
        <v>14</v>
      </c>
      <c r="G170" s="46" t="n">
        <v>3</v>
      </c>
      <c r="H170" s="46" t="n">
        <v>0</v>
      </c>
      <c r="I170" s="46" t="n">
        <v>99</v>
      </c>
      <c r="J170" s="46">
        <f>D170-E170</f>
        <v/>
      </c>
      <c r="K170" s="46" t="n">
        <v>473</v>
      </c>
    </row>
    <row r="171" ht="24" customHeight="1">
      <c r="A171" s="43" t="inlineStr">
        <is>
          <t>room1</t>
        </is>
      </c>
      <c r="B171" s="44" t="n">
        <v>558</v>
      </c>
      <c r="C171" s="44" t="n">
        <v>116</v>
      </c>
      <c r="D171" s="44" t="n">
        <v>14</v>
      </c>
      <c r="E171" s="44" t="n">
        <v>9</v>
      </c>
      <c r="F171" s="44" t="n">
        <v>9</v>
      </c>
      <c r="G171" s="44" t="n">
        <v>2</v>
      </c>
      <c r="H171" s="44" t="n">
        <v>0</v>
      </c>
      <c r="I171" s="44" t="n">
        <v>82</v>
      </c>
      <c r="J171" s="44">
        <f>D171-E171</f>
        <v/>
      </c>
      <c r="K171" s="44" t="n">
        <v>442</v>
      </c>
    </row>
    <row r="172" ht="24" customHeight="1">
      <c r="A172" s="45" t="inlineStr">
        <is>
          <t>room2</t>
        </is>
      </c>
      <c r="B172" s="46" t="n">
        <v>273</v>
      </c>
      <c r="C172" s="46" t="n">
        <v>122</v>
      </c>
      <c r="D172" s="46" t="n">
        <v>14</v>
      </c>
      <c r="E172" s="46" t="n">
        <v>28</v>
      </c>
      <c r="F172" s="46" t="n">
        <v>12</v>
      </c>
      <c r="G172" s="46" t="n">
        <v>2</v>
      </c>
      <c r="H172" s="46" t="n">
        <v>0</v>
      </c>
      <c r="I172" s="46" t="n">
        <v>66</v>
      </c>
      <c r="J172" s="46">
        <f>D172-E172</f>
        <v/>
      </c>
      <c r="K172" s="46" t="n">
        <v>151</v>
      </c>
    </row>
    <row r="173" ht="24" customHeight="1">
      <c r="A173" s="43" t="inlineStr">
        <is>
          <t>office0</t>
        </is>
      </c>
      <c r="B173" s="44" t="n">
        <v>241</v>
      </c>
      <c r="C173" s="44" t="n">
        <v>41</v>
      </c>
      <c r="D173" s="44" t="n">
        <v>8</v>
      </c>
      <c r="E173" s="44" t="n">
        <v>8</v>
      </c>
      <c r="F173" s="44" t="n">
        <v>6</v>
      </c>
      <c r="G173" s="44" t="n">
        <v>1</v>
      </c>
      <c r="H173" s="44" t="n">
        <v>0</v>
      </c>
      <c r="I173" s="44" t="n">
        <v>18</v>
      </c>
      <c r="J173" s="44">
        <f>D173-E173</f>
        <v/>
      </c>
      <c r="K173" s="44" t="n">
        <v>200</v>
      </c>
    </row>
    <row r="174" ht="24" customHeight="1">
      <c r="A174" s="45" t="inlineStr">
        <is>
          <t>office1</t>
        </is>
      </c>
      <c r="B174" s="46" t="n">
        <v>236</v>
      </c>
      <c r="C174" s="46" t="n">
        <v>80</v>
      </c>
      <c r="D174" s="46" t="n">
        <v>16</v>
      </c>
      <c r="E174" s="46" t="n">
        <v>21</v>
      </c>
      <c r="F174" s="46" t="n">
        <v>8</v>
      </c>
      <c r="G174" s="46" t="n">
        <v>0</v>
      </c>
      <c r="H174" s="46" t="n">
        <v>3</v>
      </c>
      <c r="I174" s="46" t="n">
        <v>32</v>
      </c>
      <c r="J174" s="46">
        <f>D174-E174</f>
        <v/>
      </c>
      <c r="K174" s="46" t="n">
        <v>156</v>
      </c>
    </row>
    <row r="175" ht="24" customHeight="1">
      <c r="A175" s="43" t="inlineStr">
        <is>
          <t>office2</t>
        </is>
      </c>
      <c r="B175" s="44" t="n">
        <v>895</v>
      </c>
      <c r="C175" s="44" t="n">
        <v>113</v>
      </c>
      <c r="D175" s="44" t="n">
        <v>31</v>
      </c>
      <c r="E175" s="44" t="n">
        <v>35</v>
      </c>
      <c r="F175" s="44" t="n">
        <v>12</v>
      </c>
      <c r="G175" s="44" t="n">
        <v>0</v>
      </c>
      <c r="H175" s="44" t="n">
        <v>1</v>
      </c>
      <c r="I175" s="44" t="n">
        <v>34</v>
      </c>
      <c r="J175" s="44">
        <f>D175-E175</f>
        <v/>
      </c>
      <c r="K175" s="44" t="n">
        <v>782</v>
      </c>
    </row>
    <row r="176" ht="24" customHeight="1">
      <c r="A176" s="45" t="inlineStr">
        <is>
          <t>office3</t>
        </is>
      </c>
      <c r="B176" s="46" t="n">
        <v>671</v>
      </c>
      <c r="C176" s="46" t="n">
        <v>203</v>
      </c>
      <c r="D176" s="46" t="n">
        <v>16</v>
      </c>
      <c r="E176" s="46" t="n">
        <v>66</v>
      </c>
      <c r="F176" s="46" t="n">
        <v>13</v>
      </c>
      <c r="G176" s="46" t="n">
        <v>0</v>
      </c>
      <c r="H176" s="46" t="n">
        <v>4</v>
      </c>
      <c r="I176" s="46" t="n">
        <v>104</v>
      </c>
      <c r="J176" s="46">
        <f>D176-E176</f>
        <v/>
      </c>
      <c r="K176" s="46" t="n">
        <v>468</v>
      </c>
    </row>
    <row r="177" ht="24" customHeight="1">
      <c r="A177" s="43" t="inlineStr">
        <is>
          <t>office4</t>
        </is>
      </c>
      <c r="B177" s="44" t="n">
        <v>743</v>
      </c>
      <c r="C177" s="44" t="n">
        <v>216</v>
      </c>
      <c r="D177" s="44" t="n">
        <v>18</v>
      </c>
      <c r="E177" s="44" t="n">
        <v>49</v>
      </c>
      <c r="F177" s="44" t="n">
        <v>22</v>
      </c>
      <c r="G177" s="44" t="n">
        <v>0</v>
      </c>
      <c r="H177" s="44" t="n">
        <v>3</v>
      </c>
      <c r="I177" s="44" t="n">
        <v>124</v>
      </c>
      <c r="J177" s="44">
        <f>D177-E177</f>
        <v/>
      </c>
      <c r="K177" s="44" t="n">
        <v>527</v>
      </c>
    </row>
    <row r="178" ht="24" customHeight="1">
      <c r="A178" s="45" t="inlineStr">
        <is>
          <t>严格地图口径</t>
        </is>
      </c>
      <c r="B178" s="46" t="n">
        <v>4321</v>
      </c>
      <c r="C178" s="46" t="n">
        <v>931</v>
      </c>
      <c r="D178" s="46" t="n">
        <v>174</v>
      </c>
      <c r="E178" s="46" t="n">
        <v>242</v>
      </c>
      <c r="F178" s="46" t="n">
        <v>96</v>
      </c>
      <c r="G178" s="46" t="n">
        <v>8</v>
      </c>
      <c r="H178" s="46" t="n">
        <v>11</v>
      </c>
      <c r="I178" s="46" t="n">
        <v>400</v>
      </c>
      <c r="J178" s="46">
        <f>D178-E178</f>
        <v/>
      </c>
      <c r="K178" s="46" t="n">
        <v>3390</v>
      </c>
    </row>
    <row r="179" ht="24" customHeight="1">
      <c r="A179" s="43" t="inlineStr">
        <is>
          <t>合并本次VLM</t>
        </is>
      </c>
      <c r="B179" s="44" t="n">
        <v>1032</v>
      </c>
      <c r="C179" s="44" t="n">
        <v>444</v>
      </c>
      <c r="D179" s="44" t="n">
        <v>74</v>
      </c>
      <c r="E179" s="44" t="n">
        <v>200</v>
      </c>
      <c r="F179" s="44" t="n">
        <v>38</v>
      </c>
      <c r="G179" s="44" t="n">
        <v>0</v>
      </c>
      <c r="H179" s="44" t="n">
        <v>0</v>
      </c>
      <c r="I179" s="44" t="n">
        <v>132</v>
      </c>
      <c r="J179" s="44">
        <f>D179-E179</f>
        <v/>
      </c>
      <c r="K179" s="44" t="n">
        <v>588</v>
      </c>
    </row>
    <row r="180" ht="24" customHeight="1">
      <c r="A180" s="45" t="inlineStr">
        <is>
          <t>合并历史锁定</t>
        </is>
      </c>
      <c r="B180" s="46" t="n">
        <v>1276</v>
      </c>
      <c r="C180" s="46" t="n">
        <v>18</v>
      </c>
      <c r="D180" s="46" t="n">
        <v>0</v>
      </c>
      <c r="E180" s="46" t="n">
        <v>0</v>
      </c>
      <c r="F180" s="46" t="n">
        <v>11</v>
      </c>
      <c r="G180" s="46" t="n">
        <v>0</v>
      </c>
      <c r="H180" s="46" t="n">
        <v>0</v>
      </c>
      <c r="I180" s="46" t="n">
        <v>7</v>
      </c>
      <c r="J180" s="46">
        <f>D180-E180</f>
        <v/>
      </c>
      <c r="K180" s="46" t="n">
        <v>1258</v>
      </c>
    </row>
    <row r="181"/>
    <row r="182" ht="25" customHeight="1">
      <c r="A182" s="47" t="inlineStr">
        <is>
          <t>解释：合并当次改坏中 96 次为已同意但等待第二票，其中 77 次后来直接合并。仍保留当次评分。</t>
        </is>
      </c>
    </row>
    <row r="183" ht="25" customHeight="1">
      <c r="A183" s="47" t="inlineStr">
        <is>
          <t>未判定保留：DISCARD 496 次需质量参考；30–99点边界 123 条。不可判不算正确，不外推完整系统收益。</t>
        </is>
      </c>
    </row>
    <row r="184" ht="25" customHeight="1">
      <c r="A184" s="47" t="inlineStr">
        <is>
          <t>改对/(改对+改坏)只度量正确性发生变化的方向比例，不是全部改动的成功率；未解决和良性改变另计。</t>
        </is>
      </c>
    </row>
    <row r="185" ht="25" customHeight="1">
      <c r="A185" s="47" t="inlineStr">
        <is>
          <t>三门槛敏感性（同纯度与覆盖规则）：30点 改对188/改坏300；50点 改对182/改坏290；100点 改对177/改坏271</t>
        </is>
      </c>
    </row>
    <row r="186" ht="25" customHeight="1">
      <c r="A186" s="47" t="inlineStr">
        <is>
          <t>原始记录与复核入口见“评估说明”新增条目。主表最终地图指标不变。</t>
        </is>
      </c>
    </row>
    <row r="187"/>
    <row r="188"/>
    <row r="189" ht="28" customHeight="1">
      <c r="A189" s="48" t="inlineStr">
        <is>
          <t>人工复核70条（2026-09-14）</t>
        </is>
      </c>
    </row>
    <row r="190" ht="28" customHeight="1">
      <c r="A190" s="49" t="inlineStr">
        <is>
          <t>优先60已完成；14条不可判排除评分；定向样本与重复对象对不外推总体收益。</t>
        </is>
      </c>
    </row>
    <row r="191"/>
    <row r="192" ht="27" customHeight="1">
      <c r="A192" s="42" t="inlineStr">
        <is>
          <t>范围</t>
        </is>
      </c>
      <c r="B192" s="42" t="inlineStr">
        <is>
          <t>总决策</t>
        </is>
      </c>
      <c r="C192" s="42" t="inlineStr">
        <is>
          <t>可判</t>
        </is>
      </c>
      <c r="D192" s="42" t="inlineStr">
        <is>
          <t>改对</t>
        </is>
      </c>
      <c r="E192" s="42" t="inlineStr">
        <is>
          <t>当次改坏</t>
        </is>
      </c>
      <c r="F192" s="42" t="inlineStr">
        <is>
          <t>未改且原错</t>
        </is>
      </c>
      <c r="G192" s="42" t="inlineStr">
        <is>
          <t>改后仍错</t>
        </is>
      </c>
      <c r="H192" s="42" t="inlineStr">
        <is>
          <t>改前后均对</t>
        </is>
      </c>
      <c r="I192" s="42" t="inlineStr">
        <is>
          <t>正确保持</t>
        </is>
      </c>
      <c r="J192" s="42" t="inlineStr">
        <is>
          <t>净改正</t>
        </is>
      </c>
      <c r="K192" s="42" t="inlineStr">
        <is>
          <t>不可判</t>
        </is>
      </c>
    </row>
    <row r="193" ht="26" customHeight="1">
      <c r="A193" s="45" t="inlineStr">
        <is>
          <t>优先60</t>
        </is>
      </c>
      <c r="B193" s="46" t="n">
        <v>60</v>
      </c>
      <c r="C193" s="46" t="n">
        <v>46</v>
      </c>
      <c r="D193" s="46" t="n">
        <v>23</v>
      </c>
      <c r="E193" s="46" t="n">
        <v>16</v>
      </c>
      <c r="F193" s="46" t="n">
        <v>0</v>
      </c>
      <c r="G193" s="46" t="n">
        <v>7</v>
      </c>
      <c r="H193" s="46" t="n">
        <v>0</v>
      </c>
      <c r="I193" s="46" t="n">
        <v>0</v>
      </c>
      <c r="J193" s="46" t="n">
        <v>7</v>
      </c>
      <c r="K193" s="46" t="n">
        <v>14</v>
      </c>
    </row>
    <row r="194" ht="26" customHeight="1">
      <c r="A194" s="43" t="inlineStr">
        <is>
          <t>额外10</t>
        </is>
      </c>
      <c r="B194" s="44" t="n">
        <v>10</v>
      </c>
      <c r="C194" s="44" t="n">
        <v>10</v>
      </c>
      <c r="D194" s="44" t="n">
        <v>0</v>
      </c>
      <c r="E194" s="44" t="n">
        <v>8</v>
      </c>
      <c r="F194" s="44" t="n">
        <v>1</v>
      </c>
      <c r="G194" s="44" t="n">
        <v>0</v>
      </c>
      <c r="H194" s="44" t="n">
        <v>0</v>
      </c>
      <c r="I194" s="44" t="n">
        <v>1</v>
      </c>
      <c r="J194" s="44" t="n">
        <v>-8</v>
      </c>
      <c r="K194" s="44" t="n">
        <v>0</v>
      </c>
    </row>
    <row r="195" ht="26" customHeight="1">
      <c r="A195" s="45" t="inlineStr">
        <is>
          <t>全部70</t>
        </is>
      </c>
      <c r="B195" s="46" t="n">
        <v>70</v>
      </c>
      <c r="C195" s="46" t="n">
        <v>56</v>
      </c>
      <c r="D195" s="46" t="n">
        <v>23</v>
      </c>
      <c r="E195" s="46" t="n">
        <v>24</v>
      </c>
      <c r="F195" s="46" t="n">
        <v>1</v>
      </c>
      <c r="G195" s="46" t="n">
        <v>7</v>
      </c>
      <c r="H195" s="46" t="n">
        <v>0</v>
      </c>
      <c r="I195" s="46" t="n">
        <v>1</v>
      </c>
      <c r="J195" s="46" t="n">
        <v>-1</v>
      </c>
      <c r="K195" s="46" t="n">
        <v>14</v>
      </c>
    </row>
    <row r="196" ht="26" customHeight="1">
      <c r="A196" s="43" t="inlineStr">
        <is>
          <t>关联/新建</t>
        </is>
      </c>
      <c r="B196" s="44" t="n">
        <v>34</v>
      </c>
      <c r="C196" s="44" t="n">
        <v>31</v>
      </c>
      <c r="D196" s="44" t="n">
        <v>11</v>
      </c>
      <c r="E196" s="44" t="n">
        <v>12</v>
      </c>
      <c r="F196" s="44" t="n">
        <v>1</v>
      </c>
      <c r="G196" s="44" t="n">
        <v>7</v>
      </c>
      <c r="H196" s="44" t="n">
        <v>0</v>
      </c>
      <c r="I196" s="44" t="n">
        <v>0</v>
      </c>
      <c r="J196" s="44" t="n">
        <v>-1</v>
      </c>
      <c r="K196" s="44" t="n">
        <v>3</v>
      </c>
    </row>
    <row r="197" ht="26" customHeight="1">
      <c r="A197" s="45" t="inlineStr">
        <is>
          <t>合并</t>
        </is>
      </c>
      <c r="B197" s="46" t="n">
        <v>36</v>
      </c>
      <c r="C197" s="46" t="n">
        <v>25</v>
      </c>
      <c r="D197" s="46" t="n">
        <v>12</v>
      </c>
      <c r="E197" s="46" t="n">
        <v>12</v>
      </c>
      <c r="F197" s="46" t="n">
        <v>0</v>
      </c>
      <c r="G197" s="46" t="n">
        <v>0</v>
      </c>
      <c r="H197" s="46" t="n">
        <v>0</v>
      </c>
      <c r="I197" s="46" t="n">
        <v>1</v>
      </c>
      <c r="J197" s="46" t="n">
        <v>0</v>
      </c>
      <c r="K197" s="46" t="n">
        <v>11</v>
      </c>
    </row>
    <row r="198"/>
    <row r="199" ht="26" customHeight="1">
      <c r="A199" s="41" t="inlineStr">
        <is>
          <t>合并36次仅18组对象对；按组：改对4、改坏10、保持正确1、全不可判3。不可当36个独立样本。</t>
        </is>
      </c>
    </row>
    <row r="200" ht="26" customHeight="1">
      <c r="A200" s="41" t="inlineStr">
        <is>
          <t>合并改坏12次中9次VLM同意但执行等待；其中7次后来直接合并，仍保留当次代价。</t>
        </is>
      </c>
    </row>
    <row r="201" ht="26" customHeight="1">
      <c r="A201" s="41" t="inlineStr">
        <is>
          <t>优先60净+7；全部70净-1。NEW仅候选范围；人工DISCARD同时考虑观测质量。</t>
        </is>
      </c>
    </row>
    <row r="203" ht="30" customHeight="1">
      <c r="A203" s="1" t="inlineStr">
        <is>
          <t>room2 三方一对一诊断（2026-09-14）</t>
        </is>
      </c>
    </row>
    <row r="204" ht="38" customHeight="1">
      <c r="A204" s="2" t="inlineStr">
        <is>
          <t>场景</t>
        </is>
      </c>
      <c r="B204" s="2" t="inlineStr">
        <is>
          <t>方法</t>
        </is>
      </c>
      <c r="C204" s="2" t="inlineStr">
        <is>
          <t>一对一 mIoU</t>
        </is>
      </c>
      <c r="D204" s="2" t="inlineStr">
        <is>
          <t>GT数（10点）</t>
        </is>
      </c>
      <c r="E204" s="2" t="inlineStr">
        <is>
          <t>GT数（100点）</t>
        </is>
      </c>
      <c r="F204" s="2" t="inlineStr">
        <is>
          <t>TP50</t>
        </is>
      </c>
      <c r="G204" s="2" t="inlineStr">
        <is>
          <t>FP50</t>
        </is>
      </c>
      <c r="H204" s="2" t="inlineStr">
        <is>
          <t>FN50</t>
        </is>
      </c>
      <c r="I204" s="2" t="inlineStr">
        <is>
          <t>Precision50</t>
        </is>
      </c>
      <c r="J204" s="2" t="inlineStr">
        <is>
          <t>Recall50</t>
        </is>
      </c>
      <c r="K204" s="2" t="inlineStr">
        <is>
          <t>F1@50</t>
        </is>
      </c>
    </row>
    <row r="205" ht="32" customHeight="1">
      <c r="A205" s="12" t="inlineStr">
        <is>
          <t>room2</t>
        </is>
      </c>
      <c r="B205" s="12" t="inlineStr">
        <is>
          <t>v7_CLIP_must</t>
        </is>
      </c>
      <c r="C205" s="16" t="n">
        <v>0.3604794049569701</v>
      </c>
      <c r="D205" s="29" t="n">
        <v>52</v>
      </c>
      <c r="E205" s="29" t="n">
        <v>47</v>
      </c>
      <c r="F205" s="29" t="n">
        <v>17</v>
      </c>
      <c r="G205" s="29" t="n">
        <v>38</v>
      </c>
      <c r="H205" s="29" t="n">
        <v>30</v>
      </c>
      <c r="I205" s="16" t="n">
        <v>0.3090909090909091</v>
      </c>
      <c r="J205" s="16" t="n">
        <v>0.3617021276595745</v>
      </c>
      <c r="K205" s="16" t="n">
        <v>0.3333333333333333</v>
      </c>
    </row>
    <row r="206" ht="32" customHeight="1">
      <c r="A206" s="12" t="inlineStr">
        <is>
          <t>room2</t>
        </is>
      </c>
      <c r="B206" s="12" t="inlineStr">
        <is>
          <t>v7_CLIP</t>
        </is>
      </c>
      <c r="C206" s="16" t="n">
        <v>0.3186971105274999</v>
      </c>
      <c r="D206" s="29" t="n">
        <v>52</v>
      </c>
      <c r="E206" s="29" t="n">
        <v>47</v>
      </c>
      <c r="F206" s="29" t="n">
        <v>18</v>
      </c>
      <c r="G206" s="29" t="n">
        <v>33</v>
      </c>
      <c r="H206" s="29" t="n">
        <v>29</v>
      </c>
      <c r="I206" s="16" t="n">
        <v>0.3529411764705883</v>
      </c>
      <c r="J206" s="16" t="n">
        <v>0.3829787234042553</v>
      </c>
      <c r="K206" s="16" t="n">
        <v>0.3673469387755102</v>
      </c>
    </row>
    <row r="207" ht="32" customHeight="1">
      <c r="A207" s="12" t="inlineStr">
        <is>
          <t>room2</t>
        </is>
      </c>
      <c r="B207" s="12" t="inlineStr">
        <is>
          <t>OVI_MAP</t>
        </is>
      </c>
      <c r="C207" s="16" t="n">
        <v>0.3991812364212894</v>
      </c>
      <c r="D207" s="29" t="n">
        <v>52</v>
      </c>
      <c r="E207" s="29" t="n">
        <v>47</v>
      </c>
      <c r="F207" s="29" t="n">
        <v>23</v>
      </c>
      <c r="G207" s="29" t="n">
        <v>23</v>
      </c>
      <c r="H207" s="29" t="n">
        <v>24</v>
      </c>
      <c r="I207" s="16" t="n">
        <v>0.5</v>
      </c>
      <c r="J207" s="16" t="n">
        <v>0.4893617021276596</v>
      </c>
      <c r="K207" s="16" t="n">
        <v>0.4946236559139785</v>
      </c>
    </row>
  </sheetData>
  <autoFilter ref="A4:K78"/>
  <mergeCells count="85">
    <mergeCell ref="F104:K104"/>
    <mergeCell ref="A98:B98"/>
    <mergeCell ref="A186:K186"/>
    <mergeCell ref="A107:B107"/>
    <mergeCell ref="F106:K106"/>
    <mergeCell ref="F90:K90"/>
    <mergeCell ref="A90:B90"/>
    <mergeCell ref="A99:B99"/>
    <mergeCell ref="A108:K108"/>
    <mergeCell ref="A101:B101"/>
    <mergeCell ref="F117:K117"/>
    <mergeCell ref="A163:K163"/>
    <mergeCell ref="F123:K123"/>
    <mergeCell ref="A2:K2"/>
    <mergeCell ref="F119:K119"/>
    <mergeCell ref="A126:B126"/>
    <mergeCell ref="F116:K116"/>
    <mergeCell ref="F103:K103"/>
    <mergeCell ref="A117:B117"/>
    <mergeCell ref="A190:K190"/>
    <mergeCell ref="F118:K118"/>
    <mergeCell ref="A199:K199"/>
    <mergeCell ref="A127:K127"/>
    <mergeCell ref="F95:K95"/>
    <mergeCell ref="A103:B103"/>
    <mergeCell ref="A182:K182"/>
    <mergeCell ref="F97:K97"/>
    <mergeCell ref="F121:K121"/>
    <mergeCell ref="A128:K128"/>
    <mergeCell ref="F105:K105"/>
    <mergeCell ref="A164:K164"/>
    <mergeCell ref="A105:B105"/>
    <mergeCell ref="F120:K120"/>
    <mergeCell ref="F107:K107"/>
    <mergeCell ref="A129:K129"/>
    <mergeCell ref="A116:B116"/>
    <mergeCell ref="A203:K203"/>
    <mergeCell ref="A91:B91"/>
    <mergeCell ref="A100:B100"/>
    <mergeCell ref="A184:K184"/>
    <mergeCell ref="F99:K99"/>
    <mergeCell ref="A109:K109"/>
    <mergeCell ref="A93:B93"/>
    <mergeCell ref="A115:K115"/>
    <mergeCell ref="A102:B102"/>
    <mergeCell ref="A111:K111"/>
    <mergeCell ref="A92:B92"/>
    <mergeCell ref="F94:K94"/>
    <mergeCell ref="F126:K126"/>
    <mergeCell ref="A119:B119"/>
    <mergeCell ref="A94:B94"/>
    <mergeCell ref="A1:K1"/>
    <mergeCell ref="F122:K122"/>
    <mergeCell ref="F125:K125"/>
    <mergeCell ref="F96:K96"/>
    <mergeCell ref="A120:B120"/>
    <mergeCell ref="A89:K89"/>
    <mergeCell ref="A104:B104"/>
    <mergeCell ref="F98:K98"/>
    <mergeCell ref="A113:K113"/>
    <mergeCell ref="A185:K185"/>
    <mergeCell ref="A106:B106"/>
    <mergeCell ref="A96:B96"/>
    <mergeCell ref="F124:K124"/>
    <mergeCell ref="A201:K201"/>
    <mergeCell ref="F101:K101"/>
    <mergeCell ref="A123:B123"/>
    <mergeCell ref="F91:K91"/>
    <mergeCell ref="A124:B124"/>
    <mergeCell ref="F100:K100"/>
    <mergeCell ref="A110:K110"/>
    <mergeCell ref="A132:K132"/>
    <mergeCell ref="F93:K93"/>
    <mergeCell ref="F102:K102"/>
    <mergeCell ref="A183:K183"/>
    <mergeCell ref="A118:B118"/>
    <mergeCell ref="F92:K92"/>
    <mergeCell ref="A189:K189"/>
    <mergeCell ref="A95:B95"/>
    <mergeCell ref="A122:B122"/>
    <mergeCell ref="A97:B97"/>
    <mergeCell ref="A125:B125"/>
    <mergeCell ref="A200:K200"/>
    <mergeCell ref="A121:B121"/>
    <mergeCell ref="A112:K112"/>
  </mergeCells>
  <pageMargins left="0.75" right="0.75" top="1" bottom="1" header="0.5" footer="0.5"/>
  <pageSetup orientation="landscape" paperSize="8" fitToHeight="0" fitToWidth="1"/>
  <rowBreaks count="1" manualBreakCount="1">
    <brk id="21" min="0" max="16383" man="1"/>
  </rowBreaks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1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3" customWidth="1" min="2" max="2"/>
    <col width="14" customWidth="1" min="3" max="3"/>
    <col width="20" customWidth="1" min="4" max="4"/>
    <col width="23" customWidth="1" min="5" max="5"/>
    <col width="22" customWidth="1" min="6" max="6"/>
    <col width="20" customWidth="1" min="7" max="7"/>
    <col width="22" customWidth="1" min="8" max="8"/>
  </cols>
  <sheetData>
    <row r="1" ht="30" customHeight="1">
      <c r="A1" s="1" t="inlineStr">
        <is>
          <t>原始运行成本与本次评估耗时</t>
        </is>
      </c>
    </row>
    <row r="2" ht="30" customHeight="1">
      <c r="A2" s="1" t="inlineStr">
        <is>
          <t>运行成本保留旧运行证据；本次只重评估。OVI 查询为 SigLIP，其余为生成式 HTTP 请求，含重试口径。</t>
        </is>
      </c>
    </row>
    <row r="3"/>
    <row r="4" ht="38" customHeight="1">
      <c r="A4" s="2" t="inlineStr">
        <is>
          <t>场景</t>
        </is>
      </c>
      <c r="B4" s="2" t="inlineStr">
        <is>
          <t>方法</t>
        </is>
      </c>
      <c r="C4" s="2" t="inlineStr">
        <is>
          <t>采样帧数</t>
        </is>
      </c>
      <c r="D4" s="2" t="inlineStr">
        <is>
          <t>原生查询次数</t>
        </is>
      </c>
      <c r="E4" s="2" t="inlineStr">
        <is>
          <t>记录建图秒数</t>
        </is>
      </c>
      <c r="F4" s="2" t="inlineStr">
        <is>
          <t>记录建图秒/帧</t>
        </is>
      </c>
      <c r="G4" s="2" t="inlineStr">
        <is>
          <t>端到端秒数</t>
        </is>
      </c>
      <c r="H4" s="2" t="inlineStr">
        <is>
          <t>本次评估秒数</t>
        </is>
      </c>
    </row>
    <row r="5" ht="28" customHeight="1">
      <c r="A5" s="3" t="inlineStr">
        <is>
          <t>room0</t>
        </is>
      </c>
      <c r="B5" s="3" t="inlineStr">
        <is>
          <t>Baseline_gateoff</t>
        </is>
      </c>
      <c r="C5" s="3" t="n">
        <v>400</v>
      </c>
      <c r="D5" s="3" t="n">
        <v>0</v>
      </c>
      <c r="E5" s="8" t="n">
        <v>1354.68223</v>
      </c>
      <c r="F5" s="8" t="n">
        <v>3.386705575</v>
      </c>
      <c r="G5" s="8" t="inlineStr">
        <is>
          <t>缺失</t>
        </is>
      </c>
      <c r="H5" s="8" t="n">
        <v>31.94946599192917</v>
      </c>
    </row>
    <row r="6" ht="28" customHeight="1">
      <c r="A6" s="5" t="inlineStr">
        <is>
          <t>room0</t>
        </is>
      </c>
      <c r="B6" s="5" t="inlineStr">
        <is>
          <t>v7_CLIP</t>
        </is>
      </c>
      <c r="C6" s="5" t="n">
        <v>400</v>
      </c>
      <c r="D6" s="5" t="n">
        <v>1692</v>
      </c>
      <c r="E6" s="9" t="n">
        <v>7894.272715</v>
      </c>
      <c r="F6" s="9" t="n">
        <v>19.7356817875</v>
      </c>
      <c r="G6" s="9" t="inlineStr">
        <is>
          <t>缺失</t>
        </is>
      </c>
      <c r="H6" s="9" t="n">
        <v>29.82398789934814</v>
      </c>
    </row>
    <row r="7" ht="28" customHeight="1">
      <c r="A7" s="3" t="inlineStr">
        <is>
          <t>room0</t>
        </is>
      </c>
      <c r="B7" s="3" t="inlineStr">
        <is>
          <t>OVI_MAP</t>
        </is>
      </c>
      <c r="C7" s="3" t="n">
        <v>400</v>
      </c>
      <c r="D7" s="3" t="n">
        <v>742</v>
      </c>
      <c r="E7" s="8" t="n">
        <v>2066.43</v>
      </c>
      <c r="F7" s="8" t="n">
        <v>5.166074999999999</v>
      </c>
      <c r="G7" s="8" t="inlineStr">
        <is>
          <t>缺失</t>
        </is>
      </c>
      <c r="H7" s="8" t="n">
        <v>8.777251476421952</v>
      </c>
    </row>
    <row r="8" ht="28" customHeight="1">
      <c r="A8" s="5" t="inlineStr">
        <is>
          <t>room0</t>
        </is>
      </c>
      <c r="B8" s="5" t="inlineStr">
        <is>
          <t>ali_my</t>
        </is>
      </c>
      <c r="C8" s="5" t="n">
        <v>400</v>
      </c>
      <c r="D8" s="5" t="n">
        <v>0</v>
      </c>
      <c r="E8" s="9" t="inlineStr">
        <is>
          <t>缺失</t>
        </is>
      </c>
      <c r="F8" s="9" t="inlineStr">
        <is>
          <t>缺失</t>
        </is>
      </c>
      <c r="G8" s="9" t="inlineStr">
        <is>
          <t>缺失</t>
        </is>
      </c>
      <c r="H8" s="9" t="n">
        <v>21.71037502214313</v>
      </c>
    </row>
    <row r="9" ht="28" customHeight="1">
      <c r="A9" s="3" t="inlineStr">
        <is>
          <t>room0</t>
        </is>
      </c>
      <c r="B9" s="3" t="inlineStr">
        <is>
          <t>merge_2</t>
        </is>
      </c>
      <c r="C9" s="3" t="n">
        <v>400</v>
      </c>
      <c r="D9" s="3" t="n">
        <v>1676</v>
      </c>
      <c r="E9" s="8" t="n">
        <v>9559.863561</v>
      </c>
      <c r="F9" s="8" t="n">
        <v>23.8996589025</v>
      </c>
      <c r="G9" s="8" t="inlineStr">
        <is>
          <t>缺失</t>
        </is>
      </c>
      <c r="H9" s="8" t="n">
        <v>25.18470851052552</v>
      </c>
    </row>
    <row r="10" ht="28" customHeight="1">
      <c r="A10" s="5" t="inlineStr">
        <is>
          <t>room1</t>
        </is>
      </c>
      <c r="B10" s="5" t="inlineStr">
        <is>
          <t>Baseline_gateoff</t>
        </is>
      </c>
      <c r="C10" s="5" t="n">
        <v>400</v>
      </c>
      <c r="D10" s="5" t="n">
        <v>0</v>
      </c>
      <c r="E10" s="9" t="n">
        <v>832.001806</v>
      </c>
      <c r="F10" s="9" t="n">
        <v>2.080004515</v>
      </c>
      <c r="G10" s="9" t="inlineStr">
        <is>
          <t>缺失</t>
        </is>
      </c>
      <c r="H10" s="9" t="n">
        <v>17.99570544622838</v>
      </c>
    </row>
    <row r="11" ht="28" customHeight="1">
      <c r="A11" s="3" t="inlineStr">
        <is>
          <t>room1</t>
        </is>
      </c>
      <c r="B11" s="3" t="inlineStr">
        <is>
          <t>v7_CLIP</t>
        </is>
      </c>
      <c r="C11" s="3" t="n">
        <v>400</v>
      </c>
      <c r="D11" s="3" t="n">
        <v>1035</v>
      </c>
      <c r="E11" s="8" t="n">
        <v>6357.069783</v>
      </c>
      <c r="F11" s="8" t="n">
        <v>15.8926744575</v>
      </c>
      <c r="G11" s="8" t="inlineStr">
        <is>
          <t>缺失</t>
        </is>
      </c>
      <c r="H11" s="8" t="n">
        <v>17.46955666970462</v>
      </c>
    </row>
    <row r="12" ht="28" customHeight="1">
      <c r="A12" s="5" t="inlineStr">
        <is>
          <t>room1</t>
        </is>
      </c>
      <c r="B12" s="5" t="inlineStr">
        <is>
          <t>OVI_MAP</t>
        </is>
      </c>
      <c r="C12" s="5" t="n">
        <v>400</v>
      </c>
      <c r="D12" s="5" t="n">
        <v>564</v>
      </c>
      <c r="E12" s="9" t="n">
        <v>1877.07</v>
      </c>
      <c r="F12" s="9" t="n">
        <v>4.692674999999999</v>
      </c>
      <c r="G12" s="9" t="inlineStr">
        <is>
          <t>缺失</t>
        </is>
      </c>
      <c r="H12" s="9" t="n">
        <v>7.686588013544679</v>
      </c>
    </row>
    <row r="13" ht="28" customHeight="1">
      <c r="A13" s="3" t="inlineStr">
        <is>
          <t>room1</t>
        </is>
      </c>
      <c r="B13" s="3" t="inlineStr">
        <is>
          <t>ali_my</t>
        </is>
      </c>
      <c r="C13" s="3" t="n">
        <v>400</v>
      </c>
      <c r="D13" s="3" t="n">
        <v>0</v>
      </c>
      <c r="E13" s="8" t="inlineStr">
        <is>
          <t>缺失</t>
        </is>
      </c>
      <c r="F13" s="8" t="inlineStr">
        <is>
          <t>缺失</t>
        </is>
      </c>
      <c r="G13" s="8" t="inlineStr">
        <is>
          <t>缺失</t>
        </is>
      </c>
      <c r="H13" s="8" t="n">
        <v>12.12208317127079</v>
      </c>
    </row>
    <row r="14" ht="28" customHeight="1">
      <c r="A14" s="5" t="inlineStr">
        <is>
          <t>room2</t>
        </is>
      </c>
      <c r="B14" s="5" t="inlineStr">
        <is>
          <t>Baseline_gateoff</t>
        </is>
      </c>
      <c r="C14" s="5" t="n">
        <v>400</v>
      </c>
      <c r="D14" s="5" t="n">
        <v>0</v>
      </c>
      <c r="E14" s="9" t="n">
        <v>651.775581</v>
      </c>
      <c r="F14" s="9" t="n">
        <v>1.6294389525</v>
      </c>
      <c r="G14" s="9" t="inlineStr">
        <is>
          <t>缺失</t>
        </is>
      </c>
      <c r="H14" s="9" t="n">
        <v>19.27496380358934</v>
      </c>
    </row>
    <row r="15" ht="28" customHeight="1">
      <c r="A15" s="3" t="inlineStr">
        <is>
          <t>room2</t>
        </is>
      </c>
      <c r="B15" s="3" t="inlineStr">
        <is>
          <t>v7_CLIP</t>
        </is>
      </c>
      <c r="C15" s="3" t="n">
        <v>400</v>
      </c>
      <c r="D15" s="3" t="n">
        <v>776</v>
      </c>
      <c r="E15" s="8" t="n">
        <v>3852.782558</v>
      </c>
      <c r="F15" s="8" t="n">
        <v>9.631956395</v>
      </c>
      <c r="G15" s="8" t="inlineStr">
        <is>
          <t>缺失</t>
        </is>
      </c>
      <c r="H15" s="8" t="n">
        <v>18.12023514974862</v>
      </c>
    </row>
    <row r="16" ht="28" customHeight="1">
      <c r="A16" s="5" t="inlineStr">
        <is>
          <t>room2</t>
        </is>
      </c>
      <c r="B16" s="5" t="inlineStr">
        <is>
          <t>OVI_MAP</t>
        </is>
      </c>
      <c r="C16" s="5" t="n">
        <v>400</v>
      </c>
      <c r="D16" s="5" t="n">
        <v>615</v>
      </c>
      <c r="E16" s="9" t="n">
        <v>1822.41</v>
      </c>
      <c r="F16" s="9" t="n">
        <v>4.556025</v>
      </c>
      <c r="G16" s="9" t="inlineStr">
        <is>
          <t>缺失</t>
        </is>
      </c>
      <c r="H16" s="9" t="n">
        <v>5.054567689076066</v>
      </c>
    </row>
    <row r="17" ht="28" customHeight="1">
      <c r="A17" s="3" t="inlineStr">
        <is>
          <t>room2</t>
        </is>
      </c>
      <c r="B17" s="3" t="inlineStr">
        <is>
          <t>ali_my</t>
        </is>
      </c>
      <c r="C17" s="3" t="n">
        <v>400</v>
      </c>
      <c r="D17" s="3" t="n">
        <v>0</v>
      </c>
      <c r="E17" s="8" t="inlineStr">
        <is>
          <t>缺失</t>
        </is>
      </c>
      <c r="F17" s="8" t="inlineStr">
        <is>
          <t>缺失</t>
        </is>
      </c>
      <c r="G17" s="8" t="inlineStr">
        <is>
          <t>缺失</t>
        </is>
      </c>
      <c r="H17" s="8" t="n">
        <v>17.87477980460972</v>
      </c>
    </row>
    <row r="18" ht="28" customHeight="1">
      <c r="A18" s="5" t="inlineStr">
        <is>
          <t>office0</t>
        </is>
      </c>
      <c r="B18" s="5" t="inlineStr">
        <is>
          <t>Baseline_gateoff</t>
        </is>
      </c>
      <c r="C18" s="5" t="n">
        <v>400</v>
      </c>
      <c r="D18" s="5" t="n">
        <v>0</v>
      </c>
      <c r="E18" s="9" t="n">
        <v>440.918013</v>
      </c>
      <c r="F18" s="9" t="n">
        <v>1.1022950325</v>
      </c>
      <c r="G18" s="9" t="inlineStr">
        <is>
          <t>缺失</t>
        </is>
      </c>
      <c r="H18" s="9" t="n">
        <v>10.78560411278158</v>
      </c>
    </row>
    <row r="19" ht="28" customHeight="1">
      <c r="A19" s="3" t="inlineStr">
        <is>
          <t>office0</t>
        </is>
      </c>
      <c r="B19" s="3" t="inlineStr">
        <is>
          <t>v7_CLIP</t>
        </is>
      </c>
      <c r="C19" s="3" t="n">
        <v>400</v>
      </c>
      <c r="D19" s="3" t="n">
        <v>428</v>
      </c>
      <c r="E19" s="8" t="n">
        <v>2578.279279</v>
      </c>
      <c r="F19" s="8" t="n">
        <v>6.4456981975</v>
      </c>
      <c r="G19" s="8" t="inlineStr">
        <is>
          <t>缺失</t>
        </is>
      </c>
      <c r="H19" s="8" t="n">
        <v>10.94425652455539</v>
      </c>
    </row>
    <row r="20" ht="28" customHeight="1">
      <c r="A20" s="5" t="inlineStr">
        <is>
          <t>office0</t>
        </is>
      </c>
      <c r="B20" s="5" t="inlineStr">
        <is>
          <t>OVI_MAP</t>
        </is>
      </c>
      <c r="C20" s="5" t="n">
        <v>400</v>
      </c>
      <c r="D20" s="5" t="n">
        <v>685</v>
      </c>
      <c r="E20" s="9" t="n">
        <v>1787.71</v>
      </c>
      <c r="F20" s="9" t="n">
        <v>4.469275</v>
      </c>
      <c r="G20" s="9" t="inlineStr">
        <is>
          <t>缺失</t>
        </is>
      </c>
      <c r="H20" s="9" t="n">
        <v>79.27089082915336</v>
      </c>
    </row>
    <row r="21" ht="28" customHeight="1">
      <c r="A21" s="3" t="inlineStr">
        <is>
          <t>office0</t>
        </is>
      </c>
      <c r="B21" s="3" t="inlineStr">
        <is>
          <t>ali_my</t>
        </is>
      </c>
      <c r="C21" s="3" t="n">
        <v>400</v>
      </c>
      <c r="D21" s="3" t="n">
        <v>0</v>
      </c>
      <c r="E21" s="8" t="inlineStr">
        <is>
          <t>缺失</t>
        </is>
      </c>
      <c r="F21" s="8" t="inlineStr">
        <is>
          <t>缺失</t>
        </is>
      </c>
      <c r="G21" s="8" t="inlineStr">
        <is>
          <t>缺失</t>
        </is>
      </c>
      <c r="H21" s="8" t="n">
        <v>10.78891063202173</v>
      </c>
    </row>
    <row r="22" ht="28" customHeight="1">
      <c r="A22" s="5" t="inlineStr">
        <is>
          <t>office1</t>
        </is>
      </c>
      <c r="B22" s="5" t="inlineStr">
        <is>
          <t>Baseline_gateoff</t>
        </is>
      </c>
      <c r="C22" s="5" t="n">
        <v>400</v>
      </c>
      <c r="D22" s="5" t="n">
        <v>0</v>
      </c>
      <c r="E22" s="9" t="n">
        <v>441.682304</v>
      </c>
      <c r="F22" s="9" t="n">
        <v>1.10420576</v>
      </c>
      <c r="G22" s="9" t="inlineStr">
        <is>
          <t>缺失</t>
        </is>
      </c>
      <c r="H22" s="9" t="n">
        <v>10.98204266279936</v>
      </c>
    </row>
    <row r="23" ht="28" customHeight="1">
      <c r="A23" s="3" t="inlineStr">
        <is>
          <t>office1</t>
        </is>
      </c>
      <c r="B23" s="3" t="inlineStr">
        <is>
          <t>v7_CLIP</t>
        </is>
      </c>
      <c r="C23" s="3" t="n">
        <v>400</v>
      </c>
      <c r="D23" s="3" t="n">
        <v>509</v>
      </c>
      <c r="E23" s="8" t="n">
        <v>3297.201013</v>
      </c>
      <c r="F23" s="8" t="n">
        <v>8.2430025325</v>
      </c>
      <c r="G23" s="8" t="inlineStr">
        <is>
          <t>缺失</t>
        </is>
      </c>
      <c r="H23" s="8" t="n">
        <v>11.8122948249802</v>
      </c>
    </row>
    <row r="24" ht="28" customHeight="1">
      <c r="A24" s="5" t="inlineStr">
        <is>
          <t>office1</t>
        </is>
      </c>
      <c r="B24" s="5" t="inlineStr">
        <is>
          <t>OVI_MAP</t>
        </is>
      </c>
      <c r="C24" s="5" t="n">
        <v>400</v>
      </c>
      <c r="D24" s="5" t="n">
        <v>496</v>
      </c>
      <c r="E24" s="9" t="n">
        <v>1748.84</v>
      </c>
      <c r="F24" s="9" t="n">
        <v>4.3721</v>
      </c>
      <c r="G24" s="9" t="inlineStr">
        <is>
          <t>缺失</t>
        </is>
      </c>
      <c r="H24" s="9" t="n">
        <v>50.65173556283116</v>
      </c>
    </row>
    <row r="25" ht="28" customHeight="1">
      <c r="A25" s="3" t="inlineStr">
        <is>
          <t>office1</t>
        </is>
      </c>
      <c r="B25" s="3" t="inlineStr">
        <is>
          <t>ali_my</t>
        </is>
      </c>
      <c r="C25" s="3" t="n">
        <v>400</v>
      </c>
      <c r="D25" s="3" t="n">
        <v>0</v>
      </c>
      <c r="E25" s="8" t="inlineStr">
        <is>
          <t>缺失</t>
        </is>
      </c>
      <c r="F25" s="8" t="inlineStr">
        <is>
          <t>缺失</t>
        </is>
      </c>
      <c r="G25" s="8" t="inlineStr">
        <is>
          <t>缺失</t>
        </is>
      </c>
      <c r="H25" s="8" t="n">
        <v>14.88403637055308</v>
      </c>
    </row>
    <row r="26" ht="28" customHeight="1">
      <c r="A26" s="5" t="inlineStr">
        <is>
          <t>office2</t>
        </is>
      </c>
      <c r="B26" s="5" t="inlineStr">
        <is>
          <t>Baseline_gateoff</t>
        </is>
      </c>
      <c r="C26" s="5" t="n">
        <v>400</v>
      </c>
      <c r="D26" s="5" t="n">
        <v>0</v>
      </c>
      <c r="E26" s="9" t="n">
        <v>927.803748</v>
      </c>
      <c r="F26" s="9" t="n">
        <v>2.31950937</v>
      </c>
      <c r="G26" s="9" t="inlineStr">
        <is>
          <t>缺失</t>
        </is>
      </c>
      <c r="H26" s="9" t="n">
        <v>15.16508533898741</v>
      </c>
    </row>
    <row r="27" ht="28" customHeight="1">
      <c r="A27" s="3" t="inlineStr">
        <is>
          <t>office2</t>
        </is>
      </c>
      <c r="B27" s="3" t="inlineStr">
        <is>
          <t>v7_CLIP</t>
        </is>
      </c>
      <c r="C27" s="3" t="n">
        <v>400</v>
      </c>
      <c r="D27" s="3" t="n">
        <v>1749</v>
      </c>
      <c r="E27" s="8" t="n">
        <v>8628.989502</v>
      </c>
      <c r="F27" s="8" t="n">
        <v>21.572473755</v>
      </c>
      <c r="G27" s="8" t="inlineStr">
        <is>
          <t>缺失</t>
        </is>
      </c>
      <c r="H27" s="8" t="n">
        <v>15.61479231715202</v>
      </c>
    </row>
    <row r="28" ht="28" customHeight="1">
      <c r="A28" s="5" t="inlineStr">
        <is>
          <t>office2</t>
        </is>
      </c>
      <c r="B28" s="5" t="inlineStr">
        <is>
          <t>OVI_MAP</t>
        </is>
      </c>
      <c r="C28" s="5" t="n">
        <v>400</v>
      </c>
      <c r="D28" s="5" t="n">
        <v>668</v>
      </c>
      <c r="E28" s="9" t="n">
        <v>2114.31</v>
      </c>
      <c r="F28" s="9" t="n">
        <v>5.285775</v>
      </c>
      <c r="G28" s="9" t="inlineStr">
        <is>
          <t>缺失</t>
        </is>
      </c>
      <c r="H28" s="9" t="n">
        <v>8.139161476865411</v>
      </c>
    </row>
    <row r="29" ht="28" customHeight="1">
      <c r="A29" s="3" t="inlineStr">
        <is>
          <t>office2</t>
        </is>
      </c>
      <c r="B29" s="3" t="inlineStr">
        <is>
          <t>ali_my</t>
        </is>
      </c>
      <c r="C29" s="3" t="n">
        <v>400</v>
      </c>
      <c r="D29" s="3" t="n">
        <v>0</v>
      </c>
      <c r="E29" s="8" t="inlineStr">
        <is>
          <t>缺失</t>
        </is>
      </c>
      <c r="F29" s="8" t="inlineStr">
        <is>
          <t>缺失</t>
        </is>
      </c>
      <c r="G29" s="8" t="inlineStr">
        <is>
          <t>缺失</t>
        </is>
      </c>
      <c r="H29" s="8" t="n">
        <v>12.56395197939128</v>
      </c>
    </row>
    <row r="30" ht="28" customHeight="1">
      <c r="A30" s="5" t="inlineStr">
        <is>
          <t>office3</t>
        </is>
      </c>
      <c r="B30" s="5" t="inlineStr">
        <is>
          <t>Baseline_gateoff</t>
        </is>
      </c>
      <c r="C30" s="5" t="n">
        <v>400</v>
      </c>
      <c r="D30" s="5" t="n">
        <v>0</v>
      </c>
      <c r="E30" s="9" t="n">
        <v>995.757155</v>
      </c>
      <c r="F30" s="9" t="n">
        <v>2.4893928875</v>
      </c>
      <c r="G30" s="9" t="inlineStr">
        <is>
          <t>缺失</t>
        </is>
      </c>
      <c r="H30" s="9" t="n">
        <v>23.42063237540424</v>
      </c>
    </row>
    <row r="31" ht="28" customHeight="1">
      <c r="A31" s="3" t="inlineStr">
        <is>
          <t>office3</t>
        </is>
      </c>
      <c r="B31" s="3" t="inlineStr">
        <is>
          <t>v7_CLIP</t>
        </is>
      </c>
      <c r="C31" s="3" t="n">
        <v>400</v>
      </c>
      <c r="D31" s="3" t="n">
        <v>1484</v>
      </c>
      <c r="E31" s="8" t="n">
        <v>6736.211007</v>
      </c>
      <c r="F31" s="8" t="n">
        <v>16.8405275175</v>
      </c>
      <c r="G31" s="8" t="inlineStr">
        <is>
          <t>缺失</t>
        </is>
      </c>
      <c r="H31" s="8" t="n">
        <v>22.81124776042998</v>
      </c>
    </row>
    <row r="32" ht="28" customHeight="1">
      <c r="A32" s="5" t="inlineStr">
        <is>
          <t>office3</t>
        </is>
      </c>
      <c r="B32" s="5" t="inlineStr">
        <is>
          <t>OVI_MAP</t>
        </is>
      </c>
      <c r="C32" s="5" t="n">
        <v>400</v>
      </c>
      <c r="D32" s="5" t="n">
        <v>726</v>
      </c>
      <c r="E32" s="9" t="n">
        <v>2404.74</v>
      </c>
      <c r="F32" s="9" t="n">
        <v>6.011849999999999</v>
      </c>
      <c r="G32" s="9" t="inlineStr">
        <is>
          <t>缺失</t>
        </is>
      </c>
      <c r="H32" s="9" t="n">
        <v>11.71853914298117</v>
      </c>
    </row>
    <row r="33" ht="28" customHeight="1">
      <c r="A33" s="3" t="inlineStr">
        <is>
          <t>office3</t>
        </is>
      </c>
      <c r="B33" s="3" t="inlineStr">
        <is>
          <t>ali_my</t>
        </is>
      </c>
      <c r="C33" s="3" t="n">
        <v>400</v>
      </c>
      <c r="D33" s="3" t="n">
        <v>0</v>
      </c>
      <c r="E33" s="8" t="inlineStr">
        <is>
          <t>缺失</t>
        </is>
      </c>
      <c r="F33" s="8" t="inlineStr">
        <is>
          <t>缺失</t>
        </is>
      </c>
      <c r="G33" s="8" t="inlineStr">
        <is>
          <t>缺失</t>
        </is>
      </c>
      <c r="H33" s="8" t="n">
        <v>18.0176318064332</v>
      </c>
    </row>
    <row r="34" ht="28" customHeight="1">
      <c r="A34" s="5" t="inlineStr">
        <is>
          <t>office4</t>
        </is>
      </c>
      <c r="B34" s="5" t="inlineStr">
        <is>
          <t>Baseline_gateoff</t>
        </is>
      </c>
      <c r="C34" s="5" t="n">
        <v>400</v>
      </c>
      <c r="D34" s="5" t="n">
        <v>0</v>
      </c>
      <c r="E34" s="9" t="n">
        <v>843.211803</v>
      </c>
      <c r="F34" s="9" t="n">
        <v>2.1080295075</v>
      </c>
      <c r="G34" s="9" t="inlineStr">
        <is>
          <t>缺失</t>
        </is>
      </c>
      <c r="H34" s="9" t="n">
        <v>15.63677126262337</v>
      </c>
    </row>
    <row r="35" ht="28" customHeight="1">
      <c r="A35" s="3" t="inlineStr">
        <is>
          <t>office4</t>
        </is>
      </c>
      <c r="B35" s="3" t="inlineStr">
        <is>
          <t>v7_CLIP</t>
        </is>
      </c>
      <c r="C35" s="3" t="n">
        <v>400</v>
      </c>
      <c r="D35" s="3" t="n">
        <v>1434</v>
      </c>
      <c r="E35" s="8" t="n">
        <v>6449.576653</v>
      </c>
      <c r="F35" s="8" t="n">
        <v>16.1239416325</v>
      </c>
      <c r="G35" s="8" t="inlineStr">
        <is>
          <t>缺失</t>
        </is>
      </c>
      <c r="H35" s="8" t="n">
        <v>21.94648359715939</v>
      </c>
    </row>
    <row r="36" ht="28" customHeight="1">
      <c r="A36" s="5" t="inlineStr">
        <is>
          <t>office4</t>
        </is>
      </c>
      <c r="B36" s="5" t="inlineStr">
        <is>
          <t>OVI_MAP</t>
        </is>
      </c>
      <c r="C36" s="5" t="n">
        <v>400</v>
      </c>
      <c r="D36" s="5" t="n">
        <v>602</v>
      </c>
      <c r="E36" s="9" t="n">
        <v>1807.68</v>
      </c>
      <c r="F36" s="9" t="n">
        <v>4.519200000000001</v>
      </c>
      <c r="G36" s="9" t="inlineStr">
        <is>
          <t>缺失</t>
        </is>
      </c>
      <c r="H36" s="9" t="n">
        <v>9.979994501918554</v>
      </c>
    </row>
    <row r="37" ht="28" customHeight="1">
      <c r="A37" s="3" t="inlineStr">
        <is>
          <t>office4</t>
        </is>
      </c>
      <c r="B37" s="3" t="inlineStr">
        <is>
          <t>ali_my</t>
        </is>
      </c>
      <c r="C37" s="3" t="n">
        <v>400</v>
      </c>
      <c r="D37" s="3" t="n">
        <v>0</v>
      </c>
      <c r="E37" s="8" t="inlineStr">
        <is>
          <t>缺失</t>
        </is>
      </c>
      <c r="F37" s="8" t="inlineStr">
        <is>
          <t>缺失</t>
        </is>
      </c>
      <c r="G37" s="8" t="inlineStr">
        <is>
          <t>缺失</t>
        </is>
      </c>
      <c r="H37" s="8" t="n">
        <v>16.00063448678702</v>
      </c>
    </row>
    <row r="38" ht="28" customHeight="1">
      <c r="A38" s="3" t="inlineStr">
        <is>
          <t>office2</t>
        </is>
      </c>
      <c r="B38" s="3" t="inlineStr">
        <is>
          <t>v7_merge_re</t>
        </is>
      </c>
      <c r="C38" s="3" t="n">
        <v>400</v>
      </c>
      <c r="D38" s="3" t="inlineStr">
        <is>
          <t>缺失（未核实）</t>
        </is>
      </c>
      <c r="E38" s="8" t="n">
        <v>17355.556422</v>
      </c>
      <c r="F38" s="8" t="n">
        <v>43.388891055</v>
      </c>
      <c r="G38" s="8" t="inlineStr">
        <is>
          <t>缺失</t>
        </is>
      </c>
      <c r="H38" s="8" t="n">
        <v>15.84506328310817</v>
      </c>
    </row>
    <row r="39" ht="28" customHeight="1">
      <c r="A39" s="3" t="inlineStr">
        <is>
          <t>office2</t>
        </is>
      </c>
      <c r="B39" s="3" t="inlineStr">
        <is>
          <t>v7_merge</t>
        </is>
      </c>
      <c r="C39" s="3" t="n">
        <v>400</v>
      </c>
      <c r="D39" s="3" t="inlineStr">
        <is>
          <t>缺失（未核实）</t>
        </is>
      </c>
      <c r="E39" s="8" t="n">
        <v>8011.27121</v>
      </c>
      <c r="F39" s="8" t="n">
        <v>20.028178025</v>
      </c>
      <c r="G39" s="8" t="inlineStr">
        <is>
          <t>缺失</t>
        </is>
      </c>
      <c r="H39" s="8" t="n">
        <v>21.67623447161168</v>
      </c>
    </row>
    <row r="40" ht="28" customHeight="1">
      <c r="A40" s="3" t="inlineStr">
        <is>
          <t>room0</t>
        </is>
      </c>
      <c r="B40" s="3" t="inlineStr">
        <is>
          <t>TwoRoad（融合旧读出）</t>
        </is>
      </c>
      <c r="C40" s="3" t="n">
        <v>400</v>
      </c>
      <c r="D40" s="3" t="inlineStr">
        <is>
          <t>缺失（未核实）</t>
        </is>
      </c>
      <c r="E40" s="8" t="n">
        <v>11399.950106</v>
      </c>
      <c r="F40" s="8" t="n">
        <v>28.499875265</v>
      </c>
      <c r="G40" s="8" t="inlineStr">
        <is>
          <t>缺失</t>
        </is>
      </c>
      <c r="H40" s="8" t="n">
        <v>29.32743332069367</v>
      </c>
    </row>
    <row r="41" ht="32" customHeight="1">
      <c r="A41" s="12" t="inlineStr">
        <is>
          <t>room0</t>
        </is>
      </c>
      <c r="B41" s="12" t="inlineStr">
        <is>
          <t>CLIP+bbox读出</t>
        </is>
      </c>
      <c r="C41" s="17" t="n">
        <v>400</v>
      </c>
      <c r="D41" s="17" t="n">
        <v>0</v>
      </c>
      <c r="E41" s="18" t="inlineStr">
        <is>
          <t>本次未建图</t>
        </is>
      </c>
      <c r="F41" s="18" t="inlineStr">
        <is>
          <t>不适用</t>
        </is>
      </c>
      <c r="G41" s="18" t="inlineStr">
        <is>
          <t>离线读出</t>
        </is>
      </c>
      <c r="H41" s="18" t="n">
        <v>0.5148186571896076</v>
      </c>
    </row>
    <row r="42" ht="32" customHeight="1">
      <c r="A42" s="12" t="inlineStr">
        <is>
          <t>room1</t>
        </is>
      </c>
      <c r="B42" s="12" t="inlineStr">
        <is>
          <t>CLIP+bbox读出</t>
        </is>
      </c>
      <c r="C42" s="17" t="n">
        <v>400</v>
      </c>
      <c r="D42" s="17" t="n">
        <v>0</v>
      </c>
      <c r="E42" s="18" t="inlineStr">
        <is>
          <t>本次未建图</t>
        </is>
      </c>
      <c r="F42" s="18" t="inlineStr">
        <is>
          <t>不适用</t>
        </is>
      </c>
      <c r="G42" s="18" t="inlineStr">
        <is>
          <t>离线读出</t>
        </is>
      </c>
      <c r="H42" s="18" t="n">
        <v>0.362141340970993</v>
      </c>
    </row>
    <row r="43" ht="32" customHeight="1">
      <c r="A43" s="12" t="inlineStr">
        <is>
          <t>room2</t>
        </is>
      </c>
      <c r="B43" s="12" t="inlineStr">
        <is>
          <t>CLIP+bbox读出</t>
        </is>
      </c>
      <c r="C43" s="17" t="n">
        <v>400</v>
      </c>
      <c r="D43" s="17" t="n">
        <v>0</v>
      </c>
      <c r="E43" s="18" t="inlineStr">
        <is>
          <t>本次未建图</t>
        </is>
      </c>
      <c r="F43" s="18" t="inlineStr">
        <is>
          <t>不适用</t>
        </is>
      </c>
      <c r="G43" s="18" t="inlineStr">
        <is>
          <t>离线读出</t>
        </is>
      </c>
      <c r="H43" s="18" t="n">
        <v>0.380177847109735</v>
      </c>
    </row>
    <row r="44" ht="32" customHeight="1">
      <c r="A44" s="12" t="inlineStr">
        <is>
          <t>office0</t>
        </is>
      </c>
      <c r="B44" s="12" t="inlineStr">
        <is>
          <t>CLIP+bbox读出</t>
        </is>
      </c>
      <c r="C44" s="17" t="n">
        <v>400</v>
      </c>
      <c r="D44" s="17" t="n">
        <v>0</v>
      </c>
      <c r="E44" s="18" t="inlineStr">
        <is>
          <t>本次未建图</t>
        </is>
      </c>
      <c r="F44" s="18" t="inlineStr">
        <is>
          <t>不适用</t>
        </is>
      </c>
      <c r="G44" s="18" t="inlineStr">
        <is>
          <t>离线读出</t>
        </is>
      </c>
      <c r="H44" s="18" t="n">
        <v>0.2998405899852514</v>
      </c>
    </row>
    <row r="45" ht="32" customHeight="1">
      <c r="A45" s="12" t="inlineStr">
        <is>
          <t>office1</t>
        </is>
      </c>
      <c r="B45" s="12" t="inlineStr">
        <is>
          <t>CLIP+bbox读出</t>
        </is>
      </c>
      <c r="C45" s="17" t="n">
        <v>400</v>
      </c>
      <c r="D45" s="17" t="n">
        <v>0</v>
      </c>
      <c r="E45" s="18" t="inlineStr">
        <is>
          <t>本次未建图</t>
        </is>
      </c>
      <c r="F45" s="18" t="inlineStr">
        <is>
          <t>不适用</t>
        </is>
      </c>
      <c r="G45" s="18" t="inlineStr">
        <is>
          <t>离线读出</t>
        </is>
      </c>
      <c r="H45" s="18" t="n">
        <v>0.219181327149272</v>
      </c>
    </row>
    <row r="46" ht="32" customHeight="1">
      <c r="A46" s="12" t="inlineStr">
        <is>
          <t>office2</t>
        </is>
      </c>
      <c r="B46" s="12" t="inlineStr">
        <is>
          <t>CLIP+bbox读出</t>
        </is>
      </c>
      <c r="C46" s="17" t="n">
        <v>400</v>
      </c>
      <c r="D46" s="17" t="n">
        <v>0</v>
      </c>
      <c r="E46" s="18" t="inlineStr">
        <is>
          <t>本次未建图</t>
        </is>
      </c>
      <c r="F46" s="18" t="inlineStr">
        <is>
          <t>不适用</t>
        </is>
      </c>
      <c r="G46" s="18" t="inlineStr">
        <is>
          <t>离线读出</t>
        </is>
      </c>
      <c r="H46" s="18" t="n">
        <v>0.4412639290094376</v>
      </c>
    </row>
    <row r="47" ht="32" customHeight="1">
      <c r="A47" s="12" t="inlineStr">
        <is>
          <t>office3</t>
        </is>
      </c>
      <c r="B47" s="12" t="inlineStr">
        <is>
          <t>CLIP+bbox读出</t>
        </is>
      </c>
      <c r="C47" s="17" t="n">
        <v>400</v>
      </c>
      <c r="D47" s="17" t="n">
        <v>0</v>
      </c>
      <c r="E47" s="18" t="inlineStr">
        <is>
          <t>本次未建图</t>
        </is>
      </c>
      <c r="F47" s="18" t="inlineStr">
        <is>
          <t>不适用</t>
        </is>
      </c>
      <c r="G47" s="18" t="inlineStr">
        <is>
          <t>离线读出</t>
        </is>
      </c>
      <c r="H47" s="18" t="n">
        <v>0.6067395582795143</v>
      </c>
    </row>
    <row r="48" ht="32" customHeight="1">
      <c r="A48" s="12" t="inlineStr">
        <is>
          <t>office4</t>
        </is>
      </c>
      <c r="B48" s="12" t="inlineStr">
        <is>
          <t>CLIP+bbox读出</t>
        </is>
      </c>
      <c r="C48" s="17" t="n">
        <v>400</v>
      </c>
      <c r="D48" s="17" t="n">
        <v>0</v>
      </c>
      <c r="E48" s="18" t="inlineStr">
        <is>
          <t>本次未建图</t>
        </is>
      </c>
      <c r="F48" s="18" t="inlineStr">
        <is>
          <t>不适用</t>
        </is>
      </c>
      <c r="G48" s="18" t="inlineStr">
        <is>
          <t>离线读出</t>
        </is>
      </c>
      <c r="H48" s="18" t="n">
        <v>0.5083196284249425</v>
      </c>
    </row>
    <row r="49" ht="32" customHeight="1">
      <c r="A49" s="12" t="inlineStr">
        <is>
          <t>room0</t>
        </is>
      </c>
      <c r="B49" s="12" t="inlineStr">
        <is>
          <t>TwoRoad bbox读出</t>
        </is>
      </c>
      <c r="C49" s="17" t="n">
        <v>400</v>
      </c>
      <c r="D49" s="17" t="n">
        <v>0</v>
      </c>
      <c r="E49" s="18" t="inlineStr">
        <is>
          <t>本次未建图</t>
        </is>
      </c>
      <c r="F49" s="18" t="inlineStr">
        <is>
          <t>不适用</t>
        </is>
      </c>
      <c r="G49" s="18" t="inlineStr">
        <is>
          <t>离线读出</t>
        </is>
      </c>
      <c r="H49" s="18" t="n">
        <v>18.83617548458278</v>
      </c>
    </row>
    <row r="50" ht="28" customHeight="1">
      <c r="A50" s="3" t="inlineStr">
        <is>
          <t>room1</t>
        </is>
      </c>
      <c r="B50" s="3" t="inlineStr">
        <is>
          <t>v7_CLIP_v3</t>
        </is>
      </c>
      <c r="C50" s="3" t="n">
        <v>400</v>
      </c>
      <c r="D50" s="3" t="n">
        <v>2319</v>
      </c>
      <c r="E50" s="8" t="n">
        <v>7992.391973</v>
      </c>
      <c r="F50" s="8" t="n">
        <v>19.9809799325</v>
      </c>
      <c r="G50" s="8" t="inlineStr">
        <is>
          <t>缺失</t>
        </is>
      </c>
      <c r="H50" s="8" t="n">
        <v>12.7109316252172</v>
      </c>
    </row>
    <row r="51" ht="28" customHeight="1">
      <c r="A51" s="3" t="inlineStr">
        <is>
          <t>room2</t>
        </is>
      </c>
      <c r="B51" s="3" t="inlineStr">
        <is>
          <t>v7_CLIP_v3</t>
        </is>
      </c>
      <c r="C51" s="3" t="n">
        <v>400</v>
      </c>
      <c r="D51" s="3" t="n">
        <v>1186</v>
      </c>
      <c r="E51" s="8" t="n">
        <v>4626.634194</v>
      </c>
      <c r="F51" s="8" t="n">
        <v>11.566585485</v>
      </c>
      <c r="G51" s="8" t="inlineStr">
        <is>
          <t>缺失</t>
        </is>
      </c>
      <c r="H51" s="8" t="n">
        <v>13.91700682230294</v>
      </c>
    </row>
    <row r="52" ht="28" customHeight="1">
      <c r="A52" s="3" t="inlineStr">
        <is>
          <t>office0</t>
        </is>
      </c>
      <c r="B52" s="3" t="inlineStr">
        <is>
          <t>v7_CLIP_v3</t>
        </is>
      </c>
      <c r="C52" s="3" t="n">
        <v>400</v>
      </c>
      <c r="D52" s="3" t="n">
        <v>1123</v>
      </c>
      <c r="E52" s="8" t="n">
        <v>3681.700863</v>
      </c>
      <c r="F52" s="8" t="n">
        <v>9.204252157500001</v>
      </c>
      <c r="G52" s="8" t="inlineStr">
        <is>
          <t>缺失</t>
        </is>
      </c>
      <c r="H52" s="8" t="n">
        <v>11.0212169252336</v>
      </c>
    </row>
    <row r="53" ht="28" customHeight="1">
      <c r="A53" s="3" t="inlineStr">
        <is>
          <t>office1</t>
        </is>
      </c>
      <c r="B53" s="3" t="inlineStr">
        <is>
          <t>v7_CLIP_v3</t>
        </is>
      </c>
      <c r="C53" s="3" t="n">
        <v>400</v>
      </c>
      <c r="D53" s="3" t="n">
        <v>1043</v>
      </c>
      <c r="E53" s="8" t="n">
        <v>4415.540595</v>
      </c>
      <c r="F53" s="8" t="n">
        <v>11.0388514875</v>
      </c>
      <c r="G53" s="8" t="inlineStr">
        <is>
          <t>缺失</t>
        </is>
      </c>
      <c r="H53" s="8" t="n">
        <v>10.33568796049803</v>
      </c>
    </row>
    <row r="54" ht="28" customHeight="1">
      <c r="A54" s="3" t="inlineStr">
        <is>
          <t>office2</t>
        </is>
      </c>
      <c r="B54" s="3" t="inlineStr">
        <is>
          <t>v7_CLIP_v3</t>
        </is>
      </c>
      <c r="C54" s="3" t="n">
        <v>400</v>
      </c>
      <c r="D54" s="3" t="n">
        <v>3367</v>
      </c>
      <c r="E54" s="8" t="n">
        <v>13606.605541</v>
      </c>
      <c r="F54" s="8" t="n">
        <v>34.0165138525</v>
      </c>
      <c r="G54" s="8" t="inlineStr">
        <is>
          <t>缺失</t>
        </is>
      </c>
      <c r="H54" s="8" t="n">
        <v>16.02963855583221</v>
      </c>
    </row>
    <row r="55" ht="42" customHeight="1">
      <c r="A55" s="3" t="inlineStr">
        <is>
          <t>room0</t>
        </is>
      </c>
      <c r="B55" s="3" t="inlineStr">
        <is>
          <t>A ali-my bff233f</t>
        </is>
      </c>
      <c r="C55" s="3" t="n">
        <v>400</v>
      </c>
      <c r="D55" s="3" t="n">
        <v>0</v>
      </c>
      <c r="E55" s="8" t="inlineStr">
        <is>
          <t>缺失</t>
        </is>
      </c>
      <c r="F55" s="8" t="inlineStr">
        <is>
          <t>缺失</t>
        </is>
      </c>
      <c r="G55" s="8" t="inlineStr">
        <is>
          <t>缺失</t>
        </is>
      </c>
      <c r="H55" s="8" t="n">
        <v>33.11317836586386</v>
      </c>
    </row>
    <row r="56" ht="42" customHeight="1">
      <c r="A56" s="3" t="inlineStr">
        <is>
          <t>room0</t>
        </is>
      </c>
      <c r="B56" s="3" t="inlineStr">
        <is>
          <t>B 原图（无VLM）</t>
        </is>
      </c>
      <c r="C56" s="3" t="n">
        <v>400</v>
      </c>
      <c r="D56" s="3" t="n">
        <v>0</v>
      </c>
      <c r="E56" s="8" t="n">
        <v>2783.466422080994</v>
      </c>
      <c r="F56" s="8">
        <f>E56/C56</f>
        <v/>
      </c>
      <c r="G56" s="8" t="inlineStr">
        <is>
          <t>缺失</t>
        </is>
      </c>
      <c r="H56" s="8" t="n">
        <v>33.63080935180187</v>
      </c>
    </row>
    <row r="57" ht="42" customHeight="1">
      <c r="A57" s="3" t="inlineStr">
        <is>
          <t>room0</t>
        </is>
      </c>
      <c r="B57" s="3" t="inlineStr">
        <is>
          <t>C 原图+CLIP（无VLM）</t>
        </is>
      </c>
      <c r="C57" s="3" t="n">
        <v>400</v>
      </c>
      <c r="D57" s="3" t="n">
        <v>0</v>
      </c>
      <c r="E57" s="8" t="n">
        <v>4342.007757425308</v>
      </c>
      <c r="F57" s="8">
        <f>E57/C57</f>
        <v/>
      </c>
      <c r="G57" s="8" t="n">
        <v>4342.007757425308</v>
      </c>
      <c r="H57" s="8" t="n">
        <v>34.1516664493829</v>
      </c>
    </row>
    <row r="58" ht="42" customHeight="1">
      <c r="A58" s="3" t="inlineStr">
        <is>
          <t>room1</t>
        </is>
      </c>
      <c r="B58" s="3" t="inlineStr">
        <is>
          <t>A ali-my bff233f</t>
        </is>
      </c>
      <c r="C58" s="3" t="n">
        <v>400</v>
      </c>
      <c r="D58" s="3" t="n">
        <v>0</v>
      </c>
      <c r="E58" s="8" t="inlineStr">
        <is>
          <t>缺失</t>
        </is>
      </c>
      <c r="F58" s="8" t="inlineStr">
        <is>
          <t>缺失</t>
        </is>
      </c>
      <c r="G58" s="8" t="inlineStr">
        <is>
          <t>缺失</t>
        </is>
      </c>
      <c r="H58" s="8" t="n">
        <v>17.11152618005872</v>
      </c>
    </row>
    <row r="59" ht="42" customHeight="1">
      <c r="A59" s="3" t="inlineStr">
        <is>
          <t>room1</t>
        </is>
      </c>
      <c r="B59" s="3" t="inlineStr">
        <is>
          <t>B 原图（无VLM）</t>
        </is>
      </c>
      <c r="C59" s="3" t="n">
        <v>400</v>
      </c>
      <c r="D59" s="3" t="n">
        <v>0</v>
      </c>
      <c r="E59" s="8" t="n">
        <v>1641.340011119843</v>
      </c>
      <c r="F59" s="8">
        <f>E59/C59</f>
        <v/>
      </c>
      <c r="G59" s="8" t="inlineStr">
        <is>
          <t>缺失</t>
        </is>
      </c>
      <c r="H59" s="8" t="n">
        <v>16.94824093952775</v>
      </c>
    </row>
    <row r="60" ht="42" customHeight="1">
      <c r="A60" s="3" t="inlineStr">
        <is>
          <t>room1</t>
        </is>
      </c>
      <c r="B60" s="3" t="inlineStr">
        <is>
          <t>C 原图+CLIP（无VLM）</t>
        </is>
      </c>
      <c r="C60" s="3" t="n">
        <v>400</v>
      </c>
      <c r="D60" s="3" t="n">
        <v>0</v>
      </c>
      <c r="E60" s="8" t="n">
        <v>2556.928993225098</v>
      </c>
      <c r="F60" s="8">
        <f>E60/C60</f>
        <v/>
      </c>
      <c r="G60" s="8" t="n">
        <v>2556.928993225098</v>
      </c>
      <c r="H60" s="8" t="n">
        <v>13.76705645397305</v>
      </c>
    </row>
    <row r="61" ht="42" customHeight="1">
      <c r="A61" s="3" t="inlineStr">
        <is>
          <t>room2</t>
        </is>
      </c>
      <c r="B61" s="3" t="inlineStr">
        <is>
          <t>A ali-my bff233f</t>
        </is>
      </c>
      <c r="C61" s="3" t="n">
        <v>400</v>
      </c>
      <c r="D61" s="3" t="n">
        <v>0</v>
      </c>
      <c r="E61" s="8" t="inlineStr">
        <is>
          <t>缺失</t>
        </is>
      </c>
      <c r="F61" s="8" t="inlineStr">
        <is>
          <t>缺失</t>
        </is>
      </c>
      <c r="G61" s="8" t="inlineStr">
        <is>
          <t>缺失</t>
        </is>
      </c>
      <c r="H61" s="8" t="n">
        <v>18.20067461300641</v>
      </c>
    </row>
    <row r="62" ht="42" customHeight="1">
      <c r="A62" s="3" t="inlineStr">
        <is>
          <t>room2</t>
        </is>
      </c>
      <c r="B62" s="3" t="inlineStr">
        <is>
          <t>B 原图（无VLM）</t>
        </is>
      </c>
      <c r="C62" s="3" t="n">
        <v>400</v>
      </c>
      <c r="D62" s="3" t="n">
        <v>0</v>
      </c>
      <c r="E62" s="8" t="n">
        <v>1453.645392894745</v>
      </c>
      <c r="F62" s="8">
        <f>E62/C62</f>
        <v/>
      </c>
      <c r="G62" s="8" t="inlineStr">
        <is>
          <t>缺失</t>
        </is>
      </c>
      <c r="H62" s="8" t="n">
        <v>20.05520059075207</v>
      </c>
    </row>
    <row r="63" ht="42" customHeight="1">
      <c r="A63" s="3" t="inlineStr">
        <is>
          <t>room2</t>
        </is>
      </c>
      <c r="B63" s="3" t="inlineStr">
        <is>
          <t>C 原图+CLIP（无VLM）</t>
        </is>
      </c>
      <c r="C63" s="3" t="n">
        <v>400</v>
      </c>
      <c r="D63" s="3" t="n">
        <v>0</v>
      </c>
      <c r="E63" s="8" t="n">
        <v>2695.654410123825</v>
      </c>
      <c r="F63" s="8">
        <f>E63/C63</f>
        <v/>
      </c>
      <c r="G63" s="8" t="n">
        <v>2695.654410123825</v>
      </c>
      <c r="H63" s="8" t="n">
        <v>15.63212918955833</v>
      </c>
    </row>
    <row r="64" ht="42" customHeight="1">
      <c r="A64" s="3" t="inlineStr">
        <is>
          <t>office0</t>
        </is>
      </c>
      <c r="B64" s="3" t="inlineStr">
        <is>
          <t>A ali-my bff233f</t>
        </is>
      </c>
      <c r="C64" s="3" t="n">
        <v>400</v>
      </c>
      <c r="D64" s="3" t="n">
        <v>0</v>
      </c>
      <c r="E64" s="8" t="inlineStr">
        <is>
          <t>缺失</t>
        </is>
      </c>
      <c r="F64" s="8" t="inlineStr">
        <is>
          <t>缺失</t>
        </is>
      </c>
      <c r="G64" s="8" t="inlineStr">
        <is>
          <t>缺失</t>
        </is>
      </c>
      <c r="H64" s="8" t="n">
        <v>10.72616327833384</v>
      </c>
    </row>
    <row r="65" ht="42" customHeight="1">
      <c r="A65" s="3" t="inlineStr">
        <is>
          <t>office0</t>
        </is>
      </c>
      <c r="B65" s="3" t="inlineStr">
        <is>
          <t>B 原图（无VLM）</t>
        </is>
      </c>
      <c r="C65" s="3" t="n">
        <v>400</v>
      </c>
      <c r="D65" s="3" t="n">
        <v>0</v>
      </c>
      <c r="E65" s="8" t="n">
        <v>1025.707487821579</v>
      </c>
      <c r="F65" s="8">
        <f>E65/C65</f>
        <v/>
      </c>
      <c r="G65" s="8" t="inlineStr">
        <is>
          <t>缺失</t>
        </is>
      </c>
      <c r="H65" s="8" t="n">
        <v>12.46581593994051</v>
      </c>
    </row>
    <row r="66" ht="42" customHeight="1">
      <c r="A66" s="3" t="inlineStr">
        <is>
          <t>office0</t>
        </is>
      </c>
      <c r="B66" s="3" t="inlineStr">
        <is>
          <t>C 原图+CLIP（无VLM）</t>
        </is>
      </c>
      <c r="C66" s="3" t="n">
        <v>400</v>
      </c>
      <c r="D66" s="3" t="n">
        <v>0</v>
      </c>
      <c r="E66" s="8" t="n">
        <v>1826.896062612534</v>
      </c>
      <c r="F66" s="8">
        <f>E66/C66</f>
        <v/>
      </c>
      <c r="G66" s="8" t="n">
        <v>1826.896062612534</v>
      </c>
      <c r="H66" s="8" t="n">
        <v>15.75327025540173</v>
      </c>
    </row>
    <row r="67" ht="42" customHeight="1">
      <c r="A67" s="3" t="inlineStr">
        <is>
          <t>office1</t>
        </is>
      </c>
      <c r="B67" s="3" t="inlineStr">
        <is>
          <t>A ali-my bff233f</t>
        </is>
      </c>
      <c r="C67" s="3" t="n">
        <v>400</v>
      </c>
      <c r="D67" s="3" t="n">
        <v>0</v>
      </c>
      <c r="E67" s="8" t="inlineStr">
        <is>
          <t>缺失</t>
        </is>
      </c>
      <c r="F67" s="8" t="inlineStr">
        <is>
          <t>缺失</t>
        </is>
      </c>
      <c r="G67" s="8" t="inlineStr">
        <is>
          <t>缺失</t>
        </is>
      </c>
      <c r="H67" s="8" t="n">
        <v>10.16648636106402</v>
      </c>
    </row>
    <row r="68" ht="42" customHeight="1">
      <c r="A68" s="3" t="inlineStr">
        <is>
          <t>office1</t>
        </is>
      </c>
      <c r="B68" s="3" t="inlineStr">
        <is>
          <t>B 原图（无VLM）</t>
        </is>
      </c>
      <c r="C68" s="3" t="n">
        <v>400</v>
      </c>
      <c r="D68" s="3" t="n">
        <v>0</v>
      </c>
      <c r="E68" s="8" t="n">
        <v>908.5986890792847</v>
      </c>
      <c r="F68" s="8">
        <f>E68/C68</f>
        <v/>
      </c>
      <c r="G68" s="8" t="inlineStr">
        <is>
          <t>缺失</t>
        </is>
      </c>
      <c r="H68" s="8" t="n">
        <v>12.12903027143329</v>
      </c>
    </row>
    <row r="69" ht="42" customHeight="1">
      <c r="A69" s="3" t="inlineStr">
        <is>
          <t>office1</t>
        </is>
      </c>
      <c r="B69" s="3" t="inlineStr">
        <is>
          <t>C 原图+CLIP（无VLM）</t>
        </is>
      </c>
      <c r="C69" s="3" t="n">
        <v>400</v>
      </c>
      <c r="D69" s="3" t="n">
        <v>0</v>
      </c>
      <c r="E69" s="8" t="n">
        <v>2184.017697572708</v>
      </c>
      <c r="F69" s="8">
        <f>E69/C69</f>
        <v/>
      </c>
      <c r="G69" s="8" t="n">
        <v>2184.017697572708</v>
      </c>
      <c r="H69" s="8" t="n">
        <v>15.5737386662513</v>
      </c>
    </row>
    <row r="70" ht="42" customHeight="1">
      <c r="A70" s="3" t="inlineStr">
        <is>
          <t>office2</t>
        </is>
      </c>
      <c r="B70" s="3" t="inlineStr">
        <is>
          <t>A ali-my bff233f</t>
        </is>
      </c>
      <c r="C70" s="3" t="n">
        <v>400</v>
      </c>
      <c r="D70" s="3" t="n">
        <v>0</v>
      </c>
      <c r="E70" s="8" t="inlineStr">
        <is>
          <t>缺失</t>
        </is>
      </c>
      <c r="F70" s="8" t="inlineStr">
        <is>
          <t>缺失</t>
        </is>
      </c>
      <c r="G70" s="8" t="inlineStr">
        <is>
          <t>缺失</t>
        </is>
      </c>
      <c r="H70" s="8" t="n">
        <v>13.02881604805589</v>
      </c>
    </row>
    <row r="71" ht="42" customHeight="1">
      <c r="A71" s="3" t="inlineStr">
        <is>
          <t>office2</t>
        </is>
      </c>
      <c r="B71" s="3" t="inlineStr">
        <is>
          <t>B 原图（无VLM）</t>
        </is>
      </c>
      <c r="C71" s="3" t="n">
        <v>400</v>
      </c>
      <c r="D71" s="3" t="n">
        <v>0</v>
      </c>
      <c r="E71" s="8" t="n">
        <v>2044.062621355057</v>
      </c>
      <c r="F71" s="8">
        <f>E71/C71</f>
        <v/>
      </c>
      <c r="G71" s="8" t="inlineStr">
        <is>
          <t>缺失</t>
        </is>
      </c>
      <c r="H71" s="8" t="n">
        <v>14.87257890962064</v>
      </c>
    </row>
    <row r="72" ht="42" customHeight="1">
      <c r="A72" s="3" t="inlineStr">
        <is>
          <t>office2</t>
        </is>
      </c>
      <c r="B72" s="3" t="inlineStr">
        <is>
          <t>C 原图+CLIP（无VLM）</t>
        </is>
      </c>
      <c r="C72" s="3" t="n">
        <v>400</v>
      </c>
      <c r="D72" s="3" t="n">
        <v>0</v>
      </c>
      <c r="E72" s="8" t="n">
        <v>3121.952313661575</v>
      </c>
      <c r="F72" s="8">
        <f>E72/C72</f>
        <v/>
      </c>
      <c r="G72" s="8" t="n">
        <v>3121.952313661575</v>
      </c>
      <c r="H72" s="8" t="n">
        <v>14.7026820005849</v>
      </c>
    </row>
    <row r="73" ht="42" customHeight="1">
      <c r="A73" s="3" t="inlineStr">
        <is>
          <t>office3</t>
        </is>
      </c>
      <c r="B73" s="3" t="inlineStr">
        <is>
          <t>A ali-my bff233f</t>
        </is>
      </c>
      <c r="C73" s="3" t="n">
        <v>400</v>
      </c>
      <c r="D73" s="3" t="n">
        <v>0</v>
      </c>
      <c r="E73" s="8" t="inlineStr">
        <is>
          <t>缺失</t>
        </is>
      </c>
      <c r="F73" s="8" t="inlineStr">
        <is>
          <t>缺失</t>
        </is>
      </c>
      <c r="G73" s="8" t="inlineStr">
        <is>
          <t>缺失</t>
        </is>
      </c>
      <c r="H73" s="8" t="n">
        <v>20.56423601787537</v>
      </c>
    </row>
    <row r="74" ht="42" customHeight="1">
      <c r="A74" s="3" t="inlineStr">
        <is>
          <t>office3</t>
        </is>
      </c>
      <c r="B74" s="3" t="inlineStr">
        <is>
          <t>B 原图（无VLM）</t>
        </is>
      </c>
      <c r="C74" s="3" t="n">
        <v>400</v>
      </c>
      <c r="D74" s="3" t="n">
        <v>0</v>
      </c>
      <c r="E74" s="8" t="n">
        <v>2243.429654598236</v>
      </c>
      <c r="F74" s="8">
        <f>E74/C74</f>
        <v/>
      </c>
      <c r="G74" s="8" t="inlineStr">
        <is>
          <t>缺失</t>
        </is>
      </c>
      <c r="H74" s="8" t="n">
        <v>22.82276303973049</v>
      </c>
    </row>
    <row r="75" ht="42" customHeight="1">
      <c r="A75" s="3" t="inlineStr">
        <is>
          <t>office3</t>
        </is>
      </c>
      <c r="B75" s="3" t="inlineStr">
        <is>
          <t>C 原图+CLIP（无VLM）</t>
        </is>
      </c>
      <c r="C75" s="3" t="n">
        <v>400</v>
      </c>
      <c r="D75" s="3" t="n">
        <v>0</v>
      </c>
      <c r="E75" s="8" t="n">
        <v>2280.996458053589</v>
      </c>
      <c r="F75" s="8">
        <f>E75/C75</f>
        <v/>
      </c>
      <c r="G75" s="8" t="inlineStr">
        <is>
          <t>缺失</t>
        </is>
      </c>
      <c r="H75" s="8" t="n">
        <v>22.18930451385677</v>
      </c>
    </row>
    <row r="76" ht="42" customHeight="1">
      <c r="A76" s="3" t="inlineStr">
        <is>
          <t>office4</t>
        </is>
      </c>
      <c r="B76" s="3" t="inlineStr">
        <is>
          <t>A ali-my bff233f</t>
        </is>
      </c>
      <c r="C76" s="3" t="n">
        <v>400</v>
      </c>
      <c r="D76" s="3" t="n">
        <v>0</v>
      </c>
      <c r="E76" s="8" t="inlineStr">
        <is>
          <t>缺失</t>
        </is>
      </c>
      <c r="F76" s="8" t="inlineStr">
        <is>
          <t>缺失</t>
        </is>
      </c>
      <c r="G76" s="8" t="inlineStr">
        <is>
          <t>缺失</t>
        </is>
      </c>
      <c r="H76" s="8" t="n">
        <v>16.50374036002904</v>
      </c>
    </row>
    <row r="77" ht="42" customHeight="1">
      <c r="A77" s="3" t="inlineStr">
        <is>
          <t>office4</t>
        </is>
      </c>
      <c r="B77" s="3" t="inlineStr">
        <is>
          <t>B 原图（无VLM）</t>
        </is>
      </c>
      <c r="C77" s="3" t="n">
        <v>400</v>
      </c>
      <c r="D77" s="3" t="n">
        <v>0</v>
      </c>
      <c r="E77" s="8" t="n">
        <v>1774.992936372757</v>
      </c>
      <c r="F77" s="8">
        <f>E77/C77</f>
        <v/>
      </c>
      <c r="G77" s="8" t="inlineStr">
        <is>
          <t>缺失</t>
        </is>
      </c>
      <c r="H77" s="8" t="n">
        <v>16.55685707554221</v>
      </c>
    </row>
    <row r="78" ht="42" customHeight="1">
      <c r="A78" s="3" t="inlineStr">
        <is>
          <t>office4</t>
        </is>
      </c>
      <c r="B78" s="3" t="inlineStr">
        <is>
          <t>C 原图+CLIP（无VLM）</t>
        </is>
      </c>
      <c r="C78" s="3" t="n">
        <v>400</v>
      </c>
      <c r="D78" s="3" t="n">
        <v>0</v>
      </c>
      <c r="E78" s="8" t="n">
        <v>1888.993539810181</v>
      </c>
      <c r="F78" s="8">
        <f>E78/C78</f>
        <v/>
      </c>
      <c r="G78" s="8" t="inlineStr">
        <is>
          <t>缺失</t>
        </is>
      </c>
      <c r="H78" s="8" t="n">
        <v>15.66553650982678</v>
      </c>
    </row>
    <row r="79" ht="28" customHeight="1">
      <c r="A79" s="3" t="inlineStr">
        <is>
          <t>room1</t>
        </is>
      </c>
      <c r="B79" s="3" t="inlineStr">
        <is>
          <t>v7_CLIP_no90</t>
        </is>
      </c>
      <c r="C79" s="3" t="n">
        <v>400</v>
      </c>
      <c r="D79" s="3" t="n">
        <v>1397</v>
      </c>
      <c r="E79" s="8" t="n">
        <v>4915.218968</v>
      </c>
      <c r="F79" s="8" t="n">
        <v>12.28804742</v>
      </c>
      <c r="G79" s="8" t="inlineStr">
        <is>
          <t>缺失</t>
        </is>
      </c>
      <c r="H79" s="8" t="n">
        <v>12.50121143460274</v>
      </c>
    </row>
    <row r="80" ht="28" customHeight="1">
      <c r="A80" s="3" t="inlineStr">
        <is>
          <t>office1</t>
        </is>
      </c>
      <c r="B80" s="3" t="inlineStr">
        <is>
          <t>v7_CLIP_no90</t>
        </is>
      </c>
      <c r="C80" s="3" t="n">
        <v>400</v>
      </c>
      <c r="D80" s="3" t="n">
        <v>758</v>
      </c>
      <c r="E80" s="8" t="n">
        <v>4500.368052</v>
      </c>
      <c r="F80" s="8" t="n">
        <v>11.25092013</v>
      </c>
      <c r="G80" s="8" t="inlineStr">
        <is>
          <t>缺失</t>
        </is>
      </c>
      <c r="H80" s="8" t="n">
        <v>8.776072904467583</v>
      </c>
    </row>
    <row r="81" ht="28" customHeight="1">
      <c r="A81" s="3" t="inlineStr">
        <is>
          <t>room0</t>
        </is>
      </c>
      <c r="B81" s="3" t="inlineStr">
        <is>
          <t>v7_CLIP_no90</t>
        </is>
      </c>
      <c r="C81" s="3" t="n">
        <v>400</v>
      </c>
      <c r="D81" s="3" t="n">
        <v>2225</v>
      </c>
      <c r="E81" s="8" t="n">
        <v>8954.967729</v>
      </c>
      <c r="F81" s="8" t="n">
        <v>22.3874193225</v>
      </c>
      <c r="G81" s="8" t="inlineStr">
        <is>
          <t>缺失</t>
        </is>
      </c>
      <c r="H81" s="8" t="n">
        <v>21.52933114022017</v>
      </c>
    </row>
    <row r="82" ht="28" customHeight="1">
      <c r="A82" s="3" t="inlineStr">
        <is>
          <t>room2</t>
        </is>
      </c>
      <c r="B82" s="3" t="inlineStr">
        <is>
          <t>v7_CLIP_no90</t>
        </is>
      </c>
      <c r="C82" s="3" t="n">
        <v>400</v>
      </c>
      <c r="D82" s="3" t="n">
        <v>1227</v>
      </c>
      <c r="E82" s="8" t="n">
        <v>5500.070154</v>
      </c>
      <c r="F82" s="8" t="n">
        <v>13.750175385</v>
      </c>
      <c r="G82" s="8" t="inlineStr">
        <is>
          <t>缺失</t>
        </is>
      </c>
      <c r="H82" s="8" t="n">
        <v>21.30935441330075</v>
      </c>
    </row>
    <row r="83" ht="28" customHeight="1">
      <c r="A83" s="3" t="inlineStr">
        <is>
          <t>office0</t>
        </is>
      </c>
      <c r="B83" s="3" t="inlineStr">
        <is>
          <t>v7_CLIP_no90</t>
        </is>
      </c>
      <c r="C83" s="3" t="n">
        <v>400</v>
      </c>
      <c r="D83" s="3" t="n">
        <v>444</v>
      </c>
      <c r="E83" s="8" t="n">
        <v>1780.02415</v>
      </c>
      <c r="F83" s="8" t="n">
        <v>4.450060375</v>
      </c>
      <c r="G83" s="8" t="inlineStr">
        <is>
          <t>缺失</t>
        </is>
      </c>
      <c r="H83" s="8" t="n">
        <v>11.44093747809529</v>
      </c>
    </row>
    <row r="84" ht="28" customHeight="1">
      <c r="A84" s="3" t="inlineStr">
        <is>
          <t>office2</t>
        </is>
      </c>
      <c r="B84" s="3" t="inlineStr">
        <is>
          <t>v7_CLIP_no90</t>
        </is>
      </c>
      <c r="C84" s="3" t="n">
        <v>400</v>
      </c>
      <c r="D84" s="3" t="n">
        <v>2446</v>
      </c>
      <c r="E84" s="8" t="n">
        <v>8377.799526999999</v>
      </c>
      <c r="F84" s="8" t="n">
        <v>20.9444988175</v>
      </c>
      <c r="G84" s="8" t="inlineStr">
        <is>
          <t>缺失</t>
        </is>
      </c>
      <c r="H84" s="8" t="n">
        <v>12.74532676115632</v>
      </c>
    </row>
    <row r="85" ht="28" customHeight="1">
      <c r="A85" s="3" t="inlineStr">
        <is>
          <t>office3</t>
        </is>
      </c>
      <c r="B85" s="3" t="inlineStr">
        <is>
          <t>v7_CLIP_no90</t>
        </is>
      </c>
      <c r="C85" s="3" t="n">
        <v>400</v>
      </c>
      <c r="D85" s="3" t="n">
        <v>2933</v>
      </c>
      <c r="E85" s="8" t="n">
        <v>10828.733969</v>
      </c>
      <c r="F85" s="8" t="n">
        <v>27.0718349225</v>
      </c>
      <c r="G85" s="8" t="inlineStr">
        <is>
          <t>缺失</t>
        </is>
      </c>
      <c r="H85" s="8" t="n">
        <v>18.58368047326803</v>
      </c>
    </row>
    <row r="86" ht="28" customHeight="1">
      <c r="A86" s="3" t="inlineStr">
        <is>
          <t>office4</t>
        </is>
      </c>
      <c r="B86" s="3" t="inlineStr">
        <is>
          <t>v7_CLIP_no90</t>
        </is>
      </c>
      <c r="C86" s="3" t="n">
        <v>400</v>
      </c>
      <c r="D86" s="3" t="n">
        <v>1276</v>
      </c>
      <c r="E86" s="8" t="n">
        <v>4550.597111</v>
      </c>
      <c r="F86" s="8" t="n">
        <v>11.3764927775</v>
      </c>
      <c r="G86" s="8" t="inlineStr">
        <is>
          <t>缺失</t>
        </is>
      </c>
      <c r="H86" s="8" t="n">
        <v>13.12181685678661</v>
      </c>
    </row>
    <row r="87"/>
    <row r="88"/>
    <row r="89" ht="32" customHeight="1">
      <c r="A89" s="1" t="inlineStr">
        <is>
          <t>新版原始成本：循环耗时与启动至退出分开报告</t>
        </is>
      </c>
    </row>
    <row r="90" ht="42" customHeight="1">
      <c r="A90" s="30" t="inlineStr">
        <is>
          <t>场景</t>
        </is>
      </c>
      <c r="B90" s="30" t="inlineStr">
        <is>
          <t>方法</t>
        </is>
      </c>
      <c r="C90" s="30" t="inlineStr">
        <is>
          <t>采样帧数</t>
        </is>
      </c>
      <c r="D90" s="30" t="inlineStr">
        <is>
          <t>原生查询次数</t>
        </is>
      </c>
      <c r="E90" s="30" t="inlineStr">
        <is>
          <t>记录建图秒数</t>
        </is>
      </c>
      <c r="F90" s="30" t="inlineStr">
        <is>
          <t>记录建图秒/帧</t>
        </is>
      </c>
      <c r="G90" s="30" t="inlineStr">
        <is>
          <t>端到端秒数</t>
        </is>
      </c>
      <c r="H90" s="30" t="inlineStr">
        <is>
          <t>本次评估秒数</t>
        </is>
      </c>
    </row>
    <row r="91" ht="42" customHeight="1">
      <c r="A91" s="27" t="inlineStr">
        <is>
          <t>room0</t>
        </is>
      </c>
      <c r="B91" s="27" t="inlineStr">
        <is>
          <t>v7_CLIP_no90_new</t>
        </is>
      </c>
      <c r="C91" s="28" t="n">
        <v>400</v>
      </c>
      <c r="D91" s="28" t="n">
        <v>1312</v>
      </c>
      <c r="E91" s="28" t="n">
        <v>4275</v>
      </c>
      <c r="F91" s="34" t="n">
        <v>10.6875</v>
      </c>
      <c r="G91" s="34" t="n">
        <v>4782.196652</v>
      </c>
      <c r="H91" s="34" t="n">
        <v>22.63275344669819</v>
      </c>
    </row>
    <row r="92" ht="42" customHeight="1">
      <c r="A92" s="31" t="inlineStr">
        <is>
          <t>room1</t>
        </is>
      </c>
      <c r="B92" s="31" t="inlineStr">
        <is>
          <t>v7_CLIP_no90_new</t>
        </is>
      </c>
      <c r="C92" s="32" t="n">
        <v>400</v>
      </c>
      <c r="D92" s="32" t="n">
        <v>643</v>
      </c>
      <c r="E92" s="32" t="n">
        <v>1657</v>
      </c>
      <c r="F92" s="35" t="n">
        <v>4.1425</v>
      </c>
      <c r="G92" s="35" t="n">
        <v>1895.422042</v>
      </c>
      <c r="H92" s="35" t="n">
        <v>12.72646998427808</v>
      </c>
    </row>
    <row r="93" ht="42" customHeight="1">
      <c r="A93" s="27" t="inlineStr">
        <is>
          <t>room2</t>
        </is>
      </c>
      <c r="B93" s="27" t="inlineStr">
        <is>
          <t>v7_CLIP_no90_new</t>
        </is>
      </c>
      <c r="C93" s="28" t="n">
        <v>400</v>
      </c>
      <c r="D93" s="28" t="n">
        <v>636</v>
      </c>
      <c r="E93" s="28" t="n">
        <v>3161</v>
      </c>
      <c r="F93" s="34" t="n">
        <v>7.9025</v>
      </c>
      <c r="G93" s="34" t="n">
        <v>3325.228524</v>
      </c>
      <c r="H93" s="34" t="n">
        <v>15.16690520942211</v>
      </c>
    </row>
    <row r="94" ht="42" customHeight="1">
      <c r="A94" s="31" t="inlineStr">
        <is>
          <t>office0</t>
        </is>
      </c>
      <c r="B94" s="31" t="inlineStr">
        <is>
          <t>v7_CLIP_no90_new</t>
        </is>
      </c>
      <c r="C94" s="32" t="n">
        <v>400</v>
      </c>
      <c r="D94" s="32" t="n">
        <v>365</v>
      </c>
      <c r="E94" s="32" t="n">
        <v>1051</v>
      </c>
      <c r="F94" s="35" t="n">
        <v>2.6275</v>
      </c>
      <c r="G94" s="35" t="n">
        <v>1228.353224</v>
      </c>
      <c r="H94" s="35" t="n">
        <v>11.30219359882176</v>
      </c>
    </row>
    <row r="95" ht="42" customHeight="1">
      <c r="A95" s="27" t="inlineStr">
        <is>
          <t>office1</t>
        </is>
      </c>
      <c r="B95" s="27" t="inlineStr">
        <is>
          <t>v7_CLIP_no90_new</t>
        </is>
      </c>
      <c r="C95" s="28" t="n">
        <v>400</v>
      </c>
      <c r="D95" s="28" t="n">
        <v>310</v>
      </c>
      <c r="E95" s="28" t="n">
        <v>959</v>
      </c>
      <c r="F95" s="34" t="n">
        <v>2.3975</v>
      </c>
      <c r="G95" s="34" t="n">
        <v>1136.430083</v>
      </c>
      <c r="H95" s="34" t="n">
        <v>11.43065896444023</v>
      </c>
    </row>
    <row r="96" ht="42" customHeight="1">
      <c r="A96" s="31" t="inlineStr">
        <is>
          <t>office2</t>
        </is>
      </c>
      <c r="B96" s="31" t="inlineStr">
        <is>
          <t>v7_CLIP_no90_new</t>
        </is>
      </c>
      <c r="C96" s="32" t="n">
        <v>400</v>
      </c>
      <c r="D96" s="32" t="n">
        <v>1055</v>
      </c>
      <c r="E96" s="32" t="n">
        <v>3509</v>
      </c>
      <c r="F96" s="35" t="n">
        <v>8.772500000000001</v>
      </c>
      <c r="G96" s="35" t="n">
        <v>3804.1898</v>
      </c>
      <c r="H96" s="35" t="n">
        <v>13.77466702833772</v>
      </c>
    </row>
    <row r="97" ht="42" customHeight="1">
      <c r="A97" s="27" t="inlineStr">
        <is>
          <t>office3</t>
        </is>
      </c>
      <c r="B97" s="27" t="inlineStr">
        <is>
          <t>v7_CLIP_no90_new</t>
        </is>
      </c>
      <c r="C97" s="28" t="n">
        <v>400</v>
      </c>
      <c r="D97" s="28" t="n">
        <v>1940</v>
      </c>
      <c r="E97" s="28" t="n">
        <v>6521</v>
      </c>
      <c r="F97" s="34" t="n">
        <v>16.3025</v>
      </c>
      <c r="G97" s="34" t="n">
        <v>6902.097042</v>
      </c>
      <c r="H97" s="34" t="n">
        <v>19.64150762557983</v>
      </c>
    </row>
    <row r="98" ht="42" customHeight="1">
      <c r="A98" s="31" t="inlineStr">
        <is>
          <t>office4</t>
        </is>
      </c>
      <c r="B98" s="31" t="inlineStr">
        <is>
          <t>v7_CLIP_no90_new</t>
        </is>
      </c>
      <c r="C98" s="32" t="n">
        <v>400</v>
      </c>
      <c r="D98" s="32" t="n">
        <v>718</v>
      </c>
      <c r="E98" s="32" t="n">
        <v>2282</v>
      </c>
      <c r="F98" s="35" t="n">
        <v>5.705</v>
      </c>
      <c r="G98" s="35" t="n">
        <v>2590.72412</v>
      </c>
      <c r="H98" s="35" t="n">
        <v>14.54084887541831</v>
      </c>
    </row>
    <row r="99"/>
    <row r="100"/>
    <row r="101" ht="32" customHeight="1">
      <c r="A101" s="1" t="inlineStr">
        <is>
          <t>新版调用、缓存与DEFER合并</t>
        </is>
      </c>
    </row>
    <row r="102" ht="42" customHeight="1">
      <c r="A102" s="30" t="inlineStr">
        <is>
          <t>场景</t>
        </is>
      </c>
      <c r="B102" s="30" t="inlineStr">
        <is>
          <t>实际调用</t>
        </is>
      </c>
      <c r="C102" s="30" t="inlineStr">
        <is>
          <t>缓存命中</t>
        </is>
      </c>
      <c r="D102" s="30" t="inlineStr">
        <is>
          <t>格式失败</t>
        </is>
      </c>
      <c r="E102" s="30" t="inlineStr">
        <is>
          <t>HTTP失败</t>
        </is>
      </c>
      <c r="F102" s="30" t="inlineStr">
        <is>
          <t>VLM合并</t>
        </is>
      </c>
      <c r="G102" s="30" t="inlineStr">
        <is>
          <t>DEFER合并</t>
        </is>
      </c>
      <c r="H102" s="30" t="inlineStr">
        <is>
          <t>地图实例数</t>
        </is>
      </c>
    </row>
    <row r="103" ht="42" customHeight="1">
      <c r="A103" s="27" t="inlineStr">
        <is>
          <t>room0</t>
        </is>
      </c>
      <c r="B103" s="28" t="n">
        <v>1312</v>
      </c>
      <c r="C103" s="28" t="n">
        <v>468</v>
      </c>
      <c r="D103" s="28" t="n">
        <v>6</v>
      </c>
      <c r="E103" s="28" t="n">
        <v>0</v>
      </c>
      <c r="F103" s="28" t="n">
        <v>19</v>
      </c>
      <c r="G103" s="28" t="n">
        <v>8</v>
      </c>
      <c r="H103" s="28" t="n">
        <v>74</v>
      </c>
    </row>
    <row r="104" ht="42" customHeight="1">
      <c r="A104" s="31" t="inlineStr">
        <is>
          <t>room1</t>
        </is>
      </c>
      <c r="B104" s="32" t="n">
        <v>643</v>
      </c>
      <c r="C104" s="32" t="n">
        <v>43</v>
      </c>
      <c r="D104" s="32" t="n">
        <v>4</v>
      </c>
      <c r="E104" s="32" t="n">
        <v>0</v>
      </c>
      <c r="F104" s="32" t="n">
        <v>8</v>
      </c>
      <c r="G104" s="32" t="n">
        <v>6</v>
      </c>
      <c r="H104" s="32" t="n">
        <v>50</v>
      </c>
    </row>
    <row r="105" ht="42" customHeight="1">
      <c r="A105" s="27" t="inlineStr">
        <is>
          <t>room2</t>
        </is>
      </c>
      <c r="B105" s="28" t="n">
        <v>636</v>
      </c>
      <c r="C105" s="28" t="n">
        <v>487</v>
      </c>
      <c r="D105" s="28" t="n">
        <v>5</v>
      </c>
      <c r="E105" s="28" t="n">
        <v>0</v>
      </c>
      <c r="F105" s="28" t="n">
        <v>11</v>
      </c>
      <c r="G105" s="28" t="n">
        <v>4</v>
      </c>
      <c r="H105" s="28" t="n">
        <v>54</v>
      </c>
    </row>
    <row r="106" ht="42" customHeight="1">
      <c r="A106" s="31" t="inlineStr">
        <is>
          <t>office0</t>
        </is>
      </c>
      <c r="B106" s="32" t="n">
        <v>365</v>
      </c>
      <c r="C106" s="32" t="n">
        <v>268</v>
      </c>
      <c r="D106" s="32" t="n">
        <v>6</v>
      </c>
      <c r="E106" s="32" t="n">
        <v>0</v>
      </c>
      <c r="F106" s="32" t="n">
        <v>6</v>
      </c>
      <c r="G106" s="32" t="n">
        <v>2</v>
      </c>
      <c r="H106" s="32" t="n">
        <v>40</v>
      </c>
    </row>
    <row r="107" ht="42" customHeight="1">
      <c r="A107" s="27" t="inlineStr">
        <is>
          <t>office1</t>
        </is>
      </c>
      <c r="B107" s="28" t="n">
        <v>310</v>
      </c>
      <c r="C107" s="28" t="n">
        <v>39</v>
      </c>
      <c r="D107" s="28" t="n">
        <v>1</v>
      </c>
      <c r="E107" s="28" t="n">
        <v>0</v>
      </c>
      <c r="F107" s="28" t="n">
        <v>7</v>
      </c>
      <c r="G107" s="28" t="n">
        <v>5</v>
      </c>
      <c r="H107" s="28" t="n">
        <v>30</v>
      </c>
    </row>
    <row r="108" ht="42" customHeight="1">
      <c r="A108" s="31" t="inlineStr">
        <is>
          <t>office2</t>
        </is>
      </c>
      <c r="B108" s="32" t="n">
        <v>1055</v>
      </c>
      <c r="C108" s="32" t="n">
        <v>666</v>
      </c>
      <c r="D108" s="32" t="n">
        <v>4</v>
      </c>
      <c r="E108" s="32" t="n">
        <v>0</v>
      </c>
      <c r="F108" s="32" t="n">
        <v>6</v>
      </c>
      <c r="G108" s="32" t="n">
        <v>10</v>
      </c>
      <c r="H108" s="32" t="n">
        <v>53</v>
      </c>
    </row>
    <row r="109" ht="42" customHeight="1">
      <c r="A109" s="27" t="inlineStr">
        <is>
          <t>office3</t>
        </is>
      </c>
      <c r="B109" s="28" t="n">
        <v>1940</v>
      </c>
      <c r="C109" s="28" t="n">
        <v>730</v>
      </c>
      <c r="D109" s="28" t="n">
        <v>11</v>
      </c>
      <c r="E109" s="28" t="n">
        <v>0</v>
      </c>
      <c r="F109" s="28" t="n">
        <v>20</v>
      </c>
      <c r="G109" s="28" t="n">
        <v>10</v>
      </c>
      <c r="H109" s="28" t="n">
        <v>63</v>
      </c>
    </row>
    <row r="110" ht="42" customHeight="1">
      <c r="A110" s="31" t="inlineStr">
        <is>
          <t>office4</t>
        </is>
      </c>
      <c r="B110" s="32" t="n">
        <v>718</v>
      </c>
      <c r="C110" s="32" t="n">
        <v>207</v>
      </c>
      <c r="D110" s="32" t="n">
        <v>6</v>
      </c>
      <c r="E110" s="32" t="n">
        <v>0</v>
      </c>
      <c r="F110" s="32" t="n">
        <v>19</v>
      </c>
      <c r="G110" s="32" t="n">
        <v>11</v>
      </c>
      <c r="H110" s="32" t="n">
        <v>54</v>
      </c>
    </row>
    <row r="112" ht="30" customHeight="1">
      <c r="A112" s="1" t="inlineStr">
        <is>
          <t>v7_CLIP_must room2：生成式HTTP，非速度公平对照</t>
        </is>
      </c>
    </row>
    <row r="113" ht="38" customHeight="1">
      <c r="A113" s="2" t="inlineStr">
        <is>
          <t>场景</t>
        </is>
      </c>
      <c r="B113" s="2" t="inlineStr">
        <is>
          <t>方法</t>
        </is>
      </c>
      <c r="C113" s="2" t="inlineStr">
        <is>
          <t>采样帧数</t>
        </is>
      </c>
      <c r="D113" s="2" t="inlineStr">
        <is>
          <t>原生查询次数</t>
        </is>
      </c>
      <c r="E113" s="2" t="inlineStr">
        <is>
          <t>记录建图秒数</t>
        </is>
      </c>
      <c r="F113" s="2" t="inlineStr">
        <is>
          <t>记录建图秒/帧</t>
        </is>
      </c>
      <c r="G113" s="2" t="inlineStr">
        <is>
          <t>端到端秒数</t>
        </is>
      </c>
      <c r="H113" s="2" t="inlineStr">
        <is>
          <t>本次评估秒数</t>
        </is>
      </c>
    </row>
    <row r="114" ht="32" customHeight="1">
      <c r="A114" s="12" t="inlineStr">
        <is>
          <t>room2</t>
        </is>
      </c>
      <c r="B114" s="12" t="inlineStr">
        <is>
          <t>v7_CLIP_must</t>
        </is>
      </c>
      <c r="C114" s="29" t="n">
        <v>400</v>
      </c>
      <c r="D114" s="29" t="n">
        <v>1583</v>
      </c>
      <c r="E114" s="15" t="n">
        <v>6730.408137</v>
      </c>
      <c r="F114" s="15" t="n">
        <v>16.8260203425</v>
      </c>
      <c r="G114" s="18" t="inlineStr">
        <is>
          <t>缺失</t>
        </is>
      </c>
      <c r="H114" s="15" t="n">
        <v>14.94322024285793</v>
      </c>
    </row>
  </sheetData>
  <autoFilter ref="A4:H78"/>
  <mergeCells count="5">
    <mergeCell ref="A101:H101"/>
    <mergeCell ref="A2:H2"/>
    <mergeCell ref="A112:H112"/>
    <mergeCell ref="A1:H1"/>
    <mergeCell ref="A89:H89"/>
  </mergeCells>
  <pageMargins left="0.75" right="0.75" top="1" bottom="1" header="0.5" footer="0.5"/>
  <pageSetup orientation="landscape" paperSize="8" fitToHeight="0" fitToWidth="1"/>
  <rowBreaks count="1" manualBreakCount="1">
    <brk id="21" min="0" max="16383" man="1"/>
  </rowBreaks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9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125" customWidth="1" min="2" max="2"/>
  </cols>
  <sheetData>
    <row r="1" ht="30" customHeight="1">
      <c r="A1" s="1" t="inlineStr">
        <is>
          <t>统一协议 v2 与数据范围</t>
        </is>
      </c>
    </row>
    <row r="2"/>
    <row r="3" ht="38" customHeight="1">
      <c r="A3" s="2" t="inlineStr">
        <is>
          <t>项目</t>
        </is>
      </c>
      <c r="B3" s="2" t="inlineStr">
        <is>
          <t>计算与说明</t>
        </is>
      </c>
    </row>
    <row r="4" ht="46" customHeight="1">
      <c r="A4" s="5" t="inlineStr">
        <is>
          <t>协议</t>
        </is>
      </c>
      <c r="B4" s="5" t="inlineStr">
        <is>
          <t>unified_fullmesh_v2_20260910；GitHub evaluate 分支 e6e666a。旧版 Excel 已备份，本文档全部质量分数来自 v2。</t>
        </is>
      </c>
    </row>
    <row r="5" ht="46" customHeight="1">
      <c r="A5" s="3" t="inlineStr">
        <is>
          <t>输入与投影</t>
        </is>
      </c>
      <c r="B5" s="3" t="inlineStr">
        <is>
          <t>同一完整 NICE-SLAM Replica GT 网格及固定标签。先排除 owner=-1，然后最近邻 k=1，距离严格 &lt;5cm；未覆盖 GT 保留。</t>
        </is>
      </c>
    </row>
    <row r="6" ht="46" customHeight="1">
      <c r="A6" s="5" t="inlineStr">
        <is>
          <t>Instance mIoU</t>
        </is>
      </c>
      <c r="B6" s="5" t="inlineStr">
        <is>
          <t>48个物体类别，排除墙/天花板/地板；GT&gt;=10点；每个GT独立取最大IoU；无预测最小点数门槛；漏检0；允许多个GT选中同一预测。</t>
        </is>
      </c>
    </row>
    <row r="7" ht="46" customHeight="1">
      <c r="A7" s="3" t="inlineStr">
        <is>
          <t>Instance AP</t>
        </is>
      </c>
      <c r="B7" s="3" t="inlineStr">
        <is>
          <t>类别无关，GT/预测最少100点；IoU严格&gt;0.25/0.50/0.75。原引擎固定，按投影点数/最大投影点数排序（六位小数）。</t>
        </is>
      </c>
    </row>
    <row r="8" ht="46" customHeight="1">
      <c r="A8" s="5" t="inlineStr">
        <is>
          <t>Semantic mIoU / mAcc</t>
        </is>
      </c>
      <c r="B8" s="5" t="inlineStr">
        <is>
          <t>固定51类，不exclude6，墙/天花板/地板/门/窗均保留；仅对GT中出现的类别平均；GT未标注点忽略。</t>
        </is>
      </c>
    </row>
    <row r="9" ht="46" customHeight="1">
      <c r="A9" s="3" t="inlineStr">
        <is>
          <t>Semantic AP25 / AP50</t>
        </is>
      </c>
      <c r="B9" s="3" t="inlineStr">
        <is>
          <t>要求同类别且IoU严格超过门槛；GT/预测100点；只对有合格GT的类别平均，预测点数在预测类别内归一化。</t>
        </is>
      </c>
    </row>
    <row r="10" ht="46" customHeight="1">
      <c r="A10" s="5" t="inlineStr">
        <is>
          <t>AP忽略规则</t>
        </is>
      </c>
      <c r="B10" s="5" t="inlineStr">
        <is>
          <t>未匹配预测与void/被忽略GT区域的交集比例超过当前IoU门槛时不计误检，沿用固定原引擎。</t>
        </is>
      </c>
    </row>
    <row r="11" ht="46" customHeight="1">
      <c r="A11" s="3" t="inlineStr">
        <is>
          <t>Object Surface Coverage</t>
        </is>
      </c>
      <c r="B11" s="3" t="inlineStr">
        <is>
          <t>48个物体类别GT表面中，5cm内有有效预测的点比例。不检查类别或身份，不过滤小实例。</t>
        </is>
      </c>
    </row>
    <row r="12" ht="46" customHeight="1">
      <c r="A12" s="5" t="inlineStr">
        <is>
          <t>一对一诊断</t>
        </is>
      </c>
      <c r="B12" s="5" t="inlineStr">
        <is>
          <t>保留原Hungarian最大总IoU、全GT平均（GT/预测100点）。F1采用最大匹配数量优先，IoU&gt;=0.5，TP/FP/FN见诊断页。</t>
        </is>
      </c>
    </row>
    <row r="13" ht="46" customHeight="1">
      <c r="A13" s="3" t="inlineStr">
        <is>
          <t>特征</t>
        </is>
      </c>
      <c r="B13" s="3" t="inlineStr">
        <is>
          <t>CG物体与51类CLIP文本特征均显式L2归一化。OVI使用已有导出的类别。</t>
        </is>
      </c>
    </row>
    <row r="14" ht="46" customHeight="1">
      <c r="A14" s="5" t="inlineStr">
        <is>
          <t>汇总</t>
        </is>
      </c>
      <c r="B14" s="5" t="inlineStr">
        <is>
          <t>联合mIoU按GT数加权，语义合并混淆矩阵，AP联合计算，Coverage按顶点加权；另报scene_mean。</t>
        </is>
      </c>
    </row>
    <row r="15" ht="46" customHeight="1">
      <c r="A15" s="3" t="inlineStr">
        <is>
          <t>局限</t>
        </is>
      </c>
      <c r="B15" s="3" t="inlineStr">
        <is>
          <t>完整网格含未观测区域；统一评估不等于原论文复现。不同前端、缓存和时间边界仍影响比较。merge_2仅room0。</t>
        </is>
      </c>
    </row>
    <row r="16" ht="46" customHeight="1">
      <c r="A16" s="5" t="inlineStr">
        <is>
          <t>完整产物</t>
        </is>
      </c>
      <c r="B16" s="5" t="inlineStr">
        <is>
          <t>服务器 /home/chenkejun/beauty/unified_reeval_v2_20260910；manifest.json、results/comparison.json、逐场景 result.json / projection.npz / matches / confusion 均保留。</t>
        </is>
      </c>
    </row>
    <row r="17" ht="46" customHeight="1">
      <c r="A17" s="3" t="inlineStr">
        <is>
          <t>参考</t>
        </is>
      </c>
      <c r="B17" s="3" t="inlineStr">
        <is>
          <t>原固定reference.npz、manifest.json及clip_text51.npy；指纹含地图、参考、参考manifest、评估器、AP引擎和文本特征哈希。</t>
        </is>
      </c>
    </row>
    <row r="18" ht="65" customHeight="1">
      <c r="A18" s="3" t="inlineStr">
        <is>
          <t>v7_merge_re 更新</t>
        </is>
      </c>
      <c r="B18" s="3" t="inlineStr">
        <is>
          <t>2026-09-10：office2，400帧；v2新投影。结果：/home/chenkejun/beauty/ovimap_aligned_eval_20260908/merge_re_eval_20260910/metrics_v2。运行成本依据完成记录，HTTP查询数未核实，不填0。</t>
        </is>
      </c>
    </row>
    <row r="19" ht="65" customHeight="1">
      <c r="A19" s="3" t="inlineStr">
        <is>
          <t>v7_merge 更新</t>
        </is>
      </c>
      <c r="B19" s="3" t="inlineStr">
        <is>
          <t>2026-09-10：office2，400帧；v2新投影。结果：/home/chenkejun/beauty/unified_evaluator_20260910/merge_office2_update/results/v7_merge/office2。建图耗时取完成证据起止时间，HTTP次数未核实，不填0。</t>
        </is>
      </c>
    </row>
    <row r="20" ht="65" customHeight="1">
      <c r="A20" s="3" t="inlineStr">
        <is>
          <t>v7_CLIP_TwoRoad 更新</t>
        </is>
      </c>
      <c r="B20" s="3" t="inlineStr">
        <is>
          <t>room0，400帧，78实例；统一v2重新投影。仅单场景，前端差异保留；原生查询次数未核实。完整产物：/home/chenkejun/beauty/tworoad_eval_20260910</t>
        </is>
      </c>
    </row>
    <row r="21" ht="60" customHeight="1">
      <c r="A21" s="12" t="inlineStr">
        <is>
          <t>TwoRoad采用结论</t>
        </is>
      </c>
      <c r="B21" s="12" t="inlineStr">
        <is>
          <t>不作为默认主版：8景联合mIoU -0.353pp、AP50 +2.689pp；新增四景分别 -1.070pp、-0.363pp。保持融合主版，bbox保留为消融。</t>
        </is>
      </c>
    </row>
    <row r="22" ht="60" customHeight="1">
      <c r="A22" s="12" t="inlineStr">
        <is>
          <t>TwoRoad字段修正</t>
        </is>
      </c>
      <c r="B22" s="12" t="inlineStr">
        <is>
          <t>旧TwoRoad行读取clip_ft（融合）。已标为融合旧读出并保留原数值；新增bbox读出使用clip_semantic_ft。</t>
        </is>
      </c>
    </row>
    <row r="23" ht="60" customHeight="1">
      <c r="A23" s="12" t="inlineStr">
        <is>
          <t>八景配对方法</t>
        </is>
      </c>
      <c r="B23" s="12" t="inlineStr">
        <is>
          <t>固定v7_CLIP原地图、投影与实际接受/合并事件；按原归一化递归顺序聚合bbox向量。原融合结果逐景和联合值均完全复现。</t>
        </is>
      </c>
    </row>
    <row r="24" ht="60" customHeight="1">
      <c r="A24" s="12" t="inlineStr">
        <is>
          <t>新增四景</t>
        </is>
      </c>
      <c r="B24" s="12" t="inlineStr">
        <is>
          <t>room2、office1、office3、office4此前未做本任务的读出测试；权重固定bbox-only，无按场景调参。</t>
        </is>
      </c>
    </row>
    <row r="25" ht="60" customHeight="1">
      <c r="A25" s="12" t="inlineStr">
        <is>
          <t>本次成本</t>
        </is>
      </c>
      <c r="B25" s="12" t="inlineStr">
        <is>
          <t>新增在线建图0，VLM请求0；特征补算与评测耗时记录在服务器阶段总结。不可把历史建图成本解释为本次新运行。</t>
        </is>
      </c>
    </row>
    <row r="26" ht="60" customHeight="1">
      <c r="A26" s="12" t="inlineStr">
        <is>
          <t>验证产物</t>
        </is>
      </c>
      <c r="B26" s="12" t="inlineStr">
        <is>
          <t>/home/chenkejun/beauty/tworoad_readout_v2_20260911/final_validation.json</t>
        </is>
      </c>
    </row>
    <row r="27" ht="48" customHeight="1">
      <c r="A27" s="12" t="inlineStr">
        <is>
          <t>v7_CLIP_v3 五场景</t>
        </is>
      </c>
      <c r="B27" s="12" t="inlineStr">
        <is>
          <t>2026-09-11：room1、room2、office0、office1、office2 各400帧，使用与 v7_CLIP 相同逐帧输入缓存，从空图在线建图。room0、office3、office4 暂停。</t>
        </is>
      </c>
    </row>
    <row r="28" ht="48" customHeight="1">
      <c r="A28" s="12" t="inlineStr">
        <is>
          <t>v3 对照口径</t>
        </is>
      </c>
      <c r="B28" s="12" t="inlineStr">
        <is>
          <t>沿用冻结统一评估 v2；共享评估指纹已核验。五场景联合汇总与简单平均分别展示，不与八场景总分混比。</t>
        </is>
      </c>
    </row>
    <row r="29" ht="48" customHeight="1">
      <c r="A29" s="12" t="inlineStr">
        <is>
          <t>v3 成本口径</t>
        </is>
      </c>
      <c r="B29" s="12" t="inlineStr">
        <is>
          <t>调用次数采用对应日志 HTTP 请求数，五场景均返回200；建图耗时来自 evidence 起止，不含缓存准备。端到端耗时缺失；接口负载不同，耗时不作严格控制变量比较。</t>
        </is>
      </c>
    </row>
    <row r="30" ht="48" customHeight="1">
      <c r="A30" s="12" t="inlineStr">
        <is>
          <t>v3 指标来源</t>
        </is>
      </c>
      <c r="B30" s="12" t="inlineStr">
        <is>
          <t>/home/chenkejun/beauty/v7_CLIP_v3_batch_20260911/five_scene_comparison/comparison.json</t>
        </is>
      </c>
    </row>
    <row r="31" ht="48" customHeight="1">
      <c r="A31" s="12" t="inlineStr">
        <is>
          <t>v3 验证记录</t>
        </is>
      </c>
      <c r="B31" s="12" t="inlineStr">
        <is>
          <t>/home/chenkejun/beauty/v7_CLIP_v3_batch_20260911/five_scene_validation.json</t>
        </is>
      </c>
    </row>
    <row r="32" ht="65" customHeight="1">
      <c r="A32" s="12" t="inlineStr">
        <is>
          <t>论文消融三组</t>
        </is>
      </c>
      <c r="B32" s="12" t="inlineStr">
        <is>
          <t>A=ali-my bff233ff004939d2ecf4ac5546f87cb7b7b16e60项目复现；B=baseline+原图；C=baseline+原图+CLIP融合。v7_CLIP源码235e16c995fefb905fd3b21c11ad4fd1e8d3bbe4。</t>
        </is>
      </c>
    </row>
    <row r="33" ht="65" customHeight="1">
      <c r="A33" s="12" t="inlineStr">
        <is>
          <t>本次重新评测</t>
        </is>
      </c>
      <c r="B33" s="12" t="inlineStr">
        <is>
          <t>三组各8景，共24个地图均重新执行统一v2投影与评测。指标与消融记录逐项一致，未重新建图、未调用VLM。</t>
        </is>
      </c>
    </row>
    <row r="34" ht="65" customHeight="1">
      <c r="A34" s="12" t="inlineStr">
        <is>
          <t>建图与对齐</t>
        </is>
      </c>
      <c r="B34" s="12" t="inlineStr">
        <is>
          <t>B/C本轮正式实验均从空图在线建图，400帧/景，VLM全关。同逐帧框和mask，仅CLIP因素不同；pilot与冻结baseline逐帧对齐通过。</t>
        </is>
      </c>
    </row>
    <row r="35" ht="65" customHeight="1">
      <c r="A35" s="12" t="inlineStr">
        <is>
          <t>历史gateoff</t>
        </is>
      </c>
      <c r="B35" s="12" t="inlineStr">
        <is>
          <t>本次C与历史Baseline_gateoff数值相符，但使用本次独立在线地图及新评测产物，单独列出避免混淆来源。</t>
        </is>
      </c>
    </row>
    <row r="36" ht="65" customHeight="1">
      <c r="A36" s="12" t="inlineStr">
        <is>
          <t>本次成本边界</t>
        </is>
      </c>
      <c r="B36" s="12" t="inlineStr">
        <is>
          <t>A历史建图时间缺失。B记录为缓存输入建图进程耗时，bbox特征准备另见消融记录。C前六景包含检测和建图，office3/4缓存复用。共享GPU并行，不能据此计算速度倍率。</t>
        </is>
      </c>
    </row>
    <row r="37" ht="65" customHeight="1">
      <c r="A37" s="12" t="inlineStr">
        <is>
          <t>评测结果来源</t>
        </is>
      </c>
      <c r="B37" s="12" t="inlineStr">
        <is>
          <t>/data/chenkejun/paper_ablation_20260911/unified_update/reevaluated/comparison.json</t>
        </is>
      </c>
    </row>
    <row r="38" ht="65" customHeight="1">
      <c r="A38" s="12" t="inlineStr">
        <is>
          <t>逐景结果来源</t>
        </is>
      </c>
      <c r="B38" s="12" t="inlineStr">
        <is>
          <t>/data/chenkejun/paper_ablation_20260911/unified_update/reevaluated/&lt;方法&gt;/&lt;场景&gt;/result.json</t>
        </is>
      </c>
    </row>
    <row r="39" ht="65" customHeight="1">
      <c r="A39" s="12" t="inlineStr">
        <is>
          <t>重新评测验证</t>
        </is>
      </c>
      <c r="B39" s="12" t="inlineStr">
        <is>
          <t>/data/chenkejun/paper_ablation_20260911/unified_update/reeval_validation.json</t>
        </is>
      </c>
    </row>
    <row r="40" ht="65" customHeight="1">
      <c r="A40" s="12" t="inlineStr">
        <is>
          <t>完整消融记录</t>
        </is>
      </c>
      <c r="B40" s="12" t="inlineStr">
        <is>
          <t>/data/chenkejun/paper_ablation_20260911/final/消融记录.xlsx</t>
        </is>
      </c>
    </row>
    <row r="41" ht="65" customHeight="1">
      <c r="A41" s="12" t="inlineStr">
        <is>
          <t>局限</t>
        </is>
      </c>
      <c r="B41" s="12" t="inlineStr">
        <is>
          <t>一次八景实验，无多种子及统计显著性证明；保留逐景退化，不声称CLIP全面提升。</t>
        </is>
      </c>
    </row>
    <row r="42" ht="60" customHeight="1">
      <c r="A42" s="3" t="inlineStr">
        <is>
          <t>no90 说明 1</t>
        </is>
      </c>
      <c r="B42" s="24" t="inlineStr">
        <is>
          <t>仅比较 room1、office1 两个相同场景。历史 v7_CLIP/OVI_MAP 来自本地保存的 unified_fullmesh_v2_20260910 comparison.json，未重跑历史地图；本次 no90 为逐帧从空地图运行。</t>
        </is>
      </c>
    </row>
    <row r="43" ht="60" customHeight="1">
      <c r="A43" s="3" t="inlineStr">
        <is>
          <t>no90 说明 2</t>
        </is>
      </c>
      <c r="B43" s="24" t="inlineStr">
        <is>
          <t>这是探索性历史对照，不能把差异全部归因于移除90%策略：新运行使用新服务器生成的前端缓存，VLM 为 H800 Qwen3.6-35B-A3B-FP8/vLLM；历史 VLM 量化和服务环境不同。算法补丁及必要启动兼容修复见 no90.patch。</t>
        </is>
      </c>
    </row>
    <row r="44" ht="60" customHeight="1">
      <c r="A44" s="3" t="inlineStr">
        <is>
          <t>no90 说明 3</t>
        </is>
      </c>
      <c r="B44" s="24" t="inlineStr">
        <is>
          <t>评测器及 AP 引擎 SHA256 与历史完全一致。恢复 GT 的原始完整网格、语义标签和实例标签 SHA256 均与历史一致；重建 NPZ 容器 SHA256 不同。GT 点数、有效语义点数、对象表面点数及10点/100点有效实例数均与历史一致。恢复记录见 reference_recovery.json。</t>
        </is>
      </c>
    </row>
    <row r="45" ht="60" customHeight="1">
      <c r="A45" s="3" t="inlineStr">
        <is>
          <t>no90 说明 4</t>
        </is>
      </c>
      <c r="B45" s="24" t="inlineStr">
        <is>
          <t>CLIP 采用历史 ViT-H-14/laion2b_s32b_b79k、固定51类及 an image of {class} 文本模板；重新生成的文本矩阵 SHA256 与历史不一致，无法验证逐元素等价。语义指标应作带此限制的参考；无类别实例指标与F1不使用文本类别。</t>
        </is>
      </c>
    </row>
    <row r="46" ht="60" customHeight="1">
      <c r="A46" s="3" t="inlineStr">
        <is>
          <t>no90 说明 5</t>
        </is>
      </c>
      <c r="B46" s="24" t="inlineStr">
        <is>
          <t>room1 地图已保存；原进程退出1是审计正则误将 run UUID 的 _f2 识别为帧号。仅在外部只读复核中修正正则后结构门禁PASS，地图SHA未变。原审计和884条复核诊断均保留，PASS不代表没有视觉错误。</t>
        </is>
      </c>
    </row>
    <row r="47" ht="60" customHeight="1">
      <c r="A47" s="3" t="inlineStr">
        <is>
          <t>no90 说明 6</t>
        </is>
      </c>
      <c r="B47" s="24" t="inlineStr">
        <is>
          <t>office1 存在1条已走原回退策略的 MULTIPLE contradicts node status 输出错误；room1 有1条 SAME 选择与理由疑似矛盾，待人工复核，不修改真值或结果。</t>
        </is>
      </c>
    </row>
    <row r="48" ht="60" customHeight="1">
      <c r="A48" s="3" t="inlineStr">
        <is>
          <t>no90 说明 7</t>
        </is>
      </c>
      <c r="B48" s="24" t="inlineStr">
        <is>
          <t>成本口径不可直接比较：两场景并行，共享VLM；新运行记录时长含启动、保存和原审计，不含前端缓存生成和额外复核，端到端耗时记缺失。OVI_MAP 查询是SigLIP查询，其余为生成式HTTP请求（含重试）。未构建关系图，关系指标记不适用。</t>
        </is>
      </c>
    </row>
    <row r="49" ht="60" customHeight="1">
      <c r="A49" s="3" t="inlineStr">
        <is>
          <t>no90 说明 8</t>
        </is>
      </c>
      <c r="B49" s="24" t="inlineStr">
        <is>
          <t>F1@50是类别无关一对一匹配，GT/预测至少100点，IoU&gt;=0.5；未匹配有效预测均记FP。AP用严格IoU&gt;阈值及自己的void规则，二者不可混用。两场景合并F1先求和TP/FP/FN；不把8场景汇总和2场景结果比较。</t>
        </is>
      </c>
    </row>
    <row r="50" ht="46" customHeight="1">
      <c r="A50" s="3" t="inlineStr">
        <is>
          <t>no90 原始指标</t>
        </is>
      </c>
      <c r="B50" s="3" t="inlineStr">
        <is>
          <t>/root/autodl-tmp/beauty/v7_CLIP_no90_pilot_20260912/evaluation/comparison_no90.json</t>
        </is>
      </c>
    </row>
    <row r="51" ht="60" customHeight="1">
      <c r="A51" s="3" t="inlineStr">
        <is>
          <t>no90八场景 1</t>
        </is>
      </c>
      <c r="B51" s="24" t="inlineStr">
        <is>
          <t>同一8场景：room0、room1、room2、office0至office4。历史v7_CLIP和OVI_MAP指标直接来自已保存v2记录，并与当前本地统一指标.xlsx的主要指标、诊断指标及汇总逐值核对。</t>
        </is>
      </c>
    </row>
    <row r="52" ht="60" customHeight="1">
      <c r="A52" s="3" t="inlineStr">
        <is>
          <t>no90八场景 2</t>
        </is>
      </c>
      <c r="B52" s="24" t="inlineStr">
        <is>
          <t>主汇总使用跨场景联合AP、汇总语义混淆矩阵、GT实例加权实例mIoU、顶点加权覆盖率；F1先汇总TP/FP/FN。另列场景等权均值，不混用两种汇总。</t>
        </is>
      </c>
    </row>
    <row r="53" ht="60" customHeight="1">
      <c r="A53" s="3" t="inlineStr">
        <is>
          <t>no90八场景 3</t>
        </is>
      </c>
      <c r="B53" s="24" t="inlineStr">
        <is>
          <t>评测器及AP引擎与历史版本一致。原始GT网格与语义/实例标签SHA256一致；重建NPZ归档SHA256不同，有效GT实例数、完整网格与语义/对象有效顶点数均一致。</t>
        </is>
      </c>
    </row>
    <row r="54" ht="60" customHeight="1">
      <c r="A54" s="3" t="inlineStr">
        <is>
          <t>no90八场景 4</t>
        </is>
      </c>
      <c r="B54" s="24" t="inlineStr">
        <is>
          <t>CLIP文本采用同一ViT-H-14/laion2b_s32b_b79k、51类及an image of {class}模板重新生成，文件SHA256与历史不同，无法验证逐元素等价。语义指标受此限制；无类别实例mIoU、AP、F1不依赖文本类别。</t>
        </is>
      </c>
    </row>
    <row r="55" ht="60" customHeight="1">
      <c r="A55" s="3" t="inlineStr">
        <is>
          <t>no90八场景 5</t>
        </is>
      </c>
      <c r="B55" s="24" t="inlineStr">
        <is>
          <t>本次no90使用新前端缓存和H800 FP8/vLLM服务，历史VLM量化及运行环境不同。这是探索性历史对照，不是严格控制所有其他变量的90%策略消融，不能把全部变化归因于移除该策略。</t>
        </is>
      </c>
    </row>
    <row r="56" ht="60" customHeight="1">
      <c r="A56" s="3" t="inlineStr">
        <is>
          <t>no90八场景 6</t>
        </is>
      </c>
      <c r="B56" s="24" t="inlineStr">
        <is>
          <t>每场景从空地图在线处理400帧，原始0至1995、stride5。六个新增场景均退出0且原审计PASS；pilot room1因UUID解析缺陷原退出1，已只读复核PASS且地图未改。审计PASS不代表没有视觉判断错误。</t>
        </is>
      </c>
    </row>
    <row r="57" ht="60" customHeight="1">
      <c r="A57" s="3" t="inlineStr">
        <is>
          <t>no90八场景 7</t>
        </is>
      </c>
      <c r="B57" s="24" t="inlineStr">
        <is>
          <t>F1@50为类别无关一对一匹配，GT/预测至少100点，IoU&gt;=0.5；未匹配有效预测计FP。AP采用严格IoU&gt;阈值和自身void忽略规则，不与F1混用。</t>
        </is>
      </c>
    </row>
    <row r="58" ht="60" customHeight="1">
      <c r="A58" s="3" t="inlineStr">
        <is>
          <t>no90八场景 8</t>
        </is>
      </c>
      <c r="B58" s="24" t="inlineStr">
        <is>
          <t>成本保留原生口径：OVI_MAP为SigLIP查询，其余为生成式HTTP请求含重试；不同硬件、前端缓存与并行排队使时间不能直接作为加速比。运行总秒数是场景时长相加，不是并行批次墙钟时间；完整端到端时间缺失。</t>
        </is>
      </c>
    </row>
    <row r="59" ht="60" customHeight="1">
      <c r="A59" s="3" t="inlineStr">
        <is>
          <t>no90八场景 9</t>
        </is>
      </c>
      <c r="B59" s="24" t="inlineStr">
        <is>
          <t>未构建关系图，关系指标不适用。八场景各单次运行，没有重复试验方差或显著性结论。pilot office1一次结构矛盾输出走原回退策略，room1一条视觉选择/理由疑似矛盾仍待复核。</t>
        </is>
      </c>
    </row>
    <row r="60" ht="46" customHeight="1">
      <c r="A60" s="3" t="inlineStr">
        <is>
          <t>八场景指标来源</t>
        </is>
      </c>
      <c r="B60" s="3" t="inlineStr">
        <is>
          <t>/root/autodl-tmp/beauty/v7_CLIP_no90_evaluation8_20260912/comparison8.json</t>
        </is>
      </c>
    </row>
    <row r="61"/>
    <row r="62"/>
    <row r="63" ht="32" customHeight="1">
      <c r="A63" s="1" t="inlineStr">
        <is>
          <t>v7_CLIP_no90_new 本轮说明</t>
        </is>
      </c>
    </row>
    <row r="64" ht="42" customHeight="1">
      <c r="A64" s="30" t="inlineStr">
        <is>
          <t>项目</t>
        </is>
      </c>
      <c r="B64" s="30" t="inlineStr">
        <is>
          <t>计算与说明</t>
        </is>
      </c>
    </row>
    <row r="65" ht="42" customHeight="1">
      <c r="A65" s="27" t="inlineStr">
        <is>
          <t>范围</t>
        </is>
      </c>
      <c r="B65" s="27" t="inlineStr">
        <is>
          <t>8景×400帧，在线从0建图，使用冻结前端缓存；已有先导office1复用，不读取未来地图。</t>
        </is>
      </c>
    </row>
    <row r="66" ht="42" customHeight="1">
      <c r="A66" s="31" t="inlineStr">
        <is>
          <t>结论</t>
        </is>
      </c>
      <c r="B66" s="31" t="inlineStr">
        <is>
          <t>联合AP50下降1.12pp，F1提升0.87pp，实例mIoU下降0.93pp，语义AP50下降2.30pp；不认定整体优于旧no90。</t>
        </is>
      </c>
    </row>
    <row r="67" ht="42" customHeight="1">
      <c r="A67" s="27" t="inlineStr">
        <is>
          <t>DEFER</t>
        </is>
      </c>
      <c r="B67" s="27" t="inlineStr">
        <is>
          <t>保留baseline原决定，包括baseline merge。UNCERTAIN/失败不计拒绝票，BASELINE_DEFER与VLM批准分开。</t>
        </is>
      </c>
    </row>
    <row r="68" ht="42" customHeight="1">
      <c r="A68" s="31" t="inlineStr">
        <is>
          <t>审计</t>
        </is>
      </c>
      <c r="B68" s="31" t="inlineStr">
        <is>
          <t>room2原始帧号正则误读run_id，原进程退出码1；只读修正解析后严格PASS，地图哈希不变。其他7景原始审计PASS。</t>
        </is>
      </c>
    </row>
    <row r="69" ht="42" customHeight="1">
      <c r="A69" s="27" t="inlineStr">
        <is>
          <t>运行成本</t>
        </is>
      </c>
      <c r="B69" s="27" t="inlineStr">
        <is>
          <t>新查询是实际生成式VLM调用，不含命中；旧no90含历史重试，OVIMAP查询是SigLIP，不能等价比较。新循环时间来自tqdm，端到端为启动至退出，不含外部复核评测。</t>
        </is>
      </c>
    </row>
    <row r="70" ht="42" customHeight="1">
      <c r="A70" s="31" t="inlineStr">
        <is>
          <t>历史对照</t>
        </is>
      </c>
      <c r="B70" s="31" t="inlineStr">
        <is>
          <t>旧no90和OVIMAP沿用历史同协议评测结果，未重跑。模型服务/并发/计时范围不同，不声明受控加速倍数。</t>
        </is>
      </c>
    </row>
    <row r="71" ht="42" customHeight="1">
      <c r="A71" s="27" t="inlineStr">
        <is>
          <t>来源</t>
        </is>
      </c>
      <c r="B71" s="27" t="inlineStr">
        <is>
          <t>/root/autodl-tmp/beauty/v7_CLIP_no90_new_implementation/delivery/comparison8_three_way.json；调用/耗时详见同目录runtime8.json。</t>
        </is>
      </c>
    </row>
    <row r="72"/>
    <row r="73" ht="42" customHeight="1">
      <c r="A73" s="31" t="inlineStr">
        <is>
          <t>决策审计状态</t>
        </is>
      </c>
      <c r="B73" s="31" t="inlineStr">
        <is>
          <t>2026-09-14；八场景标准v7_CLIP，4321条历史决策，自动标注待人工复核，不是新增完整建图结果。</t>
        </is>
      </c>
    </row>
    <row r="74" ht="42" customHeight="1">
      <c r="A74" s="31" t="inlineStr">
        <is>
          <t>决策审计GT</t>
        </is>
      </c>
      <c r="B74" s="31" t="inlineStr">
        <is>
          <t>冻结H点云→已有完整mesh最近顶点，距离&lt;5cm。纯度≥0.8、有效点≥100、有效GT覆盖≥80%；0标签无效。</t>
        </is>
      </c>
    </row>
    <row r="75" ht="42" customHeight="1">
      <c r="A75" s="31" t="inlineStr">
        <is>
          <t>NEW判定</t>
        </is>
      </c>
      <c r="B75" s="31" t="inlineStr">
        <is>
          <t>观测与候选投影GT同ID则关联正确；已有同ID候选却NEW则错拆。候选都可判且无同ID只支持候选范围NEW，严格地图口径仍待全图证据。</t>
        </is>
      </c>
    </row>
    <row r="76" ht="42" customHeight="1">
      <c r="A76" s="31" t="inlineStr">
        <is>
          <t>合并判定</t>
        </is>
      </c>
      <c r="B76" s="31" t="inlineStr">
        <is>
          <t>原几何proposal baseline=MERGE；VLM multi_same proposal baseline=KEEP_SEPARATE。实际执行以mapping_events和executions核实。锁定和新调用分开。</t>
        </is>
      </c>
    </row>
    <row r="77" ht="42" customHeight="1">
      <c r="A77" s="31" t="inlineStr">
        <is>
          <t>时间与因果</t>
        </is>
      </c>
      <c r="B77" s="31" t="inlineStr">
        <is>
          <t>同一H snapshot比较原策略与最终动作，s≤d≤h≤c；未来合并仅解释延迟，不用于当时GT判定。重复对象对跨帧相关，不作独立样本推断。</t>
        </is>
      </c>
    </row>
    <row r="78" ht="42" customHeight="1">
      <c r="A78" s="31" t="inlineStr">
        <is>
          <t>决策审计产物</t>
        </is>
      </c>
      <c r="B78" s="31" t="inlineStr">
        <is>
          <t>/home/chenkejun/beauty/decision_audit_20260914/summary.json；decisions.jsonl；REPORT_CN.md</t>
        </is>
      </c>
    </row>
    <row r="79" ht="42" customHeight="1">
      <c r="A79" s="31" t="inlineStr">
        <is>
          <t>人工复核页</t>
        </is>
      </c>
      <c r="B79" s="31" t="inlineStr">
        <is>
          <t>http://127.0.0.1:18764/review；须保持SSH转发。先参考答案后比较；本地草稿保留；服务器标签不覆盖原自动记录。</t>
        </is>
      </c>
    </row>
    <row r="80" ht="42" customHeight="1">
      <c r="A80" s="31" t="inlineStr">
        <is>
          <t>结果页</t>
        </is>
      </c>
      <c r="B80" s="31" t="inlineStr">
        <is>
          <t>http://127.0.0.1:18764/results；详细显示边界、DISCARD、投票延迟及未判定，原始输入图保留。</t>
        </is>
      </c>
    </row>
    <row r="81"/>
    <row r="82" ht="55" customHeight="1">
      <c r="A82" s="31" t="inlineStr">
        <is>
          <t>人工复核70条</t>
        </is>
      </c>
      <c r="B82" s="31" t="inlineStr">
        <is>
          <t>优先60已全部完成，另10条为此前标注。14条不可判保留并排除。重算决策ID和H绑定全部通过，服务器标签一致。</t>
        </is>
      </c>
    </row>
    <row r="83" ht="55" customHeight="1">
      <c r="A83" s="31" t="inlineStr">
        <is>
          <t>人工结果范围</t>
        </is>
      </c>
      <c r="B83" s="31" t="inlineStr">
        <is>
          <t>优先样本可判46：原正确16、最终正确23；非随机抽样，不推断总体准确率。合并按对象对补充聚类描述。</t>
        </is>
      </c>
    </row>
    <row r="84" ht="55" customHeight="1">
      <c r="A84" s="31" t="inlineStr">
        <is>
          <t>GT与人工差异</t>
        </is>
      </c>
      <c r="B84" s="31" t="inlineStr">
        <is>
          <t>30点可比较36条，24同结果；12差异含4质量口径、8合并身份（仅2组对象对）。100点均未完整自动判定，不盲目降低门槛。</t>
        </is>
      </c>
    </row>
    <row r="85" ht="55" customHeight="1">
      <c r="A85" s="31" t="inlineStr">
        <is>
          <t>投影稀疏原因</t>
        </is>
      </c>
      <c r="B85" s="31" t="inlineStr">
        <is>
          <t>office3两条黄色疑问：当前有效深度仅1.85%/2.75%，重合覆盖约0.75%；不是页面丢失。保持不可判，不填造投影。</t>
        </is>
      </c>
    </row>
    <row r="86" ht="55" customHeight="1">
      <c r="A86" s="31" t="inlineStr">
        <is>
          <t>人工分析产物</t>
        </is>
      </c>
      <c r="B86" s="31" t="inlineStr">
        <is>
          <t>/home/chenkejun/beauty/decision_audit_20260914/HUMAN_ANALYSIS_CN.md；human_analysis.json；原始提交SHA256=cb9ec743dbabc25e2d107cbaf6e3a4d0822677cb0367bd26cea954500a36a3a6</t>
        </is>
      </c>
    </row>
    <row r="87" ht="44" customHeight="1">
      <c r="A87" s="5" t="inlineStr">
        <is>
          <t>must room2结论</t>
        </is>
      </c>
      <c r="B87" s="51" t="inlineStr">
        <is>
          <t>AP50下降5.33百分点，F1下降3.40百分点；mIoU提高1.04百分点。当前不支持整体提升。</t>
        </is>
      </c>
    </row>
    <row r="88" ht="44" customHeight="1">
      <c r="A88" s="5" t="inlineStr">
        <is>
          <t>must room2可比性</t>
        </is>
      </c>
      <c r="B88" s="51" t="inlineStr">
        <is>
          <t>评测器、引擎和原始GT哈希一致；历史文本特征、前端缓存与VLM环境不同，非严格单因素因果比较。</t>
        </is>
      </c>
    </row>
    <row r="89" ht="44" customHeight="1">
      <c r="A89" s="5" t="inlineStr">
        <is>
          <t>must room2覆盖</t>
        </is>
      </c>
      <c r="B89" s="51" t="inlineStr">
        <is>
          <t>物体表面覆盖67.30%；全网格覆盖53.63%；语义区域覆盖52.90%。三种分母不同。</t>
        </is>
      </c>
    </row>
    <row r="90" ht="90" customHeight="1">
      <c r="A90" s="5" t="inlineStr">
        <is>
          <t>must room2运行诊断</t>
        </is>
      </c>
      <c r="B90" s="51" t="inlineStr">
        <is>
          <t>{"stage_count": 1583, "http_attempts": 1583, "http_status_counts": {"200": 1583}, "failed_stages": 0, "timeout_attempts": 0, "association_events": 190, "association_reasons": {"MULTIPLE_SAME_UNIQUE_ANCHOR": 25, "ALL_DISPLAYED_CANDIDATES_DIFFERENT": 60, "UNIQUE_SAME": 78, "QUALITY_CORRUPTED": 24, "QUALITY_INSUFFICIENT": 3}, "merge_events": 844, "merge_actions": {"MERGE": 36, "KEEP_SEPARATE": 109, "locked": 408, "DEFER": 291}, "merge_execution": {"DEFERRED": 375, "MERGED": 13, "LOCKED_KEEP_SEPARATE": 456}}</t>
        </is>
      </c>
    </row>
    <row r="91" ht="44" customHeight="1">
      <c r="A91" s="5" t="inlineStr">
        <is>
          <t>must room2原始产物</t>
        </is>
      </c>
      <c r="B91" s="51" t="inlineStr">
        <is>
          <t>/root/autodl-tmp/beauty/v7_CLIP_must_run_20260914</t>
        </is>
      </c>
    </row>
  </sheetData>
  <mergeCells count="2">
    <mergeCell ref="A63:B63"/>
    <mergeCell ref="A1:B1"/>
  </mergeCells>
  <pageMargins left="0.75" right="0.75" top="1" bottom="1" header="0.5" footer="0.5"/>
  <pageSetup orientation="landscape" paperSize="8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99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3" customWidth="1" min="2" max="2"/>
    <col width="105" customWidth="1" min="3" max="3"/>
  </cols>
  <sheetData>
    <row r="1" ht="30" customHeight="1">
      <c r="A1" s="1" t="inlineStr">
        <is>
          <t>已核验地图来源（解析迁移链接后的实际路径）</t>
        </is>
      </c>
    </row>
    <row r="2" ht="30" customHeight="1">
      <c r="A2" s="1" t="inlineStr">
        <is>
          <t>原始地图保留；CLIP+bbox读出复用同一地图与成员，仅重放bbox语义特征。</t>
        </is>
      </c>
    </row>
    <row r="3"/>
    <row r="4" ht="38" customHeight="1">
      <c r="A4" s="2" t="inlineStr">
        <is>
          <t>场景</t>
        </is>
      </c>
      <c r="B4" s="2" t="inlineStr">
        <is>
          <t>方法</t>
        </is>
      </c>
      <c r="C4" s="2" t="inlineStr">
        <is>
          <t>实际地图路径</t>
        </is>
      </c>
    </row>
    <row r="5" ht="55" customHeight="1">
      <c r="A5" s="3" t="inlineStr">
        <is>
          <t>room0</t>
        </is>
      </c>
      <c r="B5" s="3" t="inlineStr">
        <is>
          <t>Baseline_gateoff</t>
        </is>
      </c>
      <c r="C5" s="3" t="inlineStr">
        <is>
          <t>/data/chenkejun/beauty/conceptgraphs/results/experiments/oracle_three_error_20260828/pilot/b0_dataset/Replica/room0/exps/aligned_gateoff_CLIP_room0_20260910/pcd_aligned_gateoff_CLIP_room0_20260910.pkl.gz</t>
        </is>
      </c>
    </row>
    <row r="6" ht="55" customHeight="1">
      <c r="A6" s="5" t="inlineStr">
        <is>
          <t>room0</t>
        </is>
      </c>
      <c r="B6" s="5" t="inlineStr">
        <is>
          <t>v7_CLIP</t>
        </is>
      </c>
      <c r="C6" s="5" t="inlineStr">
        <is>
          <t>/data/chenkejun/beauty/conceptgraphs/results/experiments/oracle_three_error_20260828/pilot/b0_dataset/Replica/room0/exps/v7_CLIP_auto_20260909_160519_2075470/pcd_v7_CLIP_auto_20260909_160519_2075470.pkl.gz</t>
        </is>
      </c>
    </row>
    <row r="7" ht="55" customHeight="1">
      <c r="A7" s="3" t="inlineStr">
        <is>
          <t>room0</t>
        </is>
      </c>
      <c r="B7" s="3" t="inlineStr">
        <is>
          <t>OVI_MAP</t>
        </is>
      </c>
      <c r="C7" s="3" t="inlineStr">
        <is>
          <t>/home/chenkejun/beauty/ovimap_aligned_eval_20260908/exports/ovi_room0_full400.npz</t>
        </is>
      </c>
    </row>
    <row r="8" ht="55" customHeight="1">
      <c r="A8" s="5" t="inlineStr">
        <is>
          <t>room0</t>
        </is>
      </c>
      <c r="B8" s="5" t="inlineStr">
        <is>
          <t>ali_my</t>
        </is>
      </c>
      <c r="C8" s="5" t="inlineStr">
        <is>
          <t>/home/chenkejun/beauty/conceptgraphs/data/Replica/room0/exps/ali_my_paper_main_aligned_room0_400f_stride5_bff233f_20260821/pcd_ali_my_paper_main_aligned_room0_400f_stride5_bff233f_20260821.pkl.gz</t>
        </is>
      </c>
    </row>
    <row r="9" ht="55" customHeight="1">
      <c r="A9" s="3" t="inlineStr">
        <is>
          <t>room0</t>
        </is>
      </c>
      <c r="B9" s="3" t="inlineStr">
        <is>
          <t>merge_2</t>
        </is>
      </c>
      <c r="C9" s="3" t="inlineStr">
        <is>
          <t>/data/chenkejun/beauty/conceptgraphs/results/experiments/oracle_three_error_20260828/pilot/b0_dataset/Replica/room0/exps/v7_merge_2_auto_20260909_171304_2134673/pcd_v7_merge_2_auto_20260909_171304_2134673.pkl.gz</t>
        </is>
      </c>
    </row>
    <row r="10" ht="55" customHeight="1">
      <c r="A10" s="5" t="inlineStr">
        <is>
          <t>room1</t>
        </is>
      </c>
      <c r="B10" s="5" t="inlineStr">
        <is>
          <t>Baseline_gateoff</t>
        </is>
      </c>
      <c r="C10" s="5" t="inlineStr">
        <is>
          <t>/home/chenkejun/beauty/conceptgraphs/results/experiments/oracle_three_error_20260828/pilot/b0_dataset/Replica/room1/exps/aligned_gateoff_CLIP_room1_20260910/pcd_aligned_gateoff_CLIP_room1_20260910.pkl.gz</t>
        </is>
      </c>
    </row>
    <row r="11" ht="55" customHeight="1">
      <c r="A11" s="3" t="inlineStr">
        <is>
          <t>room1</t>
        </is>
      </c>
      <c r="B11" s="3" t="inlineStr">
        <is>
          <t>v7_CLIP</t>
        </is>
      </c>
      <c r="C11" s="3" t="inlineStr">
        <is>
          <t>/home/chenkejun/beauty/conceptgraphs/results/experiments/oracle_three_error_20260828/pilot/b0_dataset/Replica/room1/exps/v7_CLIP_auto_20260909_205426_16948/pcd_v7_CLIP_auto_20260909_205426_16948.pkl.gz</t>
        </is>
      </c>
    </row>
    <row r="12" ht="55" customHeight="1">
      <c r="A12" s="5" t="inlineStr">
        <is>
          <t>room1</t>
        </is>
      </c>
      <c r="B12" s="5" t="inlineStr">
        <is>
          <t>OVI_MAP</t>
        </is>
      </c>
      <c r="C12" s="5" t="inlineStr">
        <is>
          <t>/home/chenkejun/beauty/ovimap_aligned_eval_20260908/exports/ovi_room1_full400.npz</t>
        </is>
      </c>
    </row>
    <row r="13" ht="55" customHeight="1">
      <c r="A13" s="3" t="inlineStr">
        <is>
          <t>room1</t>
        </is>
      </c>
      <c r="B13" s="3" t="inlineStr">
        <is>
          <t>ali_my</t>
        </is>
      </c>
      <c r="C13" s="3" t="inlineStr">
        <is>
          <t>/home/chenkejun/beauty/conceptgraphs/data/Replica/room1/exps/ali_my_paper_main_aligned_room1_400f_stride5_bff233f_20260821/pcd_ali_my_paper_main_aligned_room1_400f_stride5_bff233f_20260821.pkl.gz</t>
        </is>
      </c>
    </row>
    <row r="14" ht="55" customHeight="1">
      <c r="A14" s="5" t="inlineStr">
        <is>
          <t>room2</t>
        </is>
      </c>
      <c r="B14" s="5" t="inlineStr">
        <is>
          <t>Baseline_gateoff</t>
        </is>
      </c>
      <c r="C14" s="5" t="inlineStr">
        <is>
          <t>/home/chenkejun/beauty/conceptgraphs/results/experiments/oracle_three_error_20260828/pilot/b0_dataset/Replica/room2/exps/aligned_gateoff_CLIP_room2_20260910/pcd_aligned_gateoff_CLIP_room2_20260910.pkl.gz</t>
        </is>
      </c>
    </row>
    <row r="15" ht="55" customHeight="1">
      <c r="A15" s="3" t="inlineStr">
        <is>
          <t>room2</t>
        </is>
      </c>
      <c r="B15" s="3" t="inlineStr">
        <is>
          <t>v7_CLIP</t>
        </is>
      </c>
      <c r="C15" s="3" t="inlineStr">
        <is>
          <t>/home/chenkejun/beauty/conceptgraphs/results/experiments/oracle_three_error_20260828/pilot/b0_dataset/Replica/room2/exps/v7_CLIP_auto_20260909_224359_1079274/pcd_v7_CLIP_auto_20260909_224359_1079274.pkl.gz</t>
        </is>
      </c>
    </row>
    <row r="16" ht="55" customHeight="1">
      <c r="A16" s="5" t="inlineStr">
        <is>
          <t>room2</t>
        </is>
      </c>
      <c r="B16" s="5" t="inlineStr">
        <is>
          <t>OVI_MAP</t>
        </is>
      </c>
      <c r="C16" s="5" t="inlineStr">
        <is>
          <t>/home/chenkejun/beauty/ovimap_aligned_eval_20260908/exports/ovi_room2_full400.npz</t>
        </is>
      </c>
    </row>
    <row r="17" ht="55" customHeight="1">
      <c r="A17" s="3" t="inlineStr">
        <is>
          <t>room2</t>
        </is>
      </c>
      <c r="B17" s="3" t="inlineStr">
        <is>
          <t>ali_my</t>
        </is>
      </c>
      <c r="C17" s="3" t="inlineStr">
        <is>
          <t>/home/chenkejun/beauty/conceptgraphs/data/Replica/room2/exps/ali_my_paper_main_aligned_room2_400f_stride5_bff233f_20260821/pcd_ali_my_paper_main_aligned_room2_400f_stride5_bff233f_20260821.pkl.gz</t>
        </is>
      </c>
    </row>
    <row r="18" ht="55" customHeight="1">
      <c r="A18" s="5" t="inlineStr">
        <is>
          <t>office0</t>
        </is>
      </c>
      <c r="B18" s="5" t="inlineStr">
        <is>
          <t>Baseline_gateoff</t>
        </is>
      </c>
      <c r="C18" s="5" t="inlineStr">
        <is>
          <t>/data/chenkejun/beauty/conceptgraphs/results/experiments/oracle_three_error_20260828/pilot/b0_dataset/Replica/office0/exps/aligned_gateoff_CLIP_office0_20260910/pcd_aligned_gateoff_CLIP_office0_20260910.pkl.gz</t>
        </is>
      </c>
    </row>
    <row r="19" ht="55" customHeight="1">
      <c r="A19" s="3" t="inlineStr">
        <is>
          <t>office0</t>
        </is>
      </c>
      <c r="B19" s="3" t="inlineStr">
        <is>
          <t>v7_CLIP</t>
        </is>
      </c>
      <c r="C19" s="3" t="inlineStr">
        <is>
          <t>/data/chenkejun/beauty/conceptgraphs/results/experiments/oracle_three_error_20260828/pilot/b0_dataset/Replica/office0/exps/v7_CLIP_auto_20260909_235305_1676132/pcd_v7_CLIP_auto_20260909_235305_1676132.pkl.gz</t>
        </is>
      </c>
    </row>
    <row r="20" ht="55" customHeight="1">
      <c r="A20" s="5" t="inlineStr">
        <is>
          <t>office0</t>
        </is>
      </c>
      <c r="B20" s="5" t="inlineStr">
        <is>
          <t>OVI_MAP</t>
        </is>
      </c>
      <c r="C20" s="5" t="inlineStr">
        <is>
          <t>/home/chenkejun/beauty/ovimap_aligned_eval_20260908/exports/ovi_office0_full400.npz</t>
        </is>
      </c>
    </row>
    <row r="21" ht="55" customHeight="1">
      <c r="A21" s="3" t="inlineStr">
        <is>
          <t>office0</t>
        </is>
      </c>
      <c r="B21" s="3" t="inlineStr">
        <is>
          <t>ali_my</t>
        </is>
      </c>
      <c r="C21" s="3" t="inlineStr">
        <is>
          <t>/home/chenkejun/beauty/conceptgraphs/data/Replica/office0/exps/ali_my_paper_main_aligned_office0_400f_stride5_bff233f_20260821/pcd_ali_my_paper_main_aligned_office0_400f_stride5_bff233f_20260821.pkl.gz</t>
        </is>
      </c>
    </row>
    <row r="22" ht="55" customHeight="1">
      <c r="A22" s="5" t="inlineStr">
        <is>
          <t>office1</t>
        </is>
      </c>
      <c r="B22" s="5" t="inlineStr">
        <is>
          <t>Baseline_gateoff</t>
        </is>
      </c>
      <c r="C22" s="5" t="inlineStr">
        <is>
          <t>/data/chenkejun/beauty/conceptgraphs/results/experiments/oracle_three_error_20260828/pilot/b0_dataset/Replica/office1/exps/aligned_gateoff_CLIP_office1_20260910/pcd_aligned_gateoff_CLIP_office1_20260910.pkl.gz</t>
        </is>
      </c>
    </row>
    <row r="23" ht="55" customHeight="1">
      <c r="A23" s="3" t="inlineStr">
        <is>
          <t>office1</t>
        </is>
      </c>
      <c r="B23" s="3" t="inlineStr">
        <is>
          <t>v7_CLIP</t>
        </is>
      </c>
      <c r="C23" s="3" t="inlineStr">
        <is>
          <t>/data/chenkejun/beauty/conceptgraphs/results/experiments/oracle_three_error_20260828/pilot/b0_dataset/Replica/office1/exps/v7_CLIP_auto_20260910_003918_2667263/pcd_v7_CLIP_auto_20260910_003918_2667263.pkl.gz</t>
        </is>
      </c>
    </row>
    <row r="24" ht="55" customHeight="1">
      <c r="A24" s="5" t="inlineStr">
        <is>
          <t>office1</t>
        </is>
      </c>
      <c r="B24" s="5" t="inlineStr">
        <is>
          <t>OVI_MAP</t>
        </is>
      </c>
      <c r="C24" s="5" t="inlineStr">
        <is>
          <t>/home/chenkejun/beauty/ovimap_aligned_eval_20260908/exports/ovi_office1_full400.npz</t>
        </is>
      </c>
    </row>
    <row r="25" ht="55" customHeight="1">
      <c r="A25" s="3" t="inlineStr">
        <is>
          <t>office1</t>
        </is>
      </c>
      <c r="B25" s="3" t="inlineStr">
        <is>
          <t>ali_my</t>
        </is>
      </c>
      <c r="C25" s="3" t="inlineStr">
        <is>
          <t>/home/chenkejun/beauty/conceptgraphs/data/Replica/office1/exps/ali_my_paper_main_aligned_office1_400f_stride5_bff233f_20260821/pcd_ali_my_paper_main_aligned_office1_400f_stride5_bff233f_20260821.pkl.gz</t>
        </is>
      </c>
    </row>
    <row r="26" ht="55" customHeight="1">
      <c r="A26" s="5" t="inlineStr">
        <is>
          <t>office2</t>
        </is>
      </c>
      <c r="B26" s="5" t="inlineStr">
        <is>
          <t>Baseline_gateoff</t>
        </is>
      </c>
      <c r="C26" s="5" t="inlineStr">
        <is>
          <t>/data/chenkejun/beauty/conceptgraphs/results/experiments/oracle_three_error_20260828/pilot/b0_dataset/Replica/office2/exps/aligned_gateoff_CLIP_office2_20260910/pcd_aligned_gateoff_CLIP_office2_20260910.pkl.gz</t>
        </is>
      </c>
    </row>
    <row r="27" ht="55" customHeight="1">
      <c r="A27" s="3" t="inlineStr">
        <is>
          <t>office2</t>
        </is>
      </c>
      <c r="B27" s="3" t="inlineStr">
        <is>
          <t>v7_CLIP</t>
        </is>
      </c>
      <c r="C27" s="3" t="inlineStr">
        <is>
          <t>/data/chenkejun/beauty/conceptgraphs/results/experiments/oracle_three_error_20260828/pilot/b0_dataset/Replica/office2/exps/v7_CLIP_auto_20260909_184833_3119794/pcd_v7_CLIP_auto_20260909_184833_3119794.pkl.gz</t>
        </is>
      </c>
    </row>
    <row r="28" ht="55" customHeight="1">
      <c r="A28" s="5" t="inlineStr">
        <is>
          <t>office2</t>
        </is>
      </c>
      <c r="B28" s="5" t="inlineStr">
        <is>
          <t>OVI_MAP</t>
        </is>
      </c>
      <c r="C28" s="5" t="inlineStr">
        <is>
          <t>/home/chenkejun/beauty/ovimap_aligned_eval_20260908/exports/ovi_office2_full400.npz</t>
        </is>
      </c>
    </row>
    <row r="29" ht="55" customHeight="1">
      <c r="A29" s="3" t="inlineStr">
        <is>
          <t>office2</t>
        </is>
      </c>
      <c r="B29" s="3" t="inlineStr">
        <is>
          <t>ali_my</t>
        </is>
      </c>
      <c r="C29" s="3" t="inlineStr">
        <is>
          <t>/home/chenkejun/beauty/conceptgraphs/data/Replica/office2/exps/ali_my_paper_main_aligned_office2_400f_stride5_bff233f_20260821/pcd_ali_my_paper_main_aligned_office2_400f_stride5_bff233f_20260821.pkl.gz</t>
        </is>
      </c>
    </row>
    <row r="30" ht="55" customHeight="1">
      <c r="A30" s="5" t="inlineStr">
        <is>
          <t>office3</t>
        </is>
      </c>
      <c r="B30" s="5" t="inlineStr">
        <is>
          <t>Baseline_gateoff</t>
        </is>
      </c>
      <c r="C30" s="5" t="inlineStr">
        <is>
          <t>/data/chenkejun/beauty/conceptgraphs/results/experiments/oracle_three_error_20260828/pilot/b0_dataset/Replica/office3/exps/aligned_gateoff_CLIP_office3_20260910/pcd_aligned_gateoff_CLIP_office3_20260910.pkl.gz</t>
        </is>
      </c>
    </row>
    <row r="31" ht="55" customHeight="1">
      <c r="A31" s="3" t="inlineStr">
        <is>
          <t>office3</t>
        </is>
      </c>
      <c r="B31" s="3" t="inlineStr">
        <is>
          <t>v7_CLIP</t>
        </is>
      </c>
      <c r="C31" s="3" t="inlineStr">
        <is>
          <t>/data/chenkejun/beauty/conceptgraphs/results/experiments/oracle_three_error_20260828/pilot/b0_dataset/Replica/office3/exps/v7_CLIP_auto_20260910_013704_3671961/pcd_v7_CLIP_auto_20260910_013704_3671961.pkl.gz</t>
        </is>
      </c>
    </row>
    <row r="32" ht="55" customHeight="1">
      <c r="A32" s="5" t="inlineStr">
        <is>
          <t>office3</t>
        </is>
      </c>
      <c r="B32" s="5" t="inlineStr">
        <is>
          <t>OVI_MAP</t>
        </is>
      </c>
      <c r="C32" s="5" t="inlineStr">
        <is>
          <t>/home/chenkejun/beauty/ovimap_aligned_eval_20260908/exports/ovi_office3_full400.npz</t>
        </is>
      </c>
    </row>
    <row r="33" ht="55" customHeight="1">
      <c r="A33" s="3" t="inlineStr">
        <is>
          <t>office3</t>
        </is>
      </c>
      <c r="B33" s="3" t="inlineStr">
        <is>
          <t>ali_my</t>
        </is>
      </c>
      <c r="C33" s="3" t="inlineStr">
        <is>
          <t>/home/chenkejun/beauty/conceptgraphs/data/Replica/office3/exps/ali_my_paper_main_aligned_office3_400f_stride5_bff233f_20260821/pcd_ali_my_paper_main_aligned_office3_400f_stride5_bff233f_20260821.pkl.gz</t>
        </is>
      </c>
    </row>
    <row r="34" ht="55" customHeight="1">
      <c r="A34" s="5" t="inlineStr">
        <is>
          <t>office4</t>
        </is>
      </c>
      <c r="B34" s="5" t="inlineStr">
        <is>
          <t>Baseline_gateoff</t>
        </is>
      </c>
      <c r="C34" s="5" t="inlineStr">
        <is>
          <t>/data/chenkejun/beauty/conceptgraphs/results/experiments/oracle_three_error_20260828/pilot/b0_dataset/Replica/office4/exps/aligned_gateoff_CLIP_office4_20260910/pcd_aligned_gateoff_CLIP_office4_20260910.pkl.gz</t>
        </is>
      </c>
    </row>
    <row r="35" ht="55" customHeight="1">
      <c r="A35" s="3" t="inlineStr">
        <is>
          <t>office4</t>
        </is>
      </c>
      <c r="B35" s="3" t="inlineStr">
        <is>
          <t>v7_CLIP</t>
        </is>
      </c>
      <c r="C35" s="3" t="inlineStr">
        <is>
          <t>/data/chenkejun/beauty/conceptgraphs/results/experiments/oracle_three_error_20260828/pilot/b0_dataset/Replica/office4/exps/v7_CLIP_auto_20260910_033537_316703/pcd_v7_CLIP_auto_20260910_033537_316703.pkl.gz</t>
        </is>
      </c>
    </row>
    <row r="36" ht="55" customHeight="1">
      <c r="A36" s="5" t="inlineStr">
        <is>
          <t>office4</t>
        </is>
      </c>
      <c r="B36" s="5" t="inlineStr">
        <is>
          <t>OVI_MAP</t>
        </is>
      </c>
      <c r="C36" s="5" t="inlineStr">
        <is>
          <t>/home/chenkejun/beauty/ovimap_aligned_eval_20260908/exports/ovi_office4_full400.npz</t>
        </is>
      </c>
    </row>
    <row r="37" ht="55" customHeight="1">
      <c r="A37" s="3" t="inlineStr">
        <is>
          <t>office4</t>
        </is>
      </c>
      <c r="B37" s="3" t="inlineStr">
        <is>
          <t>ali_my</t>
        </is>
      </c>
      <c r="C37" s="3" t="inlineStr">
        <is>
          <t>/home/chenkejun/beauty/conceptgraphs/data/Replica/office4/exps/ali_my_paper_main_aligned_office4_400f_stride5_bff233f_20260821/pcd_ali_my_paper_main_aligned_office4_400f_stride5_bff233f_20260821.pkl.gz</t>
        </is>
      </c>
    </row>
    <row r="38" ht="55" customHeight="1">
      <c r="A38" s="3" t="inlineStr">
        <is>
          <t>office2</t>
        </is>
      </c>
      <c r="B38" s="3" t="inlineStr">
        <is>
          <t>v7_merge_re</t>
        </is>
      </c>
      <c r="C38" s="3" t="inlineStr">
        <is>
          <t>/home/chenkejun/beauty/conceptgraphs/results/experiments/oracle_three_error_20260828/pilot/b0_dataset/Replica/office2/exps/v7_merge_re_auto_20260910_160644_2867240/pcd_v7_merge_re_auto_20260910_160644_2867240.pkl.gz</t>
        </is>
      </c>
    </row>
    <row r="39" ht="55" customHeight="1">
      <c r="A39" s="3" t="inlineStr">
        <is>
          <t>office2</t>
        </is>
      </c>
      <c r="B39" s="3" t="inlineStr">
        <is>
          <t>v7_merge</t>
        </is>
      </c>
      <c r="C39" s="3" t="inlineStr">
        <is>
          <t>/data/chenkejun/beauty/conceptgraphs/results/experiments/oracle_three_error_20260828/pilot/b0_dataset/Replica/office2/exps/v7_merge_auto_20260909_133115_1287091/pcd_v7_merge_auto_20260909_133115_1287091.pkl.gz</t>
        </is>
      </c>
    </row>
    <row r="40" ht="55" customHeight="1">
      <c r="A40" s="3" t="inlineStr">
        <is>
          <t>room0</t>
        </is>
      </c>
      <c r="B40" s="3" t="inlineStr">
        <is>
          <t>TwoRoad（融合旧读出）</t>
        </is>
      </c>
      <c r="C40" s="3" t="inlineStr">
        <is>
          <t>/home/chenkejun/beauty/conceptgraphs/results/experiments/oracle_three_error_20260828/pilot/b0_dataset/Replica/room0/exps/v7_CLIP_TwoRoad_auto_20260910_191042_3148247/pcd_v7_CLIP_TwoRoad_auto_20260910_191042_3148247.pkl.gz</t>
        </is>
      </c>
    </row>
    <row r="41" ht="74" customHeight="1">
      <c r="A41" s="12" t="inlineStr">
        <is>
          <t>room0</t>
        </is>
      </c>
      <c r="B41" s="12" t="inlineStr">
        <is>
          <t>CLIP+bbox读出</t>
        </is>
      </c>
      <c r="C41" s="17" t="inlineStr">
        <is>
          <t>/data/chenkejun/beauty/conceptgraphs/results/experiments/oracle_three_error_20260828/pilot/b0_dataset/Replica/room0/exps/v7_CLIP_auto_20260909_160519_2075470/pcd_v7_CLIP_auto_20260909_160519_2075470.pkl.gz；语义特征：/home/chenkejun/beauty/tworoad_readout_v2_20260911/room0/final_semantic_bbox.npy</t>
        </is>
      </c>
    </row>
    <row r="42" ht="74" customHeight="1">
      <c r="A42" s="12" t="inlineStr">
        <is>
          <t>room1</t>
        </is>
      </c>
      <c r="B42" s="12" t="inlineStr">
        <is>
          <t>CLIP+bbox读出</t>
        </is>
      </c>
      <c r="C42" s="17" t="inlineStr">
        <is>
          <t>/home/chenkejun/beauty/conceptgraphs/results/experiments/oracle_three_error_20260828/pilot/b0_dataset/Replica/room1/exps/v7_CLIP_auto_20260909_205426_16948/pcd_v7_CLIP_auto_20260909_205426_16948.pkl.gz；语义特征：/home/chenkejun/beauty/tworoad_readout_v2_20260911/room1/final_semantic_bbox.npy</t>
        </is>
      </c>
    </row>
    <row r="43" ht="74" customHeight="1">
      <c r="A43" s="12" t="inlineStr">
        <is>
          <t>room2</t>
        </is>
      </c>
      <c r="B43" s="12" t="inlineStr">
        <is>
          <t>CLIP+bbox读出</t>
        </is>
      </c>
      <c r="C43" s="17" t="inlineStr">
        <is>
          <t>/home/chenkejun/beauty/conceptgraphs/results/experiments/oracle_three_error_20260828/pilot/b0_dataset/Replica/room2/exps/v7_CLIP_auto_20260909_224359_1079274/pcd_v7_CLIP_auto_20260909_224359_1079274.pkl.gz；语义特征：/home/chenkejun/beauty/tworoad_readout_v2_20260911/room2/final_semantic_bbox.npy</t>
        </is>
      </c>
    </row>
    <row r="44" ht="74" customHeight="1">
      <c r="A44" s="12" t="inlineStr">
        <is>
          <t>office0</t>
        </is>
      </c>
      <c r="B44" s="12" t="inlineStr">
        <is>
          <t>CLIP+bbox读出</t>
        </is>
      </c>
      <c r="C44" s="17" t="inlineStr">
        <is>
          <t>/data/chenkejun/beauty/conceptgraphs/results/experiments/oracle_three_error_20260828/pilot/b0_dataset/Replica/office0/exps/v7_CLIP_auto_20260909_235305_1676132/pcd_v7_CLIP_auto_20260909_235305_1676132.pkl.gz；语义特征：/home/chenkejun/beauty/tworoad_readout_v2_20260911/office0/final_semantic_bbox.npy</t>
        </is>
      </c>
    </row>
    <row r="45" ht="74" customHeight="1">
      <c r="A45" s="12" t="inlineStr">
        <is>
          <t>office1</t>
        </is>
      </c>
      <c r="B45" s="12" t="inlineStr">
        <is>
          <t>CLIP+bbox读出</t>
        </is>
      </c>
      <c r="C45" s="17" t="inlineStr">
        <is>
          <t>/data/chenkejun/beauty/conceptgraphs/results/experiments/oracle_three_error_20260828/pilot/b0_dataset/Replica/office1/exps/v7_CLIP_auto_20260910_003918_2667263/pcd_v7_CLIP_auto_20260910_003918_2667263.pkl.gz；语义特征：/home/chenkejun/beauty/tworoad_readout_v2_20260911/office1/final_semantic_bbox.npy</t>
        </is>
      </c>
    </row>
    <row r="46" ht="74" customHeight="1">
      <c r="A46" s="12" t="inlineStr">
        <is>
          <t>office2</t>
        </is>
      </c>
      <c r="B46" s="12" t="inlineStr">
        <is>
          <t>CLIP+bbox读出</t>
        </is>
      </c>
      <c r="C46" s="17" t="inlineStr">
        <is>
          <t>/data/chenkejun/beauty/conceptgraphs/results/experiments/oracle_three_error_20260828/pilot/b0_dataset/Replica/office2/exps/v7_CLIP_auto_20260909_184833_3119794/pcd_v7_CLIP_auto_20260909_184833_3119794.pkl.gz；语义特征：/home/chenkejun/beauty/tworoad_readout_v2_20260911/office2/final_semantic_bbox.npy</t>
        </is>
      </c>
    </row>
    <row r="47" ht="74" customHeight="1">
      <c r="A47" s="12" t="inlineStr">
        <is>
          <t>office3</t>
        </is>
      </c>
      <c r="B47" s="12" t="inlineStr">
        <is>
          <t>CLIP+bbox读出</t>
        </is>
      </c>
      <c r="C47" s="17" t="inlineStr">
        <is>
          <t>/data/chenkejun/beauty/conceptgraphs/results/experiments/oracle_three_error_20260828/pilot/b0_dataset/Replica/office3/exps/v7_CLIP_auto_20260910_013704_3671961/pcd_v7_CLIP_auto_20260910_013704_3671961.pkl.gz；语义特征：/home/chenkejun/beauty/tworoad_readout_v2_20260911/office3/final_semantic_bbox.npy</t>
        </is>
      </c>
    </row>
    <row r="48" ht="74" customHeight="1">
      <c r="A48" s="12" t="inlineStr">
        <is>
          <t>office4</t>
        </is>
      </c>
      <c r="B48" s="12" t="inlineStr">
        <is>
          <t>CLIP+bbox读出</t>
        </is>
      </c>
      <c r="C48" s="17" t="inlineStr">
        <is>
          <t>/data/chenkejun/beauty/conceptgraphs/results/experiments/oracle_three_error_20260828/pilot/b0_dataset/Replica/office4/exps/v7_CLIP_auto_20260910_033537_316703/pcd_v7_CLIP_auto_20260910_033537_316703.pkl.gz；语义特征：/home/chenkejun/beauty/tworoad_readout_v2_20260911/office4/final_semantic_bbox.npy</t>
        </is>
      </c>
    </row>
    <row r="49" ht="74" customHeight="1">
      <c r="A49" s="12" t="inlineStr">
        <is>
          <t>room0</t>
        </is>
      </c>
      <c r="B49" s="12" t="inlineStr">
        <is>
          <t>TwoRoad bbox读出</t>
        </is>
      </c>
      <c r="C49" s="17" t="inlineStr">
        <is>
          <t>/home/chenkejun/beauty/tworoad_readout_v2_20260911/maps/tworoad_room0_bbox.pkl.gz</t>
        </is>
      </c>
    </row>
    <row r="50" ht="55" customHeight="1">
      <c r="A50" s="3" t="inlineStr">
        <is>
          <t>room1</t>
        </is>
      </c>
      <c r="B50" s="3" t="inlineStr">
        <is>
          <t>v7_CLIP_v3</t>
        </is>
      </c>
      <c r="C50" s="3" t="inlineStr">
        <is>
          <t>/data/chenkejun/beauty/v7_CLIP_v3_20260911/Replica/room1/exps/v7_CLIP_v3_room1_20260911_full400/pcd_v7_CLIP_v3_room1_20260911_full400.pkl.gz</t>
        </is>
      </c>
    </row>
    <row r="51" ht="55" customHeight="1">
      <c r="A51" s="3" t="inlineStr">
        <is>
          <t>room2</t>
        </is>
      </c>
      <c r="B51" s="3" t="inlineStr">
        <is>
          <t>v7_CLIP_v3</t>
        </is>
      </c>
      <c r="C51" s="3" t="inlineStr">
        <is>
          <t>/data/chenkejun/beauty/v7_CLIP_v3_20260911/Replica/room2/exps/v7_CLIP_v3_room2_20260911_full400/pcd_v7_CLIP_v3_room2_20260911_full400.pkl.gz</t>
        </is>
      </c>
    </row>
    <row r="52" ht="55" customHeight="1">
      <c r="A52" s="3" t="inlineStr">
        <is>
          <t>office0</t>
        </is>
      </c>
      <c r="B52" s="3" t="inlineStr">
        <is>
          <t>v7_CLIP_v3</t>
        </is>
      </c>
      <c r="C52" s="3" t="inlineStr">
        <is>
          <t>/data/chenkejun/beauty/v7_CLIP_v3_20260911/Replica/office0/exps/v7_CLIP_v3_office0_20260911_full400/pcd_v7_CLIP_v3_office0_20260911_full400.pkl.gz</t>
        </is>
      </c>
    </row>
    <row r="53" ht="55" customHeight="1">
      <c r="A53" s="3" t="inlineStr">
        <is>
          <t>office1</t>
        </is>
      </c>
      <c r="B53" s="3" t="inlineStr">
        <is>
          <t>v7_CLIP_v3</t>
        </is>
      </c>
      <c r="C53" s="3" t="inlineStr">
        <is>
          <t>/data/chenkejun/beauty/v7_CLIP_v3_20260911/Replica/office1/exps/v7_CLIP_v3_office1_20260911_full400/pcd_v7_CLIP_v3_office1_20260911_full400.pkl.gz</t>
        </is>
      </c>
    </row>
    <row r="54" ht="55" customHeight="1">
      <c r="A54" s="3" t="inlineStr">
        <is>
          <t>office2</t>
        </is>
      </c>
      <c r="B54" s="3" t="inlineStr">
        <is>
          <t>v7_CLIP_v3</t>
        </is>
      </c>
      <c r="C54" s="3" t="inlineStr">
        <is>
          <t>/data/chenkejun/beauty/v7_CLIP_v3_20260911/Replica/office2/exps/v7_CLIP_v3_office2_20260911_full400/pcd_v7_CLIP_v3_office2_20260911_full400.pkl.gz</t>
        </is>
      </c>
    </row>
    <row r="55" ht="72" customHeight="1">
      <c r="A55" s="3" t="inlineStr">
        <is>
          <t>room0</t>
        </is>
      </c>
      <c r="B55" s="3" t="inlineStr">
        <is>
          <t>A ali-my bff233f</t>
        </is>
      </c>
      <c r="C55" s="3" t="inlineStr">
        <is>
          <t>/home/chenkejun/beauty/conceptgraphs/data/Replica/room0/exps/ali_my_paper_main_aligned_room0_400f_stride5_bff233f_20260821/pcd_ali_my_paper_main_aligned_room0_400f_stride5_bff233f_20260821.pkl.gz</t>
        </is>
      </c>
    </row>
    <row r="56" ht="72" customHeight="1">
      <c r="A56" s="3" t="inlineStr">
        <is>
          <t>room0</t>
        </is>
      </c>
      <c r="B56" s="3" t="inlineStr">
        <is>
          <t>B 原图（无VLM）</t>
        </is>
      </c>
      <c r="C56" s="3" t="inlineStr">
        <is>
          <t>/data/chenkejun/paper_ablation_20260911/runs/B_baseline_original_rgb/Replica/room0/exps/B_baseline_original_rgb_room0/pcd_B_baseline_original_rgb_room0.pkl.gz</t>
        </is>
      </c>
    </row>
    <row r="57" ht="72" customHeight="1">
      <c r="A57" s="3" t="inlineStr">
        <is>
          <t>room0</t>
        </is>
      </c>
      <c r="B57" s="3" t="inlineStr">
        <is>
          <t>C 原图+CLIP（无VLM）</t>
        </is>
      </c>
      <c r="C57" s="3" t="inlineStr">
        <is>
          <t>/data/chenkejun/paper_ablation_20260911/runs/C_baseline_original_rgb_clip/Replica/room0/exps/C_baseline_original_rgb_clip_room0/pcd_C_baseline_original_rgb_clip_room0.pkl.gz</t>
        </is>
      </c>
    </row>
    <row r="58" ht="72" customHeight="1">
      <c r="A58" s="3" t="inlineStr">
        <is>
          <t>room1</t>
        </is>
      </c>
      <c r="B58" s="3" t="inlineStr">
        <is>
          <t>A ali-my bff233f</t>
        </is>
      </c>
      <c r="C58" s="3" t="inlineStr">
        <is>
          <t>/home/chenkejun/beauty/conceptgraphs/data/Replica/room1/exps/ali_my_paper_main_aligned_room1_400f_stride5_bff233f_20260821/pcd_ali_my_paper_main_aligned_room1_400f_stride5_bff233f_20260821.pkl.gz</t>
        </is>
      </c>
    </row>
    <row r="59" ht="72" customHeight="1">
      <c r="A59" s="3" t="inlineStr">
        <is>
          <t>room1</t>
        </is>
      </c>
      <c r="B59" s="3" t="inlineStr">
        <is>
          <t>B 原图（无VLM）</t>
        </is>
      </c>
      <c r="C59" s="3" t="inlineStr">
        <is>
          <t>/data/chenkejun/paper_ablation_20260911/runs/B_baseline_original_rgb/Replica/room1/exps/B_baseline_original_rgb_room1/pcd_B_baseline_original_rgb_room1.pkl.gz</t>
        </is>
      </c>
    </row>
    <row r="60" ht="72" customHeight="1">
      <c r="A60" s="3" t="inlineStr">
        <is>
          <t>room1</t>
        </is>
      </c>
      <c r="B60" s="3" t="inlineStr">
        <is>
          <t>C 原图+CLIP（无VLM）</t>
        </is>
      </c>
      <c r="C60" s="3" t="inlineStr">
        <is>
          <t>/data/chenkejun/paper_ablation_20260911/runs/C_baseline_original_rgb_clip/Replica/room1/exps/C_baseline_original_rgb_clip_room1/pcd_C_baseline_original_rgb_clip_room1.pkl.gz</t>
        </is>
      </c>
    </row>
    <row r="61" ht="72" customHeight="1">
      <c r="A61" s="3" t="inlineStr">
        <is>
          <t>room2</t>
        </is>
      </c>
      <c r="B61" s="3" t="inlineStr">
        <is>
          <t>A ali-my bff233f</t>
        </is>
      </c>
      <c r="C61" s="3" t="inlineStr">
        <is>
          <t>/home/chenkejun/beauty/conceptgraphs/data/Replica/room2/exps/ali_my_paper_main_aligned_room2_400f_stride5_bff233f_20260821/pcd_ali_my_paper_main_aligned_room2_400f_stride5_bff233f_20260821.pkl.gz</t>
        </is>
      </c>
    </row>
    <row r="62" ht="72" customHeight="1">
      <c r="A62" s="3" t="inlineStr">
        <is>
          <t>room2</t>
        </is>
      </c>
      <c r="B62" s="3" t="inlineStr">
        <is>
          <t>B 原图（无VLM）</t>
        </is>
      </c>
      <c r="C62" s="3" t="inlineStr">
        <is>
          <t>/data/chenkejun/paper_ablation_20260911/runs/B_baseline_original_rgb/Replica/room2/exps/B_baseline_original_rgb_room2/pcd_B_baseline_original_rgb_room2.pkl.gz</t>
        </is>
      </c>
    </row>
    <row r="63" ht="72" customHeight="1">
      <c r="A63" s="3" t="inlineStr">
        <is>
          <t>room2</t>
        </is>
      </c>
      <c r="B63" s="3" t="inlineStr">
        <is>
          <t>C 原图+CLIP（无VLM）</t>
        </is>
      </c>
      <c r="C63" s="3" t="inlineStr">
        <is>
          <t>/data/chenkejun/paper_ablation_20260911/runs/C_baseline_original_rgb_clip/Replica/room2/exps/C_baseline_original_rgb_clip_room2/pcd_C_baseline_original_rgb_clip_room2.pkl.gz</t>
        </is>
      </c>
    </row>
    <row r="64" ht="72" customHeight="1">
      <c r="A64" s="3" t="inlineStr">
        <is>
          <t>office0</t>
        </is>
      </c>
      <c r="B64" s="3" t="inlineStr">
        <is>
          <t>A ali-my bff233f</t>
        </is>
      </c>
      <c r="C64" s="3" t="inlineStr">
        <is>
          <t>/home/chenkejun/beauty/conceptgraphs/data/Replica/office0/exps/ali_my_paper_main_aligned_office0_400f_stride5_bff233f_20260821/pcd_ali_my_paper_main_aligned_office0_400f_stride5_bff233f_20260821.pkl.gz</t>
        </is>
      </c>
    </row>
    <row r="65" ht="72" customHeight="1">
      <c r="A65" s="3" t="inlineStr">
        <is>
          <t>office0</t>
        </is>
      </c>
      <c r="B65" s="3" t="inlineStr">
        <is>
          <t>B 原图（无VLM）</t>
        </is>
      </c>
      <c r="C65" s="3" t="inlineStr">
        <is>
          <t>/data/chenkejun/paper_ablation_20260911/runs/B_baseline_original_rgb/Replica/office0/exps/B_baseline_original_rgb_office0/pcd_B_baseline_original_rgb_office0.pkl.gz</t>
        </is>
      </c>
    </row>
    <row r="66" ht="72" customHeight="1">
      <c r="A66" s="3" t="inlineStr">
        <is>
          <t>office0</t>
        </is>
      </c>
      <c r="B66" s="3" t="inlineStr">
        <is>
          <t>C 原图+CLIP（无VLM）</t>
        </is>
      </c>
      <c r="C66" s="3" t="inlineStr">
        <is>
          <t>/data/chenkejun/paper_ablation_20260911/runs/C_baseline_original_rgb_clip/Replica/office0/exps/C_baseline_original_rgb_clip_office0/pcd_C_baseline_original_rgb_clip_office0.pkl.gz</t>
        </is>
      </c>
    </row>
    <row r="67" ht="72" customHeight="1">
      <c r="A67" s="3" t="inlineStr">
        <is>
          <t>office1</t>
        </is>
      </c>
      <c r="B67" s="3" t="inlineStr">
        <is>
          <t>A ali-my bff233f</t>
        </is>
      </c>
      <c r="C67" s="3" t="inlineStr">
        <is>
          <t>/home/chenkejun/beauty/conceptgraphs/data/Replica/office1/exps/ali_my_paper_main_aligned_office1_400f_stride5_bff233f_20260821/pcd_ali_my_paper_main_aligned_office1_400f_stride5_bff233f_20260821.pkl.gz</t>
        </is>
      </c>
    </row>
    <row r="68" ht="72" customHeight="1">
      <c r="A68" s="3" t="inlineStr">
        <is>
          <t>office1</t>
        </is>
      </c>
      <c r="B68" s="3" t="inlineStr">
        <is>
          <t>B 原图（无VLM）</t>
        </is>
      </c>
      <c r="C68" s="3" t="inlineStr">
        <is>
          <t>/data/chenkejun/paper_ablation_20260911/runs/B_baseline_original_rgb/Replica/office1/exps/B_baseline_original_rgb_office1/pcd_B_baseline_original_rgb_office1.pkl.gz</t>
        </is>
      </c>
    </row>
    <row r="69" ht="72" customHeight="1">
      <c r="A69" s="3" t="inlineStr">
        <is>
          <t>office1</t>
        </is>
      </c>
      <c r="B69" s="3" t="inlineStr">
        <is>
          <t>C 原图+CLIP（无VLM）</t>
        </is>
      </c>
      <c r="C69" s="3" t="inlineStr">
        <is>
          <t>/data/chenkejun/paper_ablation_20260911/runs/C_baseline_original_rgb_clip/Replica/office1/exps/C_baseline_original_rgb_clip_office1/pcd_C_baseline_original_rgb_clip_office1.pkl.gz</t>
        </is>
      </c>
    </row>
    <row r="70" ht="72" customHeight="1">
      <c r="A70" s="3" t="inlineStr">
        <is>
          <t>office2</t>
        </is>
      </c>
      <c r="B70" s="3" t="inlineStr">
        <is>
          <t>A ali-my bff233f</t>
        </is>
      </c>
      <c r="C70" s="3" t="inlineStr">
        <is>
          <t>/home/chenkejun/beauty/conceptgraphs/data/Replica/office2/exps/ali_my_paper_main_aligned_office2_400f_stride5_bff233f_20260821/pcd_ali_my_paper_main_aligned_office2_400f_stride5_bff233f_20260821.pkl.gz</t>
        </is>
      </c>
    </row>
    <row r="71" ht="72" customHeight="1">
      <c r="A71" s="3" t="inlineStr">
        <is>
          <t>office2</t>
        </is>
      </c>
      <c r="B71" s="3" t="inlineStr">
        <is>
          <t>B 原图（无VLM）</t>
        </is>
      </c>
      <c r="C71" s="3" t="inlineStr">
        <is>
          <t>/data/chenkejun/paper_ablation_20260911/runs/B_baseline_original_rgb/Replica/office2/exps/B_baseline_original_rgb_office2/pcd_B_baseline_original_rgb_office2.pkl.gz</t>
        </is>
      </c>
    </row>
    <row r="72" ht="72" customHeight="1">
      <c r="A72" s="3" t="inlineStr">
        <is>
          <t>office2</t>
        </is>
      </c>
      <c r="B72" s="3" t="inlineStr">
        <is>
          <t>C 原图+CLIP（无VLM）</t>
        </is>
      </c>
      <c r="C72" s="3" t="inlineStr">
        <is>
          <t>/data/chenkejun/paper_ablation_20260911/runs/C_baseline_original_rgb_clip/Replica/office2/exps/C_baseline_original_rgb_clip_office2/pcd_C_baseline_original_rgb_clip_office2.pkl.gz</t>
        </is>
      </c>
    </row>
    <row r="73" ht="72" customHeight="1">
      <c r="A73" s="3" t="inlineStr">
        <is>
          <t>office3</t>
        </is>
      </c>
      <c r="B73" s="3" t="inlineStr">
        <is>
          <t>A ali-my bff233f</t>
        </is>
      </c>
      <c r="C73" s="3" t="inlineStr">
        <is>
          <t>/home/chenkejun/beauty/conceptgraphs/data/Replica/office3/exps/ali_my_paper_main_aligned_office3_400f_stride5_bff233f_20260821/pcd_ali_my_paper_main_aligned_office3_400f_stride5_bff233f_20260821.pkl.gz</t>
        </is>
      </c>
    </row>
    <row r="74" ht="72" customHeight="1">
      <c r="A74" s="3" t="inlineStr">
        <is>
          <t>office3</t>
        </is>
      </c>
      <c r="B74" s="3" t="inlineStr">
        <is>
          <t>B 原图（无VLM）</t>
        </is>
      </c>
      <c r="C74" s="3" t="inlineStr">
        <is>
          <t>/data/chenkejun/paper_ablation_20260911/runs/B_baseline_original_rgb/Replica/office3/exps/B_baseline_original_rgb_office3/pcd_B_baseline_original_rgb_office3.pkl.gz</t>
        </is>
      </c>
    </row>
    <row r="75" ht="72" customHeight="1">
      <c r="A75" s="3" t="inlineStr">
        <is>
          <t>office3</t>
        </is>
      </c>
      <c r="B75" s="3" t="inlineStr">
        <is>
          <t>C 原图+CLIP（无VLM）</t>
        </is>
      </c>
      <c r="C75" s="3" t="inlineStr">
        <is>
          <t>/data/chenkejun/paper_ablation_20260911/runs/C_baseline_original_rgb_clip/Replica/office3/exps/C_baseline_original_rgb_clip_office3/pcd_C_baseline_original_rgb_clip_office3.pkl.gz</t>
        </is>
      </c>
    </row>
    <row r="76" ht="72" customHeight="1">
      <c r="A76" s="3" t="inlineStr">
        <is>
          <t>office4</t>
        </is>
      </c>
      <c r="B76" s="3" t="inlineStr">
        <is>
          <t>A ali-my bff233f</t>
        </is>
      </c>
      <c r="C76" s="3" t="inlineStr">
        <is>
          <t>/home/chenkejun/beauty/conceptgraphs/data/Replica/office4/exps/ali_my_paper_main_aligned_office4_400f_stride5_bff233f_20260821/pcd_ali_my_paper_main_aligned_office4_400f_stride5_bff233f_20260821.pkl.gz</t>
        </is>
      </c>
    </row>
    <row r="77" ht="72" customHeight="1">
      <c r="A77" s="3" t="inlineStr">
        <is>
          <t>office4</t>
        </is>
      </c>
      <c r="B77" s="3" t="inlineStr">
        <is>
          <t>B 原图（无VLM）</t>
        </is>
      </c>
      <c r="C77" s="3" t="inlineStr">
        <is>
          <t>/data/chenkejun/paper_ablation_20260911/runs/B_baseline_original_rgb/Replica/office4/exps/B_baseline_original_rgb_office4/pcd_B_baseline_original_rgb_office4.pkl.gz</t>
        </is>
      </c>
    </row>
    <row r="78" ht="72" customHeight="1">
      <c r="A78" s="3" t="inlineStr">
        <is>
          <t>office4</t>
        </is>
      </c>
      <c r="B78" s="3" t="inlineStr">
        <is>
          <t>C 原图+CLIP（无VLM）</t>
        </is>
      </c>
      <c r="C78" s="3" t="inlineStr">
        <is>
          <t>/data/chenkejun/paper_ablation_20260911/runs/C_baseline_original_rgb_clip/Replica/office4/exps/C_baseline_original_rgb_clip_office4/pcd_C_baseline_original_rgb_clip_office4.pkl.gz</t>
        </is>
      </c>
    </row>
    <row r="79" ht="55" customHeight="1">
      <c r="A79" s="3" t="inlineStr">
        <is>
          <t>room1</t>
        </is>
      </c>
      <c r="B79" s="3" t="inlineStr">
        <is>
          <t>v7_CLIP_no90</t>
        </is>
      </c>
      <c r="C79" s="3" t="inlineStr">
        <is>
          <t>/root/autodl-tmp/results/Replica/room1/exps/v7_CLIP_no90_room1_20260912_r2/pcd_v7_CLIP_no90_room1_20260912_r2.pkl.gz</t>
        </is>
      </c>
    </row>
    <row r="80" ht="55" customHeight="1">
      <c r="A80" s="3" t="inlineStr">
        <is>
          <t>office1</t>
        </is>
      </c>
      <c r="B80" s="3" t="inlineStr">
        <is>
          <t>v7_CLIP_no90</t>
        </is>
      </c>
      <c r="C80" s="3" t="inlineStr">
        <is>
          <t>/root/autodl-tmp/results/Replica/office1/exps/v7_CLIP_no90_office1_20260912_r2/pcd_v7_CLIP_no90_office1_20260912_r2.pkl.gz</t>
        </is>
      </c>
    </row>
    <row r="81" ht="55" customHeight="1">
      <c r="A81" s="3" t="inlineStr">
        <is>
          <t>room0</t>
        </is>
      </c>
      <c r="B81" s="3" t="inlineStr">
        <is>
          <t>v7_CLIP_no90</t>
        </is>
      </c>
      <c r="C81" s="3" t="inlineStr">
        <is>
          <t>/root/autodl-tmp/results/Replica/room0/exps/v7_CLIP_no90_room0_20260912_remaining/pcd_v7_CLIP_no90_room0_20260912_remaining.pkl.gz</t>
        </is>
      </c>
    </row>
    <row r="82" ht="55" customHeight="1">
      <c r="A82" s="3" t="inlineStr">
        <is>
          <t>room2</t>
        </is>
      </c>
      <c r="B82" s="3" t="inlineStr">
        <is>
          <t>v7_CLIP_no90</t>
        </is>
      </c>
      <c r="C82" s="3" t="inlineStr">
        <is>
          <t>/root/autodl-tmp/results/Replica/room2/exps/v7_CLIP_no90_room2_20260912_remaining/pcd_v7_CLIP_no90_room2_20260912_remaining.pkl.gz</t>
        </is>
      </c>
    </row>
    <row r="83" ht="55" customHeight="1">
      <c r="A83" s="3" t="inlineStr">
        <is>
          <t>office0</t>
        </is>
      </c>
      <c r="B83" s="3" t="inlineStr">
        <is>
          <t>v7_CLIP_no90</t>
        </is>
      </c>
      <c r="C83" s="3" t="inlineStr">
        <is>
          <t>/root/autodl-tmp/results/Replica/office0/exps/v7_CLIP_no90_office0_20260912_remaining/pcd_v7_CLIP_no90_office0_20260912_remaining.pkl.gz</t>
        </is>
      </c>
    </row>
    <row r="84" ht="55" customHeight="1">
      <c r="A84" s="3" t="inlineStr">
        <is>
          <t>office2</t>
        </is>
      </c>
      <c r="B84" s="3" t="inlineStr">
        <is>
          <t>v7_CLIP_no90</t>
        </is>
      </c>
      <c r="C84" s="3" t="inlineStr">
        <is>
          <t>/root/autodl-tmp/results/Replica/office2/exps/v7_CLIP_no90_office2_20260912_remaining/pcd_v7_CLIP_no90_office2_20260912_remaining.pkl.gz</t>
        </is>
      </c>
    </row>
    <row r="85" ht="55" customHeight="1">
      <c r="A85" s="3" t="inlineStr">
        <is>
          <t>office3</t>
        </is>
      </c>
      <c r="B85" s="3" t="inlineStr">
        <is>
          <t>v7_CLIP_no90</t>
        </is>
      </c>
      <c r="C85" s="3" t="inlineStr">
        <is>
          <t>/root/autodl-tmp/results/Replica/office3/exps/v7_CLIP_no90_office3_20260912_remaining/pcd_v7_CLIP_no90_office3_20260912_remaining.pkl.gz</t>
        </is>
      </c>
    </row>
    <row r="86" ht="55" customHeight="1">
      <c r="A86" s="3" t="inlineStr">
        <is>
          <t>office4</t>
        </is>
      </c>
      <c r="B86" s="3" t="inlineStr">
        <is>
          <t>v7_CLIP_no90</t>
        </is>
      </c>
      <c r="C86" s="3" t="inlineStr">
        <is>
          <t>/root/autodl-tmp/results/Replica/office4/exps/v7_CLIP_no90_office4_20260912_remaining/pcd_v7_CLIP_no90_office4_20260912_remaining.pkl.gz</t>
        </is>
      </c>
    </row>
    <row r="87"/>
    <row r="88"/>
    <row r="89" ht="32" customHeight="1">
      <c r="A89" s="1" t="inlineStr">
        <is>
          <t>v7_CLIP_no90_new 在线完整地图</t>
        </is>
      </c>
    </row>
    <row r="90" ht="42" customHeight="1">
      <c r="A90" s="30" t="inlineStr">
        <is>
          <t>场景</t>
        </is>
      </c>
      <c r="B90" s="30" t="inlineStr">
        <is>
          <t>方法</t>
        </is>
      </c>
      <c r="C90" s="30" t="inlineStr">
        <is>
          <t>实际地图路径</t>
        </is>
      </c>
    </row>
    <row r="91" ht="60" customHeight="1">
      <c r="A91" s="27" t="inlineStr">
        <is>
          <t>room0</t>
        </is>
      </c>
      <c r="B91" s="27" t="inlineStr">
        <is>
          <t>v7_CLIP_no90_new</t>
        </is>
      </c>
      <c r="C91" s="27" t="inlineStr">
        <is>
          <t>/root/autodl-tmp/results/Replica/room0/exps/v7_CLIP_no90_new_room0_20260913/pcd_v7_CLIP_no90_new_room0_20260913.pkl.gz</t>
        </is>
      </c>
    </row>
    <row r="92" ht="60" customHeight="1">
      <c r="A92" s="31" t="inlineStr">
        <is>
          <t>room1</t>
        </is>
      </c>
      <c r="B92" s="31" t="inlineStr">
        <is>
          <t>v7_CLIP_no90_new</t>
        </is>
      </c>
      <c r="C92" s="31" t="inlineStr">
        <is>
          <t>/root/autodl-tmp/results/Replica/room1/exps/v7_CLIP_no90_new_room1_20260913/pcd_v7_CLIP_no90_new_room1_20260913.pkl.gz</t>
        </is>
      </c>
    </row>
    <row r="93" ht="60" customHeight="1">
      <c r="A93" s="27" t="inlineStr">
        <is>
          <t>room2</t>
        </is>
      </c>
      <c r="B93" s="27" t="inlineStr">
        <is>
          <t>v7_CLIP_no90_new</t>
        </is>
      </c>
      <c r="C93" s="27" t="inlineStr">
        <is>
          <t>/root/autodl-tmp/results/Replica/room2/exps/v7_CLIP_no90_new_room2_20260913/pcd_v7_CLIP_no90_new_room2_20260913.pkl.gz</t>
        </is>
      </c>
    </row>
    <row r="94" ht="60" customHeight="1">
      <c r="A94" s="31" t="inlineStr">
        <is>
          <t>office0</t>
        </is>
      </c>
      <c r="B94" s="31" t="inlineStr">
        <is>
          <t>v7_CLIP_no90_new</t>
        </is>
      </c>
      <c r="C94" s="31" t="inlineStr">
        <is>
          <t>/root/autodl-tmp/results/Replica/office0/exps/v7_CLIP_no90_new_office0_20260913/pcd_v7_CLIP_no90_new_office0_20260913.pkl.gz</t>
        </is>
      </c>
    </row>
    <row r="95" ht="60" customHeight="1">
      <c r="A95" s="27" t="inlineStr">
        <is>
          <t>office1</t>
        </is>
      </c>
      <c r="B95" s="27" t="inlineStr">
        <is>
          <t>v7_CLIP_no90_new</t>
        </is>
      </c>
      <c r="C95" s="27" t="inlineStr">
        <is>
          <t>/root/autodl-tmp/results/Replica/office1/exps/v7_CLIP_no90_new_office1_20260913/pcd_v7_CLIP_no90_new_office1_20260913.pkl.gz</t>
        </is>
      </c>
    </row>
    <row r="96" ht="60" customHeight="1">
      <c r="A96" s="31" t="inlineStr">
        <is>
          <t>office2</t>
        </is>
      </c>
      <c r="B96" s="31" t="inlineStr">
        <is>
          <t>v7_CLIP_no90_new</t>
        </is>
      </c>
      <c r="C96" s="31" t="inlineStr">
        <is>
          <t>/root/autodl-tmp/results/Replica/office2/exps/v7_CLIP_no90_new_office2_20260913/pcd_v7_CLIP_no90_new_office2_20260913.pkl.gz</t>
        </is>
      </c>
    </row>
    <row r="97" ht="60" customHeight="1">
      <c r="A97" s="27" t="inlineStr">
        <is>
          <t>office3</t>
        </is>
      </c>
      <c r="B97" s="27" t="inlineStr">
        <is>
          <t>v7_CLIP_no90_new</t>
        </is>
      </c>
      <c r="C97" s="27" t="inlineStr">
        <is>
          <t>/root/autodl-tmp/results/Replica/office3/exps/v7_CLIP_no90_new_office3_20260913/pcd_v7_CLIP_no90_new_office3_20260913.pkl.gz</t>
        </is>
      </c>
    </row>
    <row r="98" ht="60" customHeight="1">
      <c r="A98" s="31" t="inlineStr">
        <is>
          <t>office4</t>
        </is>
      </c>
      <c r="B98" s="31" t="inlineStr">
        <is>
          <t>v7_CLIP_no90_new</t>
        </is>
      </c>
      <c r="C98" s="31" t="inlineStr">
        <is>
          <t>/root/autodl-tmp/results/Replica/office4/exps/v7_CLIP_no90_new_office4_20260913/pcd_v7_CLIP_no90_new_office4_20260913.pkl.gz</t>
        </is>
      </c>
    </row>
    <row r="99">
      <c r="A99" s="3" t="inlineStr">
        <is>
          <t>room2</t>
        </is>
      </c>
      <c r="B99" s="3" t="inlineStr">
        <is>
          <t>v7_CLIP_must</t>
        </is>
      </c>
      <c r="C99" s="3" t="inlineStr">
        <is>
          <t>/root/autodl-tmp/results/Replica/room2/exps/v7_CLIP_must_room2_20260914/pcd_v7_CLIP_must_room2_20260914.pkl.gz</t>
        </is>
      </c>
    </row>
  </sheetData>
  <autoFilter ref="A4:C78"/>
  <mergeCells count="3">
    <mergeCell ref="A1:C1"/>
    <mergeCell ref="A89:C89"/>
    <mergeCell ref="A2:C2"/>
  </mergeCells>
  <pageMargins left="0.75" right="0.75" top="1" bottom="1" header="0.5" footer="0.5"/>
  <pageSetup orientation="landscape" paperSize="8" fitToHeight="0" fitToWidth="1"/>
  <rowBreaks count="2" manualBreakCount="2">
    <brk id="15" min="0" max="16383" man="1"/>
    <brk id="26" min="0" max="16383" man="1"/>
  </rowBreaks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  <col width="13" customWidth="1" min="5" max="5"/>
    <col width="13" customWidth="1" min="6" max="6"/>
    <col width="13" customWidth="1" min="7" max="7"/>
    <col width="17" customWidth="1" min="8" max="8"/>
    <col width="17" customWidth="1" min="9" max="9"/>
    <col width="38" customWidth="1" min="10" max="10"/>
    <col width="46" customWidth="1" min="11" max="11"/>
  </cols>
  <sheetData>
    <row r="1" ht="34" customHeight="1">
      <c r="A1" s="36" t="inlineStr">
        <is>
          <t>VLM四能力固定样本诊断（2026-09-13）</t>
        </is>
      </c>
    </row>
    <row r="2" ht="42" customHeight="1">
      <c r="A2" s="37" t="inlineStr">
        <is>
          <t>50例/能力；观测质量沿用历史结果；其余三项本轮H800重测。平衡样本不代表在线自然发生率。</t>
        </is>
      </c>
    </row>
    <row r="3" ht="34" customHeight="1">
      <c r="A3" s="36" t="inlineStr">
        <is>
          <t>能力</t>
        </is>
      </c>
      <c r="B3" s="36" t="inlineStr">
        <is>
          <t>记录</t>
        </is>
      </c>
      <c r="C3" s="36" t="inlineStr">
        <is>
          <t>样本数</t>
        </is>
      </c>
      <c r="D3" s="36" t="inlineStr">
        <is>
          <t>正确数</t>
        </is>
      </c>
      <c r="E3" s="36" t="inlineStr">
        <is>
          <t>准确率</t>
        </is>
      </c>
      <c r="F3" s="36" t="inlineStr">
        <is>
          <t>宏F1</t>
        </is>
      </c>
      <c r="G3" s="36" t="inlineStr">
        <is>
          <t>不确定</t>
        </is>
      </c>
      <c r="H3" s="36" t="inlineStr">
        <is>
          <t>格式/接口失败</t>
        </is>
      </c>
      <c r="I3" s="36" t="inlineStr">
        <is>
          <t>平均秒/请求</t>
        </is>
      </c>
      <c r="J3" s="36" t="inlineStr">
        <is>
          <t>关键风险</t>
        </is>
      </c>
      <c r="K3" s="36" t="inlineStr">
        <is>
          <t>来源</t>
        </is>
      </c>
    </row>
    <row r="4" ht="34" customHeight="1">
      <c r="A4" s="37" t="inlineStr">
        <is>
          <t>观测质量</t>
        </is>
      </c>
      <c r="B4" s="37" t="inlineStr">
        <is>
          <t>历史原版</t>
        </is>
      </c>
      <c r="C4" s="37" t="n">
        <v>50</v>
      </c>
      <c r="D4" s="37" t="n">
        <v>19</v>
      </c>
      <c r="E4" s="38" t="n">
        <v>0.38</v>
      </c>
      <c r="F4" s="38" t="n">
        <v>0.3559</v>
      </c>
      <c r="G4" s="37" t="n">
        <v>15</v>
      </c>
      <c r="H4" s="37" t="n">
        <v>0</v>
      </c>
      <c r="I4" s="39" t="n"/>
      <c r="J4" s="37" t="inlineStr">
        <is>
          <t>历史50例，未重测</t>
        </is>
      </c>
      <c r="K4" s="37" t="inlineStr">
        <is>
          <t>previous_observation50/summary.json</t>
        </is>
      </c>
    </row>
    <row r="5" ht="34" customHeight="1">
      <c r="A5" s="37" t="inlineStr">
        <is>
          <t>观测质量</t>
        </is>
      </c>
      <c r="B5" s="37" t="inlineStr">
        <is>
          <t>历史新版</t>
        </is>
      </c>
      <c r="C5" s="37" t="n">
        <v>50</v>
      </c>
      <c r="D5" s="37" t="n">
        <v>27</v>
      </c>
      <c r="E5" s="38" t="n">
        <v>0.54</v>
      </c>
      <c r="F5" s="38" t="n">
        <v>0.5326</v>
      </c>
      <c r="G5" s="37" t="n">
        <v>1</v>
      </c>
      <c r="H5" s="37" t="n">
        <v>2</v>
      </c>
      <c r="I5" s="39" t="n"/>
      <c r="J5" s="37" t="inlineStr">
        <is>
          <t>25坏观测误放15</t>
        </is>
      </c>
      <c r="K5" s="37" t="inlineStr">
        <is>
          <t>previous_observation50/summary.json</t>
        </is>
      </c>
    </row>
    <row r="6" ht="34" customHeight="1">
      <c r="A6" s="37" t="inlineStr">
        <is>
          <t>节点质量</t>
        </is>
      </c>
      <c r="B6" s="37" t="inlineStr">
        <is>
          <t>历史同例</t>
        </is>
      </c>
      <c r="C6" s="37" t="n">
        <v>50</v>
      </c>
      <c r="D6" s="37" t="n">
        <v>29</v>
      </c>
      <c r="E6" s="38" t="n">
        <v>0.58</v>
      </c>
      <c r="F6" s="38" t="n"/>
      <c r="G6" s="37" t="n"/>
      <c r="H6" s="37" t="n"/>
      <c r="I6" s="39" t="n"/>
      <c r="J6" s="37" t="inlineStr">
        <is>
          <t>同输入同提示词；非算法变化收益</t>
        </is>
      </c>
      <c r="K6" s="37" t="inlineStr">
        <is>
          <t>node_quality / previous_result.json</t>
        </is>
      </c>
    </row>
    <row r="7" ht="34" customHeight="1">
      <c r="A7" s="37" t="inlineStr">
        <is>
          <t>节点质量</t>
        </is>
      </c>
      <c r="B7" s="37" t="inlineStr">
        <is>
          <t>本轮new</t>
        </is>
      </c>
      <c r="C7" s="37" t="n">
        <v>50</v>
      </c>
      <c r="D7" s="37" t="n">
        <v>26</v>
      </c>
      <c r="E7" s="38" t="n">
        <v>0.52</v>
      </c>
      <c r="F7" s="38" t="n">
        <v>0.5279162512462612</v>
      </c>
      <c r="G7" s="37" t="n">
        <v>7</v>
      </c>
      <c r="H7" s="37" t="n">
        <v>0</v>
      </c>
      <c r="I7" s="39" t="n">
        <v>2.50234112739563</v>
      </c>
      <c r="J7" s="37" t="inlineStr">
        <is>
          <t>25污染误判CLEAN 15</t>
        </is>
      </c>
      <c r="K7" s="37" t="inlineStr">
        <is>
          <t>metrics.json / node_quality</t>
        </is>
      </c>
    </row>
    <row r="8" ht="34" customHeight="1">
      <c r="A8" s="37" t="inlineStr">
        <is>
          <t>关联候选身份</t>
        </is>
      </c>
      <c r="B8" s="37" t="inlineStr">
        <is>
          <t>历史同例</t>
        </is>
      </c>
      <c r="C8" s="37" t="n">
        <v>50</v>
      </c>
      <c r="D8" s="37" t="n">
        <v>40</v>
      </c>
      <c r="E8" s="38" t="n">
        <v>0.8</v>
      </c>
      <c r="F8" s="38" t="n"/>
      <c r="G8" s="37" t="n"/>
      <c r="H8" s="37" t="n"/>
      <c r="I8" s="39" t="n"/>
      <c r="J8" s="37" t="inlineStr">
        <is>
          <t>同输入同提示词；非算法变化收益</t>
        </is>
      </c>
      <c r="K8" s="37" t="inlineStr">
        <is>
          <t>pairwise / previous_result.json</t>
        </is>
      </c>
    </row>
    <row r="9" ht="34" customHeight="1">
      <c r="A9" s="37" t="inlineStr">
        <is>
          <t>关联候选身份</t>
        </is>
      </c>
      <c r="B9" s="37" t="inlineStr">
        <is>
          <t>本轮new</t>
        </is>
      </c>
      <c r="C9" s="37" t="n">
        <v>50</v>
      </c>
      <c r="D9" s="37" t="n">
        <v>40</v>
      </c>
      <c r="E9" s="38" t="n">
        <v>0.8</v>
      </c>
      <c r="F9" s="38" t="n">
        <v>0.7987117552334944</v>
      </c>
      <c r="G9" s="37" t="n">
        <v>0</v>
      </c>
      <c r="H9" s="37" t="n">
        <v>0</v>
      </c>
      <c r="I9" s="39" t="n">
        <v>0.5519356203079223</v>
      </c>
      <c r="J9" s="37" t="inlineStr">
        <is>
          <t>25 SAME拒7，25 DIFFERENT放3</t>
        </is>
      </c>
      <c r="K9" s="37" t="inlineStr">
        <is>
          <t>metrics.json / pairwise</t>
        </is>
      </c>
    </row>
    <row r="10" ht="34" customHeight="1">
      <c r="A10" s="37" t="inlineStr">
        <is>
          <t>合并身份</t>
        </is>
      </c>
      <c r="B10" s="37" t="inlineStr">
        <is>
          <t>历史同例</t>
        </is>
      </c>
      <c r="C10" s="37" t="n">
        <v>50</v>
      </c>
      <c r="D10" s="37" t="n">
        <v>40</v>
      </c>
      <c r="E10" s="38" t="n">
        <v>0.8</v>
      </c>
      <c r="F10" s="38" t="n"/>
      <c r="G10" s="37" t="n"/>
      <c r="H10" s="37" t="n"/>
      <c r="I10" s="39" t="n"/>
      <c r="J10" s="37" t="inlineStr">
        <is>
          <t>同输入同提示词；非算法变化收益</t>
        </is>
      </c>
      <c r="K10" s="37" t="inlineStr">
        <is>
          <t>merge / previous_result.json</t>
        </is>
      </c>
    </row>
    <row r="11" ht="34" customHeight="1">
      <c r="A11" s="37" t="inlineStr">
        <is>
          <t>合并身份</t>
        </is>
      </c>
      <c r="B11" s="37" t="inlineStr">
        <is>
          <t>本轮new</t>
        </is>
      </c>
      <c r="C11" s="37" t="n">
        <v>50</v>
      </c>
      <c r="D11" s="37" t="n">
        <v>38</v>
      </c>
      <c r="E11" s="38" t="n">
        <v>0.76</v>
      </c>
      <c r="F11" s="38" t="n">
        <v>0.753694581280788</v>
      </c>
      <c r="G11" s="37" t="n">
        <v>0</v>
      </c>
      <c r="H11" s="37" t="n">
        <v>0</v>
      </c>
      <c r="I11" s="39" t="n">
        <v>1.09405282497406</v>
      </c>
      <c r="J11" s="37" t="inlineStr">
        <is>
          <t>25 SAME拒10，25 DIFFERENT放2</t>
        </is>
      </c>
      <c r="K11" s="37" t="inlineStr">
        <is>
          <t>metrics.json / merge</t>
        </is>
      </c>
    </row>
    <row r="12" ht="34" customHeight="1">
      <c r="A12" s="37" t="n"/>
      <c r="B12" s="37" t="n"/>
      <c r="C12" s="37" t="n"/>
      <c r="D12" s="37" t="n"/>
      <c r="E12" s="37" t="n"/>
      <c r="F12" s="37" t="n"/>
      <c r="G12" s="37" t="n"/>
      <c r="H12" s="37" t="n"/>
      <c r="I12" s="37" t="n"/>
      <c r="J12" s="37" t="n"/>
      <c r="K12" s="37" t="n"/>
    </row>
    <row r="13" ht="34" customHeight="1">
      <c r="A13" s="36" t="inlineStr">
        <is>
          <t>能力</t>
        </is>
      </c>
      <c r="B13" s="36" t="inlineStr">
        <is>
          <t>类别</t>
        </is>
      </c>
      <c r="C13" s="36" t="inlineStr">
        <is>
          <t>Precision</t>
        </is>
      </c>
      <c r="D13" s="36" t="inlineStr">
        <is>
          <t>Recall</t>
        </is>
      </c>
      <c r="E13" s="36" t="inlineStr">
        <is>
          <t>F1</t>
        </is>
      </c>
      <c r="F13" s="36" t="inlineStr">
        <is>
          <t>GT支持数</t>
        </is>
      </c>
      <c r="G13" s="36" t="n"/>
      <c r="H13" s="36" t="n"/>
      <c r="I13" s="36" t="n"/>
      <c r="J13" s="36" t="n"/>
      <c r="K13" s="36" t="n"/>
    </row>
    <row r="14" ht="34" customHeight="1">
      <c r="A14" s="37" t="inlineStr">
        <is>
          <t>节点质量</t>
        </is>
      </c>
      <c r="B14" s="37" t="inlineStr">
        <is>
          <t>CLEAN</t>
        </is>
      </c>
      <c r="C14" s="38" t="n">
        <v>0.5588235294117647</v>
      </c>
      <c r="D14" s="38" t="n">
        <v>0.76</v>
      </c>
      <c r="E14" s="38" t="n">
        <v>0.6440677966101694</v>
      </c>
      <c r="F14" s="37" t="n">
        <v>25</v>
      </c>
      <c r="G14" s="37" t="n"/>
      <c r="H14" s="37" t="n"/>
      <c r="I14" s="37" t="n"/>
      <c r="J14" s="37" t="n"/>
      <c r="K14" s="37" t="n"/>
    </row>
    <row r="15" ht="34" customHeight="1">
      <c r="A15" s="37" t="inlineStr">
        <is>
          <t>节点质量</t>
        </is>
      </c>
      <c r="B15" s="37" t="inlineStr">
        <is>
          <t>CONTAMINATED</t>
        </is>
      </c>
      <c r="C15" s="38" t="n">
        <v>0.7777777777777779</v>
      </c>
      <c r="D15" s="38" t="n">
        <v>0.28</v>
      </c>
      <c r="E15" s="38" t="n">
        <v>0.411764705882353</v>
      </c>
      <c r="F15" s="37" t="n">
        <v>25</v>
      </c>
      <c r="G15" s="37" t="n"/>
      <c r="H15" s="37" t="n"/>
      <c r="I15" s="37" t="n"/>
      <c r="J15" s="37" t="n"/>
      <c r="K15" s="37" t="n"/>
    </row>
    <row r="16" ht="34" customHeight="1">
      <c r="A16" s="37" t="inlineStr">
        <is>
          <t>关联候选身份</t>
        </is>
      </c>
      <c r="B16" s="37" t="inlineStr">
        <is>
          <t>SAME</t>
        </is>
      </c>
      <c r="C16" s="38" t="n">
        <v>0.8571428571428571</v>
      </c>
      <c r="D16" s="38" t="n">
        <v>0.72</v>
      </c>
      <c r="E16" s="38" t="n">
        <v>0.7826086956521739</v>
      </c>
      <c r="F16" s="37" t="n">
        <v>25</v>
      </c>
      <c r="G16" s="37" t="n"/>
      <c r="H16" s="37" t="n"/>
      <c r="I16" s="37" t="n"/>
      <c r="J16" s="37" t="n"/>
      <c r="K16" s="37" t="n"/>
    </row>
    <row r="17" ht="34" customHeight="1">
      <c r="A17" s="37" t="inlineStr">
        <is>
          <t>关联候选身份</t>
        </is>
      </c>
      <c r="B17" s="37" t="inlineStr">
        <is>
          <t>DIFFERENT</t>
        </is>
      </c>
      <c r="C17" s="38" t="n">
        <v>0.7586206896551724</v>
      </c>
      <c r="D17" s="38" t="n">
        <v>0.88</v>
      </c>
      <c r="E17" s="38" t="n">
        <v>0.8148148148148148</v>
      </c>
      <c r="F17" s="37" t="n">
        <v>25</v>
      </c>
      <c r="G17" s="37" t="n"/>
      <c r="H17" s="37" t="n"/>
      <c r="I17" s="37" t="n"/>
      <c r="J17" s="37" t="n"/>
      <c r="K17" s="37" t="n"/>
    </row>
    <row r="18" ht="34" customHeight="1">
      <c r="A18" s="37" t="inlineStr">
        <is>
          <t>合并身份</t>
        </is>
      </c>
      <c r="B18" s="37" t="inlineStr">
        <is>
          <t>SAME</t>
        </is>
      </c>
      <c r="C18" s="38" t="n">
        <v>0.8823529411764706</v>
      </c>
      <c r="D18" s="38" t="n">
        <v>0.6</v>
      </c>
      <c r="E18" s="38" t="n">
        <v>0.7142857142857142</v>
      </c>
      <c r="F18" s="37" t="n">
        <v>25</v>
      </c>
      <c r="G18" s="37" t="n"/>
      <c r="H18" s="37" t="n"/>
      <c r="I18" s="37" t="n"/>
      <c r="J18" s="37" t="n"/>
      <c r="K18" s="37" t="n"/>
    </row>
    <row r="19" ht="34" customHeight="1">
      <c r="A19" s="37" t="inlineStr">
        <is>
          <t>合并身份</t>
        </is>
      </c>
      <c r="B19" s="37" t="inlineStr">
        <is>
          <t>DIFFERENT</t>
        </is>
      </c>
      <c r="C19" s="38" t="n">
        <v>0.696969696969697</v>
      </c>
      <c r="D19" s="38" t="n">
        <v>0.92</v>
      </c>
      <c r="E19" s="38" t="n">
        <v>0.7931034482758621</v>
      </c>
      <c r="F19" s="37" t="n">
        <v>25</v>
      </c>
      <c r="G19" s="37" t="n"/>
      <c r="H19" s="37" t="n"/>
      <c r="I19" s="37" t="n"/>
      <c r="J19" s="37" t="n"/>
      <c r="K19" s="37" t="n"/>
    </row>
    <row r="20" ht="34" customHeight="1">
      <c r="A20" s="37" t="n"/>
      <c r="B20" s="37" t="n"/>
      <c r="C20" s="38" t="n"/>
      <c r="D20" s="38" t="n"/>
      <c r="E20" s="38" t="n"/>
      <c r="F20" s="37" t="n"/>
      <c r="G20" s="37" t="n"/>
      <c r="H20" s="37" t="n"/>
      <c r="I20" s="37" t="n"/>
      <c r="J20" s="37" t="n"/>
      <c r="K20" s="37" t="n"/>
    </row>
    <row r="21" ht="34" customHeight="1">
      <c r="A21" s="37" t="inlineStr">
        <is>
          <t>输出目录</t>
        </is>
      </c>
      <c r="B21" s="37" t="inlineStr">
        <is>
          <t>/root/autodl-tmp/beauty/v7_CLIP_no90_new_abilities150_20260913</t>
        </is>
      </c>
    </row>
    <row r="22" ht="34" customHeight="1">
      <c r="A22" s="37" t="inlineStr">
        <is>
          <t>页面</t>
        </is>
      </c>
      <c r="B22" s="37" t="inlineStr">
        <is>
          <t>http://localhost:18596/</t>
        </is>
      </c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</row>
    <row r="23" ht="34" customHeight="1">
      <c r="A23" s="37" t="inlineStr">
        <is>
          <t>说明</t>
        </is>
      </c>
      <c r="B23" s="37" t="inlineStr">
        <is>
          <t>关联为单个候选身份，不是完整新建/关联事件；合并为独立身份测试，未经过节点门控。</t>
        </is>
      </c>
    </row>
    <row r="24" ht="34" customHeight="1">
      <c r="A24" s="37" t="inlineStr">
        <is>
          <t>人工复核</t>
        </is>
      </c>
      <c r="B24" s="37" t="inlineStr">
        <is>
          <t>冻结GT不覆盖；已确认结果与暂不能定论分开保留；原始图、响应、典型分析在页面。</t>
        </is>
      </c>
    </row>
  </sheetData>
  <mergeCells count="5">
    <mergeCell ref="B23:K23"/>
    <mergeCell ref="B21:K21"/>
    <mergeCell ref="A2:K2"/>
    <mergeCell ref="B24:K24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2026-09-10T08:26:56Z</dcterms:created>
  <dcterms:modified xsi:type="dcterms:W3CDTF">2026-09-13T22:25:25Z</dcterms:modified>
</cp:coreProperties>
</file>